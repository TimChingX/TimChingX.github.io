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工单台账" sheetId="1" state="visible" r:id="rId3"/>
    <sheet name="仪表盘" sheetId="2" state="visible" r:id="rId4"/>
    <sheet name="单元查询" sheetId="3" state="visible" r:id="rId5"/>
    <sheet name="设置" sheetId="4" state="visible" r:id="rId6"/>
    <sheet name="使用说明" sheetId="5" state="visible" r:id="rId7"/>
  </sheets>
  <definedNames>
    <definedName function="false" hidden="false" localSheetId="1" name="_xlnm.Print_Area" vbProcedure="false">仪表盘!$A$1:$N$93</definedName>
    <definedName function="false" hidden="false" localSheetId="4" name="_xlnm.Print_Area" vbProcedure="false">使用说明!$A$1:$D$35</definedName>
    <definedName function="false" hidden="false" localSheetId="2" name="_xlnm.Print_Area" vbProcedure="false">单元查询!$A$1:$M$29</definedName>
    <definedName function="false" hidden="false" localSheetId="0" name="_xlnm.Print_Titles" vbProcedure="false">工单台账!$6:$6</definedName>
    <definedName function="false" hidden="true" localSheetId="0" name="_xlnm._FilterDatabase" vbProcedure="false">工单台账!$A$6:$S$2006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<sst xmlns="http://schemas.openxmlformats.org/spreadsheetml/2006/main" count="1636" uniqueCount="575">
  <si>
    <t xml:space="preserve">工单台账　｜　入户＋公区</t>
  </si>
  <si>
    <r>
      <rPr>
        <sz val="9"/>
        <color rgb="FFFAF9F5"/>
        <rFont val="WenQuanYi Zen Hei"/>
        <family val="2"/>
      </rPr>
      <t xml:space="preserve">灰色表头的三列自动生成；公式、下拉和颜色已经铺到第 </t>
    </r>
    <r>
      <rPr>
        <sz val="9"/>
        <color rgb="FFFAF9F5"/>
        <rFont val="等线"/>
        <family val="0"/>
        <charset val="1"/>
      </rPr>
      <t xml:space="preserve">2006 </t>
    </r>
    <r>
      <rPr>
        <sz val="9"/>
        <color rgb="FFFAF9F5"/>
        <rFont val="WenQuanYi Zen Hei"/>
        <family val="2"/>
      </rPr>
      <t xml:space="preserve">行，往下接着填即可。</t>
    </r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</si>
  <si>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</si>
  <si>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</si>
  <si>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</si>
  <si>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</si>
  <si>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</si>
  <si>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</si>
  <si>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</si>
  <si>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</si>
  <si>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</si>
  <si>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</si>
  <si>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</si>
  <si>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</si>
  <si>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</si>
  <si>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</si>
  <si>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r>
      <rPr>
        <b val="true"/>
        <sz val="10"/>
        <color rgb="FFFAF9F5"/>
        <rFont val="WenQuanYi Zen Hei"/>
        <family val="2"/>
      </rPr>
      <t xml:space="preserve">房号</t>
    </r>
    <r>
      <rPr>
        <b val="true"/>
        <sz val="10"/>
        <color rgb="FFFAF9F5"/>
        <rFont val="等线"/>
        <family val="0"/>
        <charset val="1"/>
      </rPr>
      <t xml:space="preserve">/</t>
    </r>
    <r>
      <rPr>
        <b val="true"/>
        <sz val="10"/>
        <color rgb="FFFAF9F5"/>
        <rFont val="WenQuanYi Zen Hei"/>
        <family val="2"/>
      </rPr>
      <t xml:space="preserve">位置</t>
    </r>
  </si>
  <si>
    <t xml:space="preserve">报修问题描述</t>
  </si>
  <si>
    <t xml:space="preserve">维修类别</t>
  </si>
  <si>
    <r>
      <rPr>
        <b val="true"/>
        <sz val="10"/>
        <color rgb="FFFAF9F5"/>
        <rFont val="WenQuanYi Zen Hei"/>
        <family val="2"/>
      </rPr>
      <t xml:space="preserve">跟进人</t>
    </r>
    <r>
      <rPr>
        <b val="true"/>
        <sz val="10"/>
        <color rgb="FFFAF9F5"/>
        <rFont val="等线"/>
        <family val="0"/>
        <charset val="1"/>
      </rPr>
      <t xml:space="preserve">1</t>
    </r>
  </si>
  <si>
    <r>
      <rPr>
        <b val="true"/>
        <sz val="10"/>
        <color rgb="FFFAF9F5"/>
        <rFont val="WenQuanYi Zen Hei"/>
        <family val="2"/>
      </rPr>
      <t xml:space="preserve">跟进人</t>
    </r>
    <r>
      <rPr>
        <b val="true"/>
        <sz val="10"/>
        <color rgb="FFFAF9F5"/>
        <rFont val="等线"/>
        <family val="0"/>
        <charset val="1"/>
      </rPr>
      <t xml:space="preserve">2</t>
    </r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</si>
  <si>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</si>
  <si>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</si>
  <si>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</si>
  <si>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</si>
  <si>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</si>
  <si>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</si>
  <si>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</si>
  <si>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r>
      <rPr>
        <b val="true"/>
        <sz val="10"/>
        <color rgb="FFFAF9F5"/>
        <rFont val="WenQuanYi Zen Hei"/>
        <family val="2"/>
      </rPr>
      <t xml:space="preserve">耗材费</t>
    </r>
    <r>
      <rPr>
        <b val="true"/>
        <sz val="10"/>
        <color rgb="FFFAF9F5"/>
        <rFont val="等线"/>
        <family val="0"/>
        <charset val="1"/>
      </rPr>
      <t xml:space="preserve">(</t>
    </r>
    <r>
      <rPr>
        <b val="true"/>
        <sz val="10"/>
        <color rgb="FFFAF9F5"/>
        <rFont val="WenQuanYi Zen Hei"/>
        <family val="2"/>
      </rPr>
      <t xml:space="preserve">元</t>
    </r>
    <r>
      <rPr>
        <b val="true"/>
        <sz val="10"/>
        <color rgb="FFFAF9F5"/>
        <rFont val="等线"/>
        <family val="0"/>
        <charset val="1"/>
      </rPr>
      <t xml:space="preserve">)</t>
    </r>
  </si>
  <si>
    <t xml:space="preserve">维修评价</t>
  </si>
  <si>
    <t xml:space="preserve">业主意见与建议</t>
  </si>
  <si>
    <t xml:space="preserve">查询键</t>
  </si>
  <si>
    <t xml:space="preserve">未结键</t>
  </si>
  <si>
    <t xml:space="preserve">重复键</t>
  </si>
  <si>
    <t xml:space="preserve">入户</t>
  </si>
  <si>
    <r>
      <rPr>
        <sz val="10"/>
        <color rgb="FF141413"/>
        <rFont val="等线"/>
        <family val="0"/>
        <charset val="1"/>
      </rPr>
      <t xml:space="preserve">8</t>
    </r>
    <r>
      <rPr>
        <sz val="10"/>
        <color rgb="FF141413"/>
        <rFont val="WenQuanYi Zen Hei"/>
        <family val="2"/>
      </rPr>
      <t xml:space="preserve">栋</t>
    </r>
  </si>
  <si>
    <t xml:space="preserve">403</t>
  </si>
  <si>
    <t xml:space="preserve">空调导风百叶断裂更换</t>
  </si>
  <si>
    <t xml:space="preserve">空调暖通</t>
  </si>
  <si>
    <t xml:space="preserve">张师傅</t>
  </si>
  <si>
    <t xml:space="preserve">李师傅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</si>
  <si>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16:00</t>
    </r>
  </si>
  <si>
    <r>
      <rPr>
        <sz val="10"/>
        <color rgb="FF141413"/>
        <rFont val="WenQuanYi Zen Hei"/>
        <family val="2"/>
      </rPr>
      <t xml:space="preserve">优先</t>
    </r>
    <r>
      <rPr>
        <sz val="10"/>
        <color rgb="FF141413"/>
        <rFont val="等线"/>
        <family val="0"/>
        <charset val="1"/>
      </rPr>
      <t xml:space="preserve">2</t>
    </r>
  </si>
  <si>
    <t xml:space="preserve">已完成</t>
  </si>
  <si>
    <r>
      <rPr>
        <sz val="10"/>
        <color rgb="FF141413"/>
        <rFont val="WenQuanYi Zen Hei"/>
        <family val="2"/>
      </rPr>
      <t xml:space="preserve">业主第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次更改上门时间</t>
    </r>
  </si>
  <si>
    <t xml:space="preserve">非常满意</t>
  </si>
  <si>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栋</t>
    </r>
  </si>
  <si>
    <t xml:space="preserve">2504</t>
  </si>
  <si>
    <t xml:space="preserve">空调开机后室内机滴水</t>
  </si>
  <si>
    <t xml:space="preserve">刘师傅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</si>
  <si>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10:00</t>
    </r>
  </si>
  <si>
    <t xml:space="preserve">跟进中</t>
  </si>
  <si>
    <t xml:space="preserve">需重新包扎保温棉，待料处理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</si>
  <si>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栋</t>
    </r>
  </si>
  <si>
    <t xml:space="preserve">503</t>
  </si>
  <si>
    <t xml:space="preserve">阳台雨棚接缝漏水</t>
  </si>
  <si>
    <t xml:space="preserve">渗漏防水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</si>
  <si>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</t>
    </r>
  </si>
  <si>
    <t xml:space="preserve">连日下雨，待天晴后另约时间</t>
  </si>
  <si>
    <r>
      <rPr>
        <sz val="10"/>
        <color rgb="FF141413"/>
        <rFont val="等线"/>
        <family val="0"/>
        <charset val="1"/>
      </rPr>
      <t xml:space="preserve">7</t>
    </r>
    <r>
      <rPr>
        <sz val="10"/>
        <color rgb="FF141413"/>
        <rFont val="WenQuanYi Zen Hei"/>
        <family val="2"/>
      </rPr>
      <t xml:space="preserve">栋</t>
    </r>
  </si>
  <si>
    <t xml:space="preserve">2904</t>
  </si>
  <si>
    <t xml:space="preserve">卧室门把手螺丝滑丝</t>
  </si>
  <si>
    <t xml:space="preserve">门窗五金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</si>
  <si>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上午</t>
    </r>
  </si>
  <si>
    <t xml:space="preserve">物业无同款配件，业主自行采购</t>
  </si>
  <si>
    <t xml:space="preserve">满意</t>
  </si>
  <si>
    <t xml:space="preserve">2004</t>
  </si>
  <si>
    <t xml:space="preserve">主卧空调出风口结露滴水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</si>
  <si>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14:00</t>
    </r>
    <r>
      <rPr>
        <sz val="10"/>
        <color rgb="FF141413"/>
        <rFont val="WenQuanYi Zen Hei"/>
        <family val="2"/>
      </rPr>
      <t xml:space="preserve">后</t>
    </r>
  </si>
  <si>
    <t xml:space="preserve">已调整出风角度并清洗滤网</t>
  </si>
  <si>
    <t xml:space="preserve">一般</t>
  </si>
  <si>
    <t xml:space="preserve">2501</t>
  </si>
  <si>
    <t xml:space="preserve">入户门把手松动下垂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</si>
  <si>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12:00</t>
    </r>
  </si>
  <si>
    <t xml:space="preserve">已紧固复位</t>
  </si>
  <si>
    <t xml:space="preserve">师傅来得很快</t>
  </si>
  <si>
    <t xml:space="preserve">701</t>
  </si>
  <si>
    <t xml:space="preserve">次卧墙面受潮鼓包起皮</t>
  </si>
  <si>
    <t xml:space="preserve">墙地饰面</t>
  </si>
  <si>
    <r>
      <rPr>
        <sz val="10"/>
        <color rgb="FF141413"/>
        <rFont val="WenQuanYi Zen Hei"/>
        <family val="2"/>
      </rPr>
      <t xml:space="preserve">优先</t>
    </r>
    <r>
      <rPr>
        <sz val="10"/>
        <color rgb="FF141413"/>
        <rFont val="等线"/>
        <family val="0"/>
        <charset val="1"/>
      </rPr>
      <t xml:space="preserve">1</t>
    </r>
  </si>
  <si>
    <t xml:space="preserve">已铲除鼓包批第一遍腻子，待干透后约第二次上门</t>
  </si>
  <si>
    <t xml:space="preserve">可以，辛苦了</t>
  </si>
  <si>
    <t xml:space="preserve">1602</t>
  </si>
  <si>
    <t xml:space="preserve">客厅空调管冷凝水滴落</t>
  </si>
  <si>
    <r>
      <rPr>
        <sz val="10"/>
        <color rgb="FF141413"/>
        <rFont val="WenQuanYi Zen Hei"/>
        <family val="2"/>
      </rPr>
      <t xml:space="preserve">优先</t>
    </r>
    <r>
      <rPr>
        <sz val="10"/>
        <color rgb="FF141413"/>
        <rFont val="等线"/>
        <family val="0"/>
        <charset val="1"/>
      </rPr>
      <t xml:space="preserve">3</t>
    </r>
  </si>
  <si>
    <t xml:space="preserve">需先由第三方单位为楼上住户空调管加装保温棉</t>
  </si>
  <si>
    <t xml:space="preserve">504</t>
  </si>
  <si>
    <t xml:space="preserve">卫生间门把手松动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</si>
  <si>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17:00</t>
    </r>
    <r>
      <rPr>
        <sz val="10"/>
        <color rgb="FF141413"/>
        <rFont val="WenQuanYi Zen Hei"/>
        <family val="2"/>
      </rPr>
      <t xml:space="preserve">前</t>
    </r>
  </si>
  <si>
    <t xml:space="preserve">/</t>
  </si>
  <si>
    <t xml:space="preserve">304</t>
  </si>
  <si>
    <t xml:space="preserve">阳台天花腻子开裂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</si>
  <si>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17:00</t>
    </r>
    <r>
      <rPr>
        <sz val="10"/>
        <color rgb="FF141413"/>
        <rFont val="WenQuanYi Zen Hei"/>
        <family val="2"/>
      </rPr>
      <t xml:space="preserve">后</t>
    </r>
  </si>
  <si>
    <r>
      <rPr>
        <sz val="10"/>
        <color rgb="FF141413"/>
        <rFont val="WenQuanYi Zen Hei"/>
        <family val="2"/>
      </rPr>
      <t xml:space="preserve">优先</t>
    </r>
    <r>
      <rPr>
        <sz val="10"/>
        <color rgb="FF141413"/>
        <rFont val="等线"/>
        <family val="0"/>
        <charset val="1"/>
      </rPr>
      <t xml:space="preserve">6</t>
    </r>
  </si>
  <si>
    <t xml:space="preserve">挺好的，支持物业工作</t>
  </si>
  <si>
    <r>
      <rPr>
        <sz val="10"/>
        <color rgb="FF141413"/>
        <rFont val="等线"/>
        <family val="0"/>
        <charset val="1"/>
      </rPr>
      <t xml:space="preserve">10</t>
    </r>
    <r>
      <rPr>
        <sz val="10"/>
        <color rgb="FF141413"/>
        <rFont val="WenQuanYi Zen Hei"/>
        <family val="2"/>
      </rPr>
      <t xml:space="preserve">栋</t>
    </r>
  </si>
  <si>
    <t xml:space="preserve">901</t>
  </si>
  <si>
    <t xml:space="preserve">入户门锁芯转动卡涩</t>
  </si>
  <si>
    <r>
      <rPr>
        <sz val="10"/>
        <color rgb="FF141413"/>
        <rFont val="等线"/>
        <family val="0"/>
        <charset val="1"/>
      </rPr>
      <t xml:space="preserve">9</t>
    </r>
    <r>
      <rPr>
        <sz val="10"/>
        <color rgb="FF141413"/>
        <rFont val="WenQuanYi Zen Hei"/>
        <family val="2"/>
      </rPr>
      <t xml:space="preserve">栋</t>
    </r>
  </si>
  <si>
    <t xml:space="preserve">1204</t>
  </si>
  <si>
    <t xml:space="preserve">空调出风口面板松脱</t>
  </si>
  <si>
    <t xml:space="preserve">师傅动作快，很满意</t>
  </si>
  <si>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栋</t>
    </r>
  </si>
  <si>
    <t xml:space="preserve">1203</t>
  </si>
  <si>
    <t xml:space="preserve">智能门锁电量低打不开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</si>
  <si>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16:51</t>
    </r>
  </si>
  <si>
    <t xml:space="preserve">3101</t>
  </si>
  <si>
    <t xml:space="preserve">咨询车位充电桩怎么走线</t>
  </si>
  <si>
    <t xml:space="preserve">电气照明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</si>
  <si>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20:30</t>
    </r>
  </si>
  <si>
    <t xml:space="preserve">1501</t>
  </si>
  <si>
    <t xml:space="preserve">客厅地板有水珠，疑似空调滴水</t>
  </si>
  <si>
    <t xml:space="preserve">已更换空调出风口并加贴保温棉</t>
  </si>
  <si>
    <r>
      <rPr>
        <sz val="10"/>
        <color rgb="FF141413"/>
        <rFont val="等线"/>
        <family val="0"/>
        <charset val="1"/>
      </rPr>
      <t xml:space="preserve">11</t>
    </r>
    <r>
      <rPr>
        <sz val="10"/>
        <color rgb="FF141413"/>
        <rFont val="WenQuanYi Zen Hei"/>
        <family val="2"/>
      </rPr>
      <t xml:space="preserve">栋</t>
    </r>
  </si>
  <si>
    <t xml:space="preserve">1402</t>
  </si>
  <si>
    <t xml:space="preserve">主卧门锁卡死、入户门关闭变紧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</si>
  <si>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19:00</t>
    </r>
  </si>
  <si>
    <r>
      <rPr>
        <sz val="10"/>
        <color rgb="FF141413"/>
        <rFont val="WenQuanYi Zen Hei"/>
        <family val="2"/>
      </rPr>
      <t xml:space="preserve">另约</t>
    </r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号上门</t>
    </r>
  </si>
  <si>
    <t xml:space="preserve">2803</t>
  </si>
  <si>
    <t xml:space="preserve">厨房洗菜盆下水堵塞</t>
  </si>
  <si>
    <t xml:space="preserve">给排水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</si>
  <si>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21:30</t>
    </r>
  </si>
  <si>
    <t xml:space="preserve">业主来电点赞表扬</t>
  </si>
  <si>
    <t xml:space="preserve">1103</t>
  </si>
  <si>
    <t xml:space="preserve">多个门把手松动、淋浴房门下沉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</si>
  <si>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21:50</t>
    </r>
  </si>
  <si>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栋</t>
    </r>
  </si>
  <si>
    <t xml:space="preserve">2901</t>
  </si>
  <si>
    <t xml:space="preserve">主卧空调久未使用，开机有异味</t>
  </si>
  <si>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栋</t>
    </r>
  </si>
  <si>
    <t xml:space="preserve">2604</t>
  </si>
  <si>
    <t xml:space="preserve">卫生间门吸脱落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</si>
  <si>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15:00</t>
    </r>
  </si>
  <si>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栋</t>
    </r>
  </si>
  <si>
    <t xml:space="preserve">3104</t>
  </si>
  <si>
    <t xml:space="preserve">厨房水龙头出水忽大忽小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</si>
  <si>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下午</t>
    </r>
  </si>
  <si>
    <t xml:space="preserve">已拆洗起泡器滤网</t>
  </si>
  <si>
    <t xml:space="preserve">501</t>
  </si>
  <si>
    <t xml:space="preserve">客厅踢脚线脱胶翘起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</si>
  <si>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18:00</t>
    </r>
  </si>
  <si>
    <t xml:space="preserve">师傅很细心，处理得很干净</t>
  </si>
  <si>
    <t xml:space="preserve">802</t>
  </si>
  <si>
    <t xml:space="preserve">阳台推拉门推拉费劲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</si>
  <si>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19:30</t>
    </r>
  </si>
  <si>
    <t xml:space="preserve">2701</t>
  </si>
  <si>
    <t xml:space="preserve">次卧顶灯开关按了没反应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</si>
  <si>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20:00</t>
    </r>
  </si>
  <si>
    <t xml:space="preserve">已更换开关面板</t>
  </si>
  <si>
    <t xml:space="preserve">公区</t>
  </si>
  <si>
    <t xml:space="preserve">乒乓球位置</t>
  </si>
  <si>
    <t xml:space="preserve">五一活动临时送电</t>
  </si>
  <si>
    <t xml:space="preserve">公共区域</t>
  </si>
  <si>
    <t xml:space="preserve">东大门</t>
  </si>
  <si>
    <t xml:space="preserve">门岗二楼遮阳帘松脱需加固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</si>
  <si>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</si>
  <si>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</si>
  <si>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</si>
  <si>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</si>
  <si>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出口道闸识别车牌后不抬杆</t>
  </si>
  <si>
    <t xml:space="preserve">弱电门禁</t>
  </si>
  <si>
    <t xml:space="preserve">货梯</t>
  </si>
  <si>
    <t xml:space="preserve">货梯轿厢空调不制冷</t>
  </si>
  <si>
    <t xml:space="preserve">肉菜市场</t>
  </si>
  <si>
    <t xml:space="preserve">市场内墙雨后渗水</t>
  </si>
  <si>
    <t xml:space="preserve">待跟进</t>
  </si>
  <si>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层</t>
    </r>
  </si>
  <si>
    <t xml:space="preserve">单元大门下沉刮地</t>
  </si>
  <si>
    <t xml:space="preserve">健身房旁</t>
  </si>
  <si>
    <t xml:space="preserve">配电箱附近有电流声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</si>
  <si>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11:10</t>
    </r>
  </si>
  <si>
    <t xml:space="preserve">现场检测未发现异常</t>
  </si>
  <si>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楼</t>
    </r>
  </si>
  <si>
    <t xml:space="preserve">单元门禁读卡器升级更换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</si>
  <si>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17:00</t>
    </r>
  </si>
  <si>
    <t xml:space="preserve">门岗天花受潮破损修缮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</si>
  <si>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1</t>
    </r>
    <r>
      <rPr>
        <sz val="10"/>
        <color rgb="FF141413"/>
        <rFont val="WenQuanYi Zen Hei"/>
        <family val="2"/>
      </rPr>
      <t xml:space="preserve">日</t>
    </r>
  </si>
  <si>
    <t xml:space="preserve">已补洞批腻子，待干燥后打磨刷乳胶漆</t>
  </si>
  <si>
    <t xml:space="preserve">大堂</t>
  </si>
  <si>
    <r>
      <rPr>
        <sz val="10"/>
        <color rgb="FF141413"/>
        <rFont val="等线"/>
        <family val="0"/>
        <charset val="1"/>
      </rPr>
      <t xml:space="preserve">8</t>
    </r>
    <r>
      <rPr>
        <sz val="10"/>
        <color rgb="FF141413"/>
        <rFont val="WenQuanYi Zen Hei"/>
        <family val="2"/>
      </rPr>
      <t xml:space="preserve">栋大堂吊灯部分不亮</t>
    </r>
  </si>
  <si>
    <t xml:space="preserve">凉亭</t>
  </si>
  <si>
    <t xml:space="preserve">凉亭顶部雨后积水不退</t>
  </si>
  <si>
    <t xml:space="preserve">雨水管被落叶堵死，预计重新改管道</t>
  </si>
  <si>
    <t xml:space="preserve">次卧外墙窗边渗水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</si>
  <si>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19:00</t>
    </r>
  </si>
  <si>
    <t xml:space="preserve">已查看，业主要求先处理室内墙面，再排查渗水点并尽快修复</t>
  </si>
  <si>
    <t xml:space="preserve">2301</t>
  </si>
  <si>
    <t xml:space="preserve">燃气灶左边炉头点不着</t>
  </si>
  <si>
    <t xml:space="preserve">燃气厨电</t>
  </si>
  <si>
    <t xml:space="preserve">已由燃气公司人员处理</t>
  </si>
  <si>
    <t xml:space="preserve">1201</t>
  </si>
  <si>
    <t xml:space="preserve">厨房下水管接头滴水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</si>
  <si>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9:00</t>
    </r>
  </si>
  <si>
    <t xml:space="preserve">空调出风口发霉有黑点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</si>
  <si>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16:00</t>
    </r>
  </si>
  <si>
    <t xml:space="preserve">已清洗消毒</t>
  </si>
  <si>
    <t xml:space="preserve">201</t>
  </si>
  <si>
    <t xml:space="preserve">房门锁舌弹不回来</t>
  </si>
  <si>
    <t xml:space="preserve">2403</t>
  </si>
  <si>
    <t xml:space="preserve">出租前需要核对水电表读数</t>
  </si>
  <si>
    <t xml:space="preserve">其他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</si>
  <si>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上午</t>
    </r>
  </si>
  <si>
    <t xml:space="preserve">3304</t>
  </si>
  <si>
    <t xml:space="preserve">空调外机噪音大</t>
  </si>
  <si>
    <t xml:space="preserve">非物业维修范围，业主已联系空调售后</t>
  </si>
  <si>
    <t xml:space="preserve">2503</t>
  </si>
  <si>
    <t xml:space="preserve">客厅需要安装吸顶灯</t>
  </si>
  <si>
    <t xml:space="preserve">1102</t>
  </si>
  <si>
    <t xml:space="preserve">客厅灯带一半不亮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</si>
  <si>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15:31</t>
    </r>
  </si>
  <si>
    <t xml:space="preserve">很好，服务到位</t>
  </si>
  <si>
    <t xml:space="preserve">主卧外墙渗水，墙纸发霉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</si>
  <si>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17:00</t>
    </r>
  </si>
  <si>
    <t xml:space="preserve">已现场拍照留证，待后续协商处理（业主意向使用公共维修资金）</t>
  </si>
  <si>
    <t xml:space="preserve">502</t>
  </si>
  <si>
    <t xml:space="preserve">卫生间门框受潮变形，浴室柜板脱皮</t>
  </si>
  <si>
    <t xml:space="preserve">1004</t>
  </si>
  <si>
    <t xml:space="preserve">窗帘滑轨脱落、玄关灯带不亮、门把手松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</si>
  <si>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17:00</t>
    </r>
  </si>
  <si>
    <r>
      <rPr>
        <sz val="10"/>
        <color rgb="FF141413"/>
        <rFont val="WenQuanYi Zen Hei"/>
        <family val="2"/>
      </rPr>
      <t xml:space="preserve">灯带变压器（</t>
    </r>
    <r>
      <rPr>
        <sz val="10"/>
        <color rgb="FF141413"/>
        <rFont val="等线"/>
        <family val="0"/>
        <charset val="1"/>
      </rPr>
      <t xml:space="preserve">12V/4A</t>
    </r>
    <r>
      <rPr>
        <sz val="10"/>
        <color rgb="FF141413"/>
        <rFont val="WenQuanYi Zen Hei"/>
        <family val="2"/>
      </rPr>
      <t xml:space="preserve">）需业主自购，到货后再约更换</t>
    </r>
  </si>
  <si>
    <t xml:space="preserve">1901</t>
  </si>
  <si>
    <t xml:space="preserve">门把手松动；门口感应灯常亮，想加装开关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</si>
  <si>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20:40</t>
    </r>
  </si>
  <si>
    <t xml:space="preserve">经业主同意，先将门口感应灯电源断开</t>
  </si>
  <si>
    <t xml:space="preserve">厨房、卫生间门槛石松动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</si>
  <si>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21:20</t>
    </r>
  </si>
  <si>
    <t xml:space="preserve">2101</t>
  </si>
  <si>
    <t xml:space="preserve">洗手盆下水返臭</t>
  </si>
  <si>
    <t xml:space="preserve">已加装存水弯</t>
  </si>
  <si>
    <t xml:space="preserve">3302</t>
  </si>
  <si>
    <t xml:space="preserve">入户门关不严，漏风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</si>
  <si>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10:30</t>
    </r>
  </si>
  <si>
    <t xml:space="preserve">淋浴房挡水胶条脱落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</si>
  <si>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下午</t>
    </r>
  </si>
  <si>
    <t xml:space="preserve">2704</t>
  </si>
  <si>
    <t xml:space="preserve">空调开机风口滴水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</si>
  <si>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2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15:00</t>
    </r>
  </si>
  <si>
    <t xml:space="preserve">已加贴保温棉</t>
  </si>
  <si>
    <t xml:space="preserve">702</t>
  </si>
  <si>
    <t xml:space="preserve">橱柜门下垂关不上</t>
  </si>
  <si>
    <t xml:space="preserve">1301</t>
  </si>
  <si>
    <t xml:space="preserve">卧室墙面出现细小裂纹</t>
  </si>
  <si>
    <t xml:space="preserve">已现场查看，待腻子干透后打磨修补</t>
  </si>
  <si>
    <r>
      <rPr>
        <sz val="10"/>
        <color rgb="FF141413"/>
        <rFont val="等线"/>
        <family val="0"/>
        <charset val="1"/>
      </rPr>
      <t xml:space="preserve">946</t>
    </r>
    <r>
      <rPr>
        <sz val="10"/>
        <color rgb="FF141413"/>
        <rFont val="WenQuanYi Zen Hei"/>
        <family val="2"/>
      </rPr>
      <t xml:space="preserve">车位</t>
    </r>
  </si>
  <si>
    <t xml:space="preserve">车位上方灯管闪烁</t>
  </si>
  <si>
    <t xml:space="preserve">负一</t>
  </si>
  <si>
    <t xml:space="preserve">负一层防火门关不上</t>
  </si>
  <si>
    <t xml:space="preserve">电梯厅排风扇不转</t>
  </si>
  <si>
    <t xml:space="preserve">已更换新风扇</t>
  </si>
  <si>
    <t xml:space="preserve">大堂门禁主机反复重启</t>
  </si>
  <si>
    <r>
      <rPr>
        <sz val="10"/>
        <color rgb="FF141413"/>
        <rFont val="等线"/>
        <family val="0"/>
        <charset val="1"/>
      </rPr>
      <t xml:space="preserve">919</t>
    </r>
    <r>
      <rPr>
        <sz val="10"/>
        <color rgb="FF141413"/>
        <rFont val="WenQuanYi Zen Hei"/>
        <family val="2"/>
      </rPr>
      <t xml:space="preserve">车位</t>
    </r>
  </si>
  <si>
    <t xml:space="preserve">车道灯管不亮</t>
  </si>
  <si>
    <t xml:space="preserve">602</t>
  </si>
  <si>
    <t xml:space="preserve">淋浴房推拉门滑不动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</si>
  <si>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上午</t>
    </r>
  </si>
  <si>
    <t xml:space="preserve">1904</t>
  </si>
  <si>
    <t xml:space="preserve">卫生间门关不上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</si>
  <si>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</t>
    </r>
  </si>
  <si>
    <t xml:space="preserve">业主致电表扬师傅</t>
  </si>
  <si>
    <t xml:space="preserve">卫生间排气扇有响声不转</t>
  </si>
  <si>
    <t xml:space="preserve">2402</t>
  </si>
  <si>
    <t xml:space="preserve">门把手松动</t>
  </si>
  <si>
    <t xml:space="preserve">2203</t>
  </si>
  <si>
    <t xml:space="preserve">下雨后阳台地漏积水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</si>
  <si>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11:00</t>
    </r>
  </si>
  <si>
    <t xml:space="preserve">已疏通并清理落叶杂物</t>
  </si>
  <si>
    <t xml:space="preserve">2903</t>
  </si>
  <si>
    <t xml:space="preserve">客厅一排插座没电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</si>
  <si>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下午</t>
    </r>
  </si>
  <si>
    <t xml:space="preserve">漏保跳闸已复位</t>
  </si>
  <si>
    <t xml:space="preserve">处理及时，点赞</t>
  </si>
  <si>
    <t xml:space="preserve">次卧窗户密封条老化，下雨进水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</si>
  <si>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15:30</t>
    </r>
  </si>
  <si>
    <t xml:space="preserve">204</t>
  </si>
  <si>
    <t xml:space="preserve">厨房水槽下方接口渗水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</si>
  <si>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17:00</t>
    </r>
  </si>
  <si>
    <t xml:space="preserve">已重新打胶紧固</t>
  </si>
  <si>
    <t xml:space="preserve">主卧空调开机有咔咔声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</si>
  <si>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19:00</t>
    </r>
  </si>
  <si>
    <t xml:space="preserve">已紧固内机挂板</t>
  </si>
  <si>
    <t xml:space="preserve">大门</t>
  </si>
  <si>
    <t xml:space="preserve">单元大门闭门器失灵、刮地</t>
  </si>
  <si>
    <t xml:space="preserve">1304</t>
  </si>
  <si>
    <t xml:space="preserve">镜柜门脱落，阳台雨后渗水</t>
  </si>
  <si>
    <t xml:space="preserve">阳台渗水点已打胶，待胶干后补漆；镜柜铰链待配件到货后安装</t>
  </si>
  <si>
    <t xml:space="preserve">3002</t>
  </si>
  <si>
    <t xml:space="preserve">需要加装插座并固定门把手</t>
  </si>
  <si>
    <t xml:space="preserve">门把手已固定，插座待业主买好面板后再约时间</t>
  </si>
  <si>
    <t xml:space="preserve">1104</t>
  </si>
  <si>
    <t xml:space="preserve">橱柜层板托脱落</t>
  </si>
  <si>
    <t xml:space="preserve">次卧门把手松动</t>
  </si>
  <si>
    <t xml:space="preserve">很棒，谢谢师傅</t>
  </si>
  <si>
    <t xml:space="preserve">2304</t>
  </si>
  <si>
    <t xml:space="preserve">浴室柜玻璃门关不上</t>
  </si>
  <si>
    <t xml:space="preserve">厨房门口门槛石松了，踩上去会动</t>
  </si>
  <si>
    <t xml:space="preserve">1503</t>
  </si>
  <si>
    <t xml:space="preserve">玄关踢脚线脱落</t>
  </si>
  <si>
    <t xml:space="preserve">3301</t>
  </si>
  <si>
    <t xml:space="preserve">家里总闸频繁跳闸</t>
  </si>
  <si>
    <t xml:space="preserve">已排查线路，持续观察使用情况</t>
  </si>
  <si>
    <t xml:space="preserve">3204</t>
  </si>
  <si>
    <t xml:space="preserve">卫生间镜柜灯不亮</t>
  </si>
  <si>
    <t xml:space="preserve">业主在群里点赞表扬</t>
  </si>
  <si>
    <t xml:space="preserve">303</t>
  </si>
  <si>
    <t xml:space="preserve">厨房一用电就跳闸</t>
  </si>
  <si>
    <t xml:space="preserve">商铺</t>
  </si>
  <si>
    <t xml:space="preserve">124</t>
  </si>
  <si>
    <t xml:space="preserve">店面招牌需协助打孔固定</t>
  </si>
  <si>
    <t xml:space="preserve">阳台推拉门卡住拉不动</t>
  </si>
  <si>
    <t xml:space="preserve">3303</t>
  </si>
  <si>
    <t xml:space="preserve">衣柜门铰链断了</t>
  </si>
  <si>
    <t xml:space="preserve">智能门锁需要更换电池</t>
  </si>
  <si>
    <t xml:space="preserve">2102</t>
  </si>
  <si>
    <t xml:space="preserve">镜前灯闪烁后不亮</t>
  </si>
  <si>
    <t xml:space="preserve">已更换灯珠</t>
  </si>
  <si>
    <t xml:space="preserve">厨房吊柜门歪了关不严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</si>
  <si>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14:00</t>
    </r>
  </si>
  <si>
    <t xml:space="preserve">1202</t>
  </si>
  <si>
    <t xml:space="preserve">主卫花洒软管接头漏水</t>
  </si>
  <si>
    <t xml:space="preserve">已更换软管密封圈</t>
  </si>
  <si>
    <t xml:space="preserve">1003</t>
  </si>
  <si>
    <t xml:space="preserve">客厅空调久未开启，出风有霉味</t>
  </si>
  <si>
    <t xml:space="preserve">已清洗滤网并消毒</t>
  </si>
  <si>
    <t xml:space="preserve">2802</t>
  </si>
  <si>
    <t xml:space="preserve">连续下雨后阳台墙面渗水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</si>
  <si>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18:30</t>
    </r>
  </si>
  <si>
    <t xml:space="preserve">已拍照留证，待联系防水单位复查</t>
  </si>
  <si>
    <r>
      <rPr>
        <sz val="10"/>
        <color rgb="FF141413"/>
        <rFont val="等线"/>
        <family val="0"/>
        <charset val="1"/>
      </rPr>
      <t xml:space="preserve">254</t>
    </r>
    <r>
      <rPr>
        <sz val="10"/>
        <color rgb="FF141413"/>
        <rFont val="WenQuanYi Zen Hei"/>
        <family val="2"/>
      </rPr>
      <t xml:space="preserve">车位</t>
    </r>
  </si>
  <si>
    <t xml:space="preserve">车位顶板漏水</t>
  </si>
  <si>
    <r>
      <rPr>
        <sz val="10"/>
        <color rgb="FF141413"/>
        <rFont val="等线"/>
        <family val="0"/>
        <charset val="1"/>
      </rPr>
      <t xml:space="preserve">557</t>
    </r>
    <r>
      <rPr>
        <sz val="10"/>
        <color rgb="FF141413"/>
        <rFont val="WenQuanYi Zen Hei"/>
        <family val="2"/>
      </rPr>
      <t xml:space="preserve">车位</t>
    </r>
  </si>
  <si>
    <t xml:space="preserve">充电桩充电时跳闸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</si>
  <si>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栋负一防火门关不拢</t>
    </r>
  </si>
  <si>
    <r>
      <rPr>
        <sz val="10"/>
        <color rgb="FF141413"/>
        <rFont val="等线"/>
        <family val="0"/>
        <charset val="1"/>
      </rPr>
      <t xml:space="preserve">3</t>
    </r>
    <r>
      <rPr>
        <sz val="10"/>
        <color rgb="FF141413"/>
        <rFont val="WenQuanYi Zen Hei"/>
        <family val="2"/>
      </rPr>
      <t xml:space="preserve">栋大堂门禁从里面开不了</t>
    </r>
  </si>
  <si>
    <t xml:space="preserve">1704</t>
  </si>
  <si>
    <t xml:space="preserve">房间两盏筒灯不亮，空调不制冷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</si>
  <si>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</t>
    </r>
  </si>
  <si>
    <t xml:space="preserve">空调不制冷已解决，筒灯待业主买好后更换</t>
  </si>
  <si>
    <t xml:space="preserve">402</t>
  </si>
  <si>
    <t xml:space="preserve">卫生间下水道返臭</t>
  </si>
  <si>
    <t xml:space="preserve">张师傅很有礼貌也很耐心，检查得很仔细，点赞！</t>
  </si>
  <si>
    <t xml:space="preserve">阳台洗衣机下水漏水</t>
  </si>
  <si>
    <t xml:space="preserve">空调导风百叶脱落需更换</t>
  </si>
  <si>
    <t xml:space="preserve">2002</t>
  </si>
  <si>
    <t xml:space="preserve">客厅灯关了还微微亮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</si>
  <si>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18:00</t>
    </r>
  </si>
  <si>
    <t xml:space="preserve">镜柜铰链到货了，麻烦上门安装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</si>
  <si>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18:30</t>
    </r>
  </si>
  <si>
    <t xml:space="preserve">3102</t>
  </si>
  <si>
    <t xml:space="preserve">厨房插座没电，卫生间灯不亮</t>
  </si>
  <si>
    <t xml:space="preserve">热水器出水小，门口墙面漆被碰掉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</si>
  <si>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19:00</t>
    </r>
  </si>
  <si>
    <t xml:space="preserve">1101</t>
  </si>
  <si>
    <t xml:space="preserve">墙角瓷砖松动需要粘贴</t>
  </si>
  <si>
    <t xml:space="preserve">次日上门补粘门框，已处理</t>
  </si>
  <si>
    <t xml:space="preserve">804</t>
  </si>
  <si>
    <t xml:space="preserve">阳台墙砖松动需要粘一下</t>
  </si>
  <si>
    <t xml:space="preserve">取消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</si>
  <si>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19:30</t>
    </r>
  </si>
  <si>
    <t xml:space="preserve">202</t>
  </si>
  <si>
    <t xml:space="preserve">燃气灶打火好几次才着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</si>
  <si>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上午</t>
    </r>
  </si>
  <si>
    <t xml:space="preserve">已清理点火针</t>
  </si>
  <si>
    <t xml:space="preserve">1502</t>
  </si>
  <si>
    <t xml:space="preserve">洗衣机排水溢出，地漏堵塞</t>
  </si>
  <si>
    <t xml:space="preserve">次卧门吸掉了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</si>
  <si>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14:30</t>
    </r>
  </si>
  <si>
    <t xml:space="preserve">卫生间墙砖空鼓开裂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</si>
  <si>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16:00</t>
    </r>
  </si>
  <si>
    <t xml:space="preserve">待业主确认施工时间后返修</t>
  </si>
  <si>
    <t xml:space="preserve">1603</t>
  </si>
  <si>
    <t xml:space="preserve">新买的餐厅吊灯需要安装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</si>
  <si>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18:00</t>
    </r>
  </si>
  <si>
    <t xml:space="preserve">安装很到位，感谢师傅</t>
  </si>
  <si>
    <t xml:space="preserve">主卧窗帘轨道一侧脱落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</si>
  <si>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4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19:30</t>
    </r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</si>
  <si>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栋货梯空调不凉</t>
    </r>
  </si>
  <si>
    <t xml:space="preserve">2601</t>
  </si>
  <si>
    <t xml:space="preserve">家里突然停电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</si>
  <si>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日 上午</t>
    </r>
  </si>
  <si>
    <t xml:space="preserve">厨房台面与墙面接缝开裂</t>
  </si>
  <si>
    <t xml:space="preserve">已重新打胶</t>
  </si>
  <si>
    <t xml:space="preserve">小孩把卫生间门反锁了打不开</t>
  </si>
  <si>
    <t xml:space="preserve">空调排水管脱落，外墙滴水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</si>
  <si>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11:30</t>
    </r>
  </si>
  <si>
    <t xml:space="preserve">已重新接驳固定</t>
  </si>
  <si>
    <t xml:space="preserve">入户门猫眼松动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</si>
  <si>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日 下午</t>
    </r>
  </si>
  <si>
    <t xml:space="preserve">203</t>
  </si>
  <si>
    <t xml:space="preserve">阳台晾衣架一边高一边低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</si>
  <si>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15:00</t>
    </r>
  </si>
  <si>
    <t xml:space="preserve">已调整钢丝绳</t>
  </si>
  <si>
    <t xml:space="preserve">次卫洗手盆排水慢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</si>
  <si>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17:30</t>
    </r>
  </si>
  <si>
    <t xml:space="preserve">客厅木地板受潮起拱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</si>
  <si>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19:00</t>
    </r>
  </si>
  <si>
    <t xml:space="preserve">已压平处理，持续观察</t>
  </si>
  <si>
    <t xml:space="preserve">803</t>
  </si>
  <si>
    <t xml:space="preserve">厨房下水道堵了，水下不去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</si>
  <si>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上午</t>
    </r>
  </si>
  <si>
    <t xml:space="preserve">厨房下水管老化需更换，客厅空调管要补贴保温棉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</si>
  <si>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17:00</t>
    </r>
  </si>
  <si>
    <t xml:space="preserve">卫生间墙角瓷砖掉了一块需要粘回去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</si>
  <si>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14:00</t>
    </r>
  </si>
  <si>
    <t xml:space="preserve">家里要换两个插座，顺便修一下门锁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</si>
  <si>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15:00</t>
    </r>
  </si>
  <si>
    <t xml:space="preserve">下午三点半后来看下厨房移门，很重不好拉，厕所门也是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</si>
  <si>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约</t>
    </r>
    <r>
      <rPr>
        <sz val="10"/>
        <color rgb="FF141413"/>
        <rFont val="等线"/>
        <family val="0"/>
        <charset val="1"/>
      </rPr>
      <t xml:space="preserve">15:30</t>
    </r>
  </si>
  <si>
    <t xml:space="preserve">401</t>
  </si>
  <si>
    <t xml:space="preserve">想把次卧门换成带锁的儿童房门，物业可以换吗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</si>
  <si>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下午</t>
    </r>
  </si>
  <si>
    <t xml:space="preserve">3203</t>
  </si>
  <si>
    <t xml:space="preserve">楼下业主反映楼上有异响，帮忙上去看看，业主在家</t>
  </si>
  <si>
    <t xml:space="preserve">卧室门框线条脱落</t>
  </si>
  <si>
    <t xml:space="preserve">2702</t>
  </si>
  <si>
    <t xml:space="preserve">主卧空调开了半小时还不凉</t>
  </si>
  <si>
    <t xml:space="preserve">已补充冷媒</t>
  </si>
  <si>
    <t xml:space="preserve">2404</t>
  </si>
  <si>
    <t xml:space="preserve">油烟机排烟管接口漏烟</t>
  </si>
  <si>
    <t xml:space="preserve">主卫地漏有臭味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</si>
  <si>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14:00</t>
    </r>
  </si>
  <si>
    <t xml:space="preserve">已更换防臭芯</t>
  </si>
  <si>
    <t xml:space="preserve">入户门开关时吱吱响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</si>
  <si>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15:30</t>
    </r>
  </si>
  <si>
    <t xml:space="preserve">603</t>
  </si>
  <si>
    <t xml:space="preserve">次卧插座面板松了，插头插不稳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</si>
  <si>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17:00</t>
    </r>
  </si>
  <si>
    <t xml:space="preserve">1401</t>
  </si>
  <si>
    <t xml:space="preserve">雨后客厅外墙边渗水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</si>
  <si>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6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18:30</t>
    </r>
  </si>
  <si>
    <t xml:space="preserve">已排查楼上管道，待雨后复测确认渗水点</t>
  </si>
  <si>
    <t xml:space="preserve">燃气灶点火打不着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</si>
  <si>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7</t>
    </r>
    <r>
      <rPr>
        <sz val="10"/>
        <color rgb="FF141413"/>
        <rFont val="WenQuanYi Zen Hei"/>
        <family val="2"/>
      </rPr>
      <t xml:space="preserve">日 上午</t>
    </r>
  </si>
  <si>
    <t xml:space="preserve">早晚用水高峰水压小</t>
  </si>
  <si>
    <t xml:space="preserve">已上门查看，入户阀门已开到最大，应为用水高峰期水压偏低</t>
  </si>
  <si>
    <t xml:space="preserve">想挂电视需要打孔</t>
  </si>
  <si>
    <t xml:space="preserve">浴室移门脱轨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</si>
  <si>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7</t>
    </r>
    <r>
      <rPr>
        <sz val="10"/>
        <color rgb="FF141413"/>
        <rFont val="WenQuanYi Zen Hei"/>
        <family val="2"/>
      </rPr>
      <t xml:space="preserve">日 下午</t>
    </r>
  </si>
  <si>
    <t xml:space="preserve">1701</t>
  </si>
  <si>
    <t xml:space="preserve">空调线控面板按键失灵</t>
  </si>
  <si>
    <t xml:space="preserve">厨房水槽下面漏水，柜子泡湿了</t>
  </si>
  <si>
    <t xml:space="preserve">已更换下水软管</t>
  </si>
  <si>
    <t xml:space="preserve">阳台灯不亮</t>
  </si>
  <si>
    <t xml:space="preserve">淋浴房玻璃门滑轮坏了需更换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</si>
  <si>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7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11:00</t>
    </r>
  </si>
  <si>
    <t xml:space="preserve">业主当面表扬师傅</t>
  </si>
  <si>
    <t xml:space="preserve">入户门门槛石翘起</t>
  </si>
  <si>
    <t xml:space="preserve">已重新粘接</t>
  </si>
  <si>
    <t xml:space="preserve">空调面板显示故障代码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</si>
  <si>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7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16:00</t>
    </r>
  </si>
  <si>
    <t xml:space="preserve">已联系空调厂家售后协同处理</t>
  </si>
  <si>
    <t xml:space="preserve">2804</t>
  </si>
  <si>
    <t xml:space="preserve">卫生间浴霸换气扇不转</t>
  </si>
  <si>
    <r>
      <rPr>
        <sz val="10"/>
        <color rgb="FF141413"/>
        <rFont val="等线"/>
        <family val="0"/>
        <charset val="1"/>
      </rPr>
      <t xml:space="preserve">5</t>
    </r>
    <r>
      <rPr>
        <sz val="10"/>
        <color rgb="FF141413"/>
        <rFont val="WenQuanYi Zen Hei"/>
        <family val="2"/>
      </rPr>
      <t xml:space="preserve">月</t>
    </r>
    <r>
      <rPr>
        <sz val="10"/>
        <color rgb="FF141413"/>
        <rFont val="等线"/>
        <family val="0"/>
        <charset val="1"/>
      </rPr>
      <t xml:space="preserve">7</t>
    </r>
    <r>
      <rPr>
        <sz val="10"/>
        <color rgb="FF141413"/>
        <rFont val="WenQuanYi Zen Hei"/>
        <family val="2"/>
      </rPr>
      <t xml:space="preserve">日 </t>
    </r>
    <r>
      <rPr>
        <sz val="10"/>
        <color rgb="FF141413"/>
        <rFont val="等线"/>
        <family val="0"/>
        <charset val="1"/>
      </rPr>
      <t xml:space="preserve">18:00</t>
    </r>
  </si>
  <si>
    <t xml:space="preserve">已更换换气电机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</si>
  <si>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</si>
  <si>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</si>
  <si>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</si>
  <si>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</si>
  <si>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</si>
  <si>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</si>
  <si>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</si>
  <si>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</si>
  <si>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</si>
  <si>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</si>
  <si>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r>
      <rPr>
        <sz val="8.5"/>
        <color rgb="FF87867F"/>
        <rFont val="WenQuanYi Zen Hei"/>
        <family val="2"/>
      </rPr>
      <t xml:space="preserve">跟进中 </t>
    </r>
    <r>
      <rPr>
        <sz val="8.5"/>
        <color rgb="FF87867F"/>
        <rFont val="等线"/>
        <family val="0"/>
        <charset val="1"/>
      </rPr>
      <t xml:space="preserve">/ </t>
    </r>
    <r>
      <rPr>
        <sz val="8.5"/>
        <color rgb="FF87867F"/>
        <rFont val="WenQuanYi Zen Hei"/>
        <family val="2"/>
      </rPr>
      <t xml:space="preserve">需另约 </t>
    </r>
    <r>
      <rPr>
        <sz val="8.5"/>
        <color rgb="FF87867F"/>
        <rFont val="等线"/>
        <family val="0"/>
        <charset val="1"/>
      </rPr>
      <t xml:space="preserve">/ </t>
    </r>
    <r>
      <rPr>
        <sz val="8.5"/>
        <color rgb="FF87867F"/>
        <rFont val="WenQuanYi Zen Hei"/>
        <family val="2"/>
      </rPr>
      <t xml:space="preserve">没填状态</t>
    </r>
  </si>
  <si>
    <r>
      <rPr>
        <sz val="8.5"/>
        <color rgb="FF87867F"/>
        <rFont val="WenQuanYi Zen Hei"/>
        <family val="2"/>
      </rPr>
      <t xml:space="preserve">同一户 </t>
    </r>
    <r>
      <rPr>
        <sz val="8.5"/>
        <color rgb="FF87867F"/>
        <rFont val="等线"/>
        <family val="0"/>
        <charset val="1"/>
      </rPr>
      <t xml:space="preserve">/ </t>
    </r>
    <r>
      <rPr>
        <sz val="8.5"/>
        <color rgb="FF87867F"/>
        <rFont val="WenQuanYi Zen Hei"/>
        <family val="2"/>
      </rPr>
      <t xml:space="preserve">同一位置 ≥ </t>
    </r>
    <r>
      <rPr>
        <sz val="8.5"/>
        <color rgb="FF87867F"/>
        <rFont val="等线"/>
        <family val="0"/>
        <charset val="1"/>
      </rPr>
      <t xml:space="preserve">2 </t>
    </r>
    <r>
      <rPr>
        <sz val="8.5"/>
        <color rgb="FF87867F"/>
        <rFont val="WenQuanYi Zen Hei"/>
        <family val="2"/>
      </rPr>
      <t xml:space="preserve">次</t>
    </r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</si>
  <si>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</si>
  <si>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</si>
  <si>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</si>
  <si>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</si>
  <si>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</si>
  <si>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</si>
  <si>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</si>
  <si>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</si>
  <si>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</si>
  <si>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</si>
  <si>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</si>
  <si>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</si>
  <si>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</si>
  <si>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</si>
  <si>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r>
      <rPr>
        <sz val="8.5"/>
        <color rgb="FF87867F"/>
        <rFont val="WenQuanYi Zen Hei"/>
        <family val="2"/>
      </rPr>
      <t xml:space="preserve">已完成 </t>
    </r>
    <r>
      <rPr>
        <sz val="8.5"/>
        <color rgb="FF87867F"/>
        <rFont val="等线"/>
        <family val="0"/>
        <charset val="1"/>
      </rPr>
      <t xml:space="preserve">÷ </t>
    </r>
    <r>
      <rPr>
        <sz val="8.5"/>
        <color rgb="FF87867F"/>
        <rFont val="WenQuanYi Zen Hei"/>
        <family val="2"/>
      </rPr>
      <t xml:space="preserve">报修量</t>
    </r>
  </si>
  <si>
    <r>
      <rPr>
        <sz val="8.5"/>
        <color rgb="FF87867F"/>
        <rFont val="WenQuanYi Zen Hei"/>
        <family val="2"/>
      </rPr>
      <t xml:space="preserve">满意以上 </t>
    </r>
    <r>
      <rPr>
        <sz val="8.5"/>
        <color rgb="FF87867F"/>
        <rFont val="等线"/>
        <family val="0"/>
        <charset val="1"/>
      </rPr>
      <t xml:space="preserve">÷ </t>
    </r>
    <r>
      <rPr>
        <sz val="8.5"/>
        <color rgb="FF87867F"/>
        <rFont val="WenQuanYi Zen Hei"/>
        <family val="2"/>
      </rPr>
      <t xml:space="preserve">已评价</t>
    </r>
  </si>
  <si>
    <t xml:space="preserve">只算填了完成日期的单</t>
  </si>
  <si>
    <t xml:space="preserve">台账「耗材费」合计</t>
  </si>
  <si>
    <r>
      <rPr>
        <b val="true"/>
        <sz val="10"/>
        <color rgb="FF141413"/>
        <rFont val="WenQuanYi Zen Hei"/>
        <family val="2"/>
      </rPr>
      <t xml:space="preserve">师傅排行（按已完成单数；一张单两位师傅跟进，各算 </t>
    </r>
    <r>
      <rPr>
        <b val="true"/>
        <sz val="10"/>
        <color rgb="FF141413"/>
        <rFont val="等线"/>
        <family val="0"/>
        <charset val="1"/>
      </rPr>
      <t xml:space="preserve">1 </t>
    </r>
    <r>
      <rPr>
        <b val="true"/>
        <sz val="10"/>
        <color rgb="FF141413"/>
        <rFont val="WenQuanYi Zen Hei"/>
        <family val="2"/>
      </rPr>
      <t xml:space="preserve">单）</t>
    </r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</si>
  <si>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</si>
  <si>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</si>
  <si>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</si>
  <si>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</si>
  <si>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</si>
  <si>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</si>
  <si>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</si>
  <si>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r>
      <rPr>
        <b val="true"/>
        <sz val="10"/>
        <color rgb="FFFAF9F5"/>
        <rFont val="WenQuanYi Zen Hei"/>
        <family val="2"/>
      </rPr>
      <t xml:space="preserve">耗材</t>
    </r>
    <r>
      <rPr>
        <b val="true"/>
        <sz val="10"/>
        <color rgb="FFFAF9F5"/>
        <rFont val="等线"/>
        <family val="0"/>
        <charset val="1"/>
      </rPr>
      <t xml:space="preserve">(</t>
    </r>
    <r>
      <rPr>
        <b val="true"/>
        <sz val="10"/>
        <color rgb="FFFAF9F5"/>
        <rFont val="WenQuanYi Zen Hei"/>
        <family val="2"/>
      </rPr>
      <t xml:space="preserve">元</t>
    </r>
    <r>
      <rPr>
        <b val="true"/>
        <sz val="10"/>
        <color rgb="FFFAF9F5"/>
        <rFont val="等线"/>
        <family val="0"/>
        <charset val="1"/>
      </rPr>
      <t xml:space="preserve">)</t>
    </r>
  </si>
  <si>
    <t xml:space="preserve">未分类</t>
  </si>
  <si>
    <t xml:space="preserve">-</t>
  </si>
  <si>
    <t xml:space="preserve">合计</t>
  </si>
  <si>
    <t xml:space="preserve">按楼栋</t>
  </si>
  <si>
    <r>
      <rPr>
        <b val="true"/>
        <sz val="10"/>
        <color rgb="FF141413"/>
        <rFont val="WenQuanYi Zen Hei"/>
        <family val="2"/>
      </rPr>
      <t xml:space="preserve">师傅 </t>
    </r>
    <r>
      <rPr>
        <b val="true"/>
        <sz val="10"/>
        <color rgb="FF141413"/>
        <rFont val="等线"/>
        <family val="0"/>
        <charset val="1"/>
      </rPr>
      <t xml:space="preserve">× </t>
    </r>
    <r>
      <rPr>
        <b val="true"/>
        <sz val="10"/>
        <color rgb="FF141413"/>
        <rFont val="WenQuanYi Zen Hei"/>
        <family val="2"/>
      </rPr>
      <t xml:space="preserve">楼栋（本期接单数，看每位师傅熟悉哪些楼）</t>
    </r>
  </si>
  <si>
    <t xml:space="preserve">单元查询　｜　选楼栋、填房号，调出这一户的全部维修记录</t>
  </si>
  <si>
    <r>
      <rPr>
        <b val="true"/>
        <sz val="10"/>
        <color rgb="FF141413"/>
        <rFont val="等线"/>
        <family val="0"/>
        <charset val="1"/>
      </rPr>
      <t xml:space="preserve">6</t>
    </r>
    <r>
      <rPr>
        <b val="true"/>
        <sz val="10"/>
        <color rgb="FF141413"/>
        <rFont val="WenQuanYi Zen Hei"/>
        <family val="2"/>
      </rPr>
      <t xml:space="preserve">栋</t>
    </r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</si>
  <si>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</si>
  <si>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</si>
  <si>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</si>
  <si>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</si>
  <si>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</si>
  <si>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设置</t>
  </si>
  <si>
    <t xml:space="preserve">米黄色格可以改；灰字区域是公式，别动。改了名单，台账的下拉和仪表盘会一起变。</t>
  </si>
  <si>
    <t xml:space="preserve">统计基准日（留空＝今天）</t>
  </si>
  <si>
    <r>
      <rPr>
        <sz val="9"/>
        <color rgb="FF5E5D59"/>
        <rFont val="WenQuanYi Zen Hei"/>
        <family val="2"/>
      </rPr>
      <t xml:space="preserve">示例固定在 </t>
    </r>
    <r>
      <rPr>
        <sz val="9"/>
        <color rgb="FF5E5D59"/>
        <rFont val="等线"/>
        <family val="0"/>
        <charset val="1"/>
      </rPr>
      <t xml:space="preserve">2025-05-07</t>
    </r>
    <r>
      <rPr>
        <sz val="9"/>
        <color rgb="FF5E5D59"/>
        <rFont val="WenQuanYi Zen Hei"/>
        <family val="2"/>
      </rPr>
      <t xml:space="preserve">，日常使用请清空</t>
    </r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</si>
  <si>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</si>
  <si>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</si>
  <si>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</si>
  <si>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</si>
  <si>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</si>
  <si>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</si>
  <si>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</si>
  <si>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</si>
  <si>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</si>
  <si>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r>
      <rPr>
        <sz val="9"/>
        <color rgb="FF5E5D59"/>
        <rFont val="WenQuanYi Zen Hei"/>
        <family val="2"/>
      </rPr>
      <t xml:space="preserve">最多 </t>
    </r>
    <r>
      <rPr>
        <sz val="9"/>
        <color rgb="FF5E5D59"/>
        <rFont val="等线"/>
        <family val="0"/>
        <charset val="1"/>
      </rPr>
      <t xml:space="preserve">5 </t>
    </r>
    <r>
      <rPr>
        <sz val="9"/>
        <color rgb="FF5E5D59"/>
        <rFont val="WenQuanYi Zen Hei"/>
        <family val="2"/>
      </rPr>
      <t xml:space="preserve">位师傅。下拉末项「取消」＝派单作废。</t>
    </r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</si>
  <si>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</si>
  <si>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</si>
  <si>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</si>
  <si>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</si>
  <si>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</si>
  <si>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</si>
  <si>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</si>
  <si>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</si>
  <si>
    <r>
      <rPr>
        <sz val="20"/>
        <color rgb="FF141413"/>
        <rFont val="WenQuanYi Zen Hei"/>
        <family val="2"/>
      </rPr>
      <t xml:space="preserve">工程维修台账 </t>
    </r>
    <r>
      <rPr>
        <sz val="20"/>
        <color rgb="FF141413"/>
        <rFont val="宋体"/>
        <family val="0"/>
        <charset val="1"/>
      </rPr>
      <t xml:space="preserve">· </t>
    </r>
    <r>
      <rPr>
        <sz val="20"/>
        <color rgb="FF141413"/>
        <rFont val="WenQuanYi Zen Hei"/>
        <family val="2"/>
      </rPr>
      <t xml:space="preserve">使用说明</t>
    </r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</si>
  <si>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</si>
  <si>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</si>
  <si>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</si>
  <si>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r>
      <rPr>
        <sz val="10.5"/>
        <color rgb="FF141413"/>
        <rFont val="WenQuanYi Zen Hei"/>
        <family val="2"/>
      </rPr>
      <t xml:space="preserve">在【工单台账】接着往下填：报修日期、类型（入户 </t>
    </r>
    <r>
      <rPr>
        <sz val="10.5"/>
        <color rgb="FF141413"/>
        <rFont val="等线"/>
        <family val="0"/>
        <charset val="1"/>
      </rPr>
      <t xml:space="preserve">/ </t>
    </r>
    <r>
      <rPr>
        <sz val="10.5"/>
        <color rgb="FF141413"/>
        <rFont val="WenQuanYi Zen Hei"/>
        <family val="2"/>
      </rPr>
      <t xml:space="preserve">公区）、楼栋、房号或位置、问题描述、维修类别。单据编号、处理天数、该户第几次会自动生成。</t>
    </r>
  </si>
  <si>
    <t xml:space="preserve">② 派单</t>
  </si>
  <si>
    <r>
      <rPr>
        <sz val="10.5"/>
        <color rgb="FF141413"/>
        <rFont val="WenQuanYi Zen Hei"/>
        <family val="2"/>
      </rPr>
      <t xml:space="preserve">每天早上在台账顶部给休息的师傅选「休息」。「跟进人</t>
    </r>
    <r>
      <rPr>
        <sz val="10.5"/>
        <color rgb="FF141413"/>
        <rFont val="等线"/>
        <family val="0"/>
        <charset val="1"/>
      </rPr>
      <t xml:space="preserve">1</t>
    </r>
    <r>
      <rPr>
        <sz val="10.5"/>
        <color rgb="FF141413"/>
        <rFont val="WenQuanYi Zen Hei"/>
        <family val="2"/>
      </rPr>
      <t xml:space="preserve">」下拉只列今天上班的师傅；两人协同时再填「跟进人</t>
    </r>
    <r>
      <rPr>
        <sz val="10.5"/>
        <color rgb="FF141413"/>
        <rFont val="等线"/>
        <family val="0"/>
        <charset val="1"/>
      </rPr>
      <t xml:space="preserve">2</t>
    </r>
    <r>
      <rPr>
        <sz val="10.5"/>
        <color rgb="FF141413"/>
        <rFont val="WenQuanYi Zen Hei"/>
        <family val="2"/>
      </rPr>
      <t xml:space="preserve">」。</t>
    </r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</si>
  <si>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</si>
  <si>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</si>
  <si>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</si>
  <si>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r>
      <rPr>
        <sz val="10.5"/>
        <color rgb="FF141413"/>
        <rFont val="WenQuanYi Zen Hei"/>
        <family val="2"/>
      </rPr>
      <t xml:space="preserve">「完成情况」改为「已完成」，同时填「完成日期」；有耗材收费的，填「耗材费</t>
    </r>
    <r>
      <rPr>
        <sz val="10.5"/>
        <color rgb="FF141413"/>
        <rFont val="等线"/>
        <family val="0"/>
        <charset val="1"/>
      </rPr>
      <t xml:space="preserve">(</t>
    </r>
    <r>
      <rPr>
        <sz val="10.5"/>
        <color rgb="FF141413"/>
        <rFont val="WenQuanYi Zen Hei"/>
        <family val="2"/>
      </rPr>
      <t xml:space="preserve">元</t>
    </r>
    <r>
      <rPr>
        <sz val="10.5"/>
        <color rgb="FF141413"/>
        <rFont val="等线"/>
        <family val="0"/>
        <charset val="1"/>
      </rPr>
      <t xml:space="preserve">)</t>
    </r>
    <r>
      <rPr>
        <sz val="10.5"/>
        <color rgb="FF141413"/>
        <rFont val="WenQuanYi Zen Hei"/>
        <family val="2"/>
      </rPr>
      <t xml:space="preserve">」。</t>
    </r>
  </si>
  <si>
    <t xml:space="preserve">⑤ 评价与回访</t>
  </si>
  <si>
    <t xml:space="preserve">完工后请业主评价，录入「维修评价」「业主意见与建议」。仪表盘第一部分列出未结和重复报修的住户，用来排回访。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</si>
  <si>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</si>
  <si>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</si>
  <si>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</si>
  <si>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</si>
  <si>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r>
      <rPr>
        <sz val="10.5"/>
        <color rgb="FF141413"/>
        <rFont val="WenQuanYi Zen Hei"/>
        <family val="2"/>
      </rPr>
      <t xml:space="preserve">一、现在要处理的事（未结、超期、重复报修）；二、这一期的表现（报修量、完成率、好评率、师傅排行）；三、问题集中在哪（类别、楼栋、师傅</t>
    </r>
    <r>
      <rPr>
        <sz val="10.5"/>
        <color rgb="FF141413"/>
        <rFont val="等线"/>
        <family val="0"/>
        <charset val="1"/>
      </rPr>
      <t xml:space="preserve">×</t>
    </r>
    <r>
      <rPr>
        <sz val="10.5"/>
        <color rgb="FF141413"/>
        <rFont val="WenQuanYi Zen Hei"/>
        <family val="2"/>
      </rPr>
      <t xml:space="preserve">楼栋）。二、三部分按「统计周期」切换当日 </t>
    </r>
    <r>
      <rPr>
        <sz val="10.5"/>
        <color rgb="FF141413"/>
        <rFont val="等线"/>
        <family val="0"/>
        <charset val="1"/>
      </rPr>
      <t xml:space="preserve">/ </t>
    </r>
    <r>
      <rPr>
        <sz val="10.5"/>
        <color rgb="FF141413"/>
        <rFont val="WenQuanYi Zen Hei"/>
        <family val="2"/>
      </rPr>
      <t xml:space="preserve">本周 </t>
    </r>
    <r>
      <rPr>
        <sz val="10.5"/>
        <color rgb="FF141413"/>
        <rFont val="等线"/>
        <family val="0"/>
        <charset val="1"/>
      </rPr>
      <t xml:space="preserve">/ </t>
    </r>
    <r>
      <rPr>
        <sz val="10.5"/>
        <color rgb="FF141413"/>
        <rFont val="WenQuanYi Zen Hei"/>
        <family val="2"/>
      </rPr>
      <t xml:space="preserve">本月 </t>
    </r>
    <r>
      <rPr>
        <sz val="10.5"/>
        <color rgb="FF141413"/>
        <rFont val="等线"/>
        <family val="0"/>
        <charset val="1"/>
      </rPr>
      <t xml:space="preserve">/ </t>
    </r>
    <r>
      <rPr>
        <sz val="10.5"/>
        <color rgb="FF141413"/>
        <rFont val="WenQuanYi Zen Hei"/>
        <family val="2"/>
      </rPr>
      <t xml:space="preserve">累计。</t>
    </r>
  </si>
  <si>
    <t xml:space="preserve">单元查询</t>
  </si>
  <si>
    <t xml:space="preserve">选楼栋、填房号，列出这一户的全部维修记录。接业主电话时用。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</si>
  <si>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</si>
  <si>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</si>
  <si>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</si>
  <si>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</si>
  <si>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</si>
  <si>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台账里灰色表头的三列：单据编号、处理天数、该户第几次；仪表盘、单元查询整张表；【设置】里的灰字计算区。台账右侧另有三列隐藏的辅助列，别删。</t>
  </si>
  <si>
    <t xml:space="preserve">新增工单</t>
  </si>
  <si>
    <r>
      <rPr>
        <sz val="10.5"/>
        <color rgb="FF141413"/>
        <rFont val="WenQuanYi Zen Hei"/>
        <family val="2"/>
      </rPr>
      <t xml:space="preserve">公式、下拉和颜色已铺到第 </t>
    </r>
    <r>
      <rPr>
        <sz val="10.5"/>
        <color rgb="FF141413"/>
        <rFont val="等线"/>
        <family val="0"/>
        <charset val="1"/>
      </rPr>
      <t xml:space="preserve">2006 </t>
    </r>
    <r>
      <rPr>
        <sz val="10.5"/>
        <color rgb="FF141413"/>
        <rFont val="WenQuanYi Zen Hei"/>
        <family val="2"/>
      </rPr>
      <t xml:space="preserve">行（约 </t>
    </r>
    <r>
      <rPr>
        <sz val="10.5"/>
        <color rgb="FF141413"/>
        <rFont val="等线"/>
        <family val="0"/>
        <charset val="1"/>
      </rPr>
      <t xml:space="preserve">2000 </t>
    </r>
    <r>
      <rPr>
        <sz val="10.5"/>
        <color rgb="FF141413"/>
        <rFont val="WenQuanYi Zen Hei"/>
        <family val="2"/>
      </rPr>
      <t xml:space="preserve">单），在最下面的空行接着填即可，不用复制公式。快满时在倒数几行中间插入整行再向下填充，或按季度另起一本。</t>
    </r>
  </si>
  <si>
    <t xml:space="preserve">四、颜色说明</t>
  </si>
  <si>
    <t xml:space="preserve">陶土橘</t>
  </si>
  <si>
    <r>
      <rPr>
        <sz val="10.5"/>
        <color rgb="FF141413"/>
        <rFont val="WenQuanYi Zen Hei"/>
        <family val="2"/>
      </rPr>
      <t xml:space="preserve">马上要处理：超期未结、优先 </t>
    </r>
    <r>
      <rPr>
        <sz val="10.5"/>
        <color rgb="FF141413"/>
        <rFont val="等线"/>
        <family val="0"/>
        <charset val="1"/>
      </rPr>
      <t xml:space="preserve">1</t>
    </r>
    <r>
      <rPr>
        <sz val="10.5"/>
        <color rgb="FF141413"/>
        <rFont val="WenQuanYi Zen Hei"/>
        <family val="2"/>
      </rPr>
      <t xml:space="preserve">。全表最醒目的颜色只留给这几件事。</t>
    </r>
  </si>
  <si>
    <t xml:space="preserve">浅陶土</t>
  </si>
  <si>
    <r>
      <rPr>
        <sz val="10.5"/>
        <color rgb="FF141413"/>
        <rFont val="WenQuanYi Zen Hei"/>
        <family val="2"/>
      </rPr>
      <t xml:space="preserve">需要留意：该户第 </t>
    </r>
    <r>
      <rPr>
        <sz val="10.5"/>
        <color rgb="FF141413"/>
        <rFont val="等线"/>
        <family val="0"/>
        <charset val="1"/>
      </rPr>
      <t xml:space="preserve">3 </t>
    </r>
    <r>
      <rPr>
        <sz val="10.5"/>
        <color rgb="FF141413"/>
        <rFont val="WenQuanYi Zen Hei"/>
        <family val="2"/>
      </rPr>
      <t xml:space="preserve">次及以上、需另约时间、不满意。</t>
    </r>
  </si>
  <si>
    <t xml:space="preserve">米黄</t>
  </si>
  <si>
    <r>
      <rPr>
        <sz val="10.5"/>
        <color rgb="FF141413"/>
        <rFont val="WenQuanYi Zen Hei"/>
        <family val="2"/>
      </rPr>
      <t xml:space="preserve">进行中或待填写：跟进中、未结未超期、该户第 </t>
    </r>
    <r>
      <rPr>
        <sz val="10.5"/>
        <color rgb="FF141413"/>
        <rFont val="等线"/>
        <family val="0"/>
        <charset val="1"/>
      </rPr>
      <t xml:space="preserve">2 </t>
    </r>
    <r>
      <rPr>
        <sz val="10.5"/>
        <color rgb="FF141413"/>
        <rFont val="WenQuanYi Zen Hei"/>
        <family val="2"/>
      </rPr>
      <t xml:space="preserve">次、单据编号「待补」，以及可以改的设置格。</t>
    </r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</si>
  <si>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</si>
  <si>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</si>
  <si>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</si>
  <si>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</si>
  <si>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</si>
  <si>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</si>
  <si>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r>
      <rPr>
        <sz val="10.5"/>
        <color rgb="FF141413"/>
        <rFont val="WenQuanYi Zen Hei"/>
        <family val="2"/>
      </rPr>
      <t xml:space="preserve">纸色底、墨色字，不用纯白和纯黑；正文文字与底色的对比度都在 </t>
    </r>
    <r>
      <rPr>
        <sz val="10.5"/>
        <color rgb="FF141413"/>
        <rFont val="等线"/>
        <family val="0"/>
        <charset val="1"/>
      </rPr>
      <t xml:space="preserve">4.5:1 </t>
    </r>
    <r>
      <rPr>
        <sz val="10.5"/>
        <color rgb="FF141413"/>
        <rFont val="WenQuanYi Zen Hei"/>
        <family val="2"/>
      </rPr>
      <t xml:space="preserve">以上。</t>
    </r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</si>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</sst>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0.0%"/>
    <numFmt numFmtId="173" formatCode="0.0\天"/>
    <numFmt numFmtId="174" formatCode="#,##0\元"/>
    <numFmt numFmtId="175" formatCode="0;\-0;\-"/>
    <numFmt numFmtId="176" formatCode="0.0%;;\-"/>
    <numFmt numFmtId="177" formatCode="0.0\分"/>
    <numFmt numFmtId="178" formatCode="#,##0;\-#,##0;\-"/>
    <numFmt numFmtId="179" formatCode="0;\-0;\·"/>
    <numFmt numFmtId="180" formatCode="0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AF9F5"/>
      <name val="WenQuanYi Zen Hei"/>
      <family val="2"/>
    </font>
    <font>
      <sz val="9"/>
      <color rgb="FFFAF9F5"/>
      <name val="WenQuanYi Zen Hei"/>
      <family val="2"/>
    </font>
    <font>
      <sz val="9"/>
      <color rgb="FFFAF9F5"/>
      <name val="等线"/>
      <family val="0"/>
      <charset val="1"/>
    </font>
    <font>
      <b val="true"/>
      <sz val="12"/>
      <color rgb="FF141413"/>
      <name val="WenQuanYi Zen Hei"/>
      <family val="2"/>
    </font>
    <font>
      <b val="true"/>
      <sz val="10"/>
      <color rgb="FF141413"/>
      <name val="WenQuanYi Zen Hei"/>
      <family val="2"/>
    </font>
    <font>
      <sz val="9"/>
      <color rgb="FF5E5D59"/>
      <name val="WenQuanYi Zen Hei"/>
      <family val="2"/>
    </font>
    <font>
      <b val="true"/>
      <sz val="10.5"/>
      <color rgb="FF141413"/>
      <name val="WenQuanYi Zen Hei"/>
      <family val="2"/>
    </font>
    <font>
      <sz val="10"/>
      <color rgb="FF141413"/>
      <name val="WenQuanYi Zen Hei"/>
      <family val="2"/>
    </font>
    <font>
      <b val="true"/>
      <sz val="10"/>
      <color rgb="FFFAF9F5"/>
      <name val="WenQuanYi Zen Hei"/>
      <family val="2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6"/>
      <color rgb="FFFAF9F5"/>
      <name val="WenQuanYi Zen Hei"/>
      <family val="2"/>
    </font>
    <font>
      <b val="true"/>
      <sz val="10"/>
      <color rgb="FF141413"/>
      <name val="等线"/>
      <family val="0"/>
      <charset val="1"/>
    </font>
    <font>
      <b val="true"/>
      <sz val="13"/>
      <color rgb="FFFAF9F5"/>
      <name val="WenQuanYi Zen Hei"/>
      <family val="2"/>
    </font>
    <font>
      <sz val="9.5"/>
      <color rgb="FF5E5D59"/>
      <name val="WenQuanYi Zen Hei"/>
      <family val="2"/>
    </font>
    <font>
      <sz val="20"/>
      <color rgb="FF141413"/>
      <name val="Georgia"/>
      <family val="0"/>
      <charset val="1"/>
    </font>
    <font>
      <sz val="8.5"/>
      <color rgb="FF87867F"/>
      <name val="WenQuanYi Zen Hei"/>
      <family val="2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sz val="9.5"/>
      <color rgb="FF141413"/>
      <name val="WenQuanYi Zen Hei"/>
      <family val="2"/>
    </font>
    <font>
      <b val="true"/>
      <sz val="9"/>
      <color rgb="FFFAF9F5"/>
      <name val="等线"/>
      <family val="0"/>
      <charset val="1"/>
    </font>
    <font>
      <b val="true"/>
      <sz val="16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9"/>
      <color rgb="FF5E5D59"/>
      <name val="WenQuanYi Zen Hei"/>
      <family val="2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6"/>
      <color rgb="FF141413"/>
      <name val="WenQuanYi Zen Hei"/>
      <family val="2"/>
    </font>
    <font>
      <sz val="10"/>
      <color rgb="FF87867F"/>
      <name val="WenQuanYi Zen Hei"/>
      <family val="2"/>
    </font>
    <font>
      <sz val="10"/>
      <color rgb="FF87867F"/>
      <name val="等线"/>
      <family val="0"/>
      <charset val="1"/>
    </font>
    <font>
      <b val="true"/>
      <sz val="10"/>
      <color rgb="FF87867F"/>
      <name val="WenQuanYi Zen Hei"/>
      <family val="2"/>
    </font>
    <font>
      <sz val="20"/>
      <color rgb="FF141413"/>
      <name val="WenQuanYi Zen Hei"/>
      <family val="2"/>
    </font>
    <font>
      <sz val="20"/>
      <color rgb="FF141413"/>
      <name val="宋体"/>
      <family val="0"/>
      <charset val="1"/>
    </font>
    <font>
      <sz val="10.5"/>
      <color rgb="FF5E5D59"/>
      <name val="WenQuanYi Zen Hei"/>
      <family val="2"/>
    </font>
    <font>
      <b val="true"/>
      <sz val="13"/>
      <color rgb="FF141413"/>
      <name val="WenQuanYi Zen Hei"/>
      <family val="2"/>
    </font>
    <font>
      <sz val="10.5"/>
      <color rgb="FF141413"/>
      <name val="WenQuanYi Zen Hei"/>
      <family val="2"/>
    </font>
    <font>
      <sz val="10.5"/>
      <color rgb="FF141413"/>
      <name val="等线"/>
      <family val="0"/>
      <charset val="1"/>
    </font>
    <font>
      <b val="true"/>
      <sz val="10.5"/>
      <color rgb="FF8C3B22"/>
      <name val="WenQuanYi Zen Hei"/>
      <family val="2"/>
    </font>
    <font>
      <b val="true"/>
      <sz val="10.5"/>
      <color rgb="FF3D3D3A"/>
      <name val="WenQuanYi Zen Hei"/>
      <family val="2"/>
    </font>
    <font>
      <b val="true"/>
      <sz val="10.5"/>
      <color rgb="FF4D5B39"/>
      <name val="WenQuanYi Zen Hei"/>
      <family val="2"/>
    </font>
    <font>
      <b val="true"/>
      <sz val="10.5"/>
      <color rgb="FF87867F"/>
      <name val="WenQuanYi Zen Hei"/>
      <family val="2"/>
    </font>
  </fonts>
  <fills count="12">
    <fill>
      <patternFill patternType="none"/>
    </fill>
    <fill>
      <patternFill patternType="gray125"/>
    </fill>
    <fill>
      <patternFill patternType="solid">
        <fgColor rgb="FFFAF9F5"/>
        <bgColor rgb="FFF0EEE6"/>
      </patternFill>
    </fill>
    <fill>
      <patternFill patternType="solid">
        <fgColor rgb="FF141413"/>
        <bgColor rgb="FF000000"/>
      </patternFill>
    </fill>
    <fill>
      <patternFill patternType="solid">
        <fgColor rgb="FFE8E6DC"/>
        <bgColor rgb="FFE4E9DA"/>
      </patternFill>
    </fill>
    <fill>
      <patternFill patternType="solid">
        <fgColor rgb="FFF5E3C7"/>
        <bgColor rgb="FFF5D8CC"/>
      </patternFill>
    </fill>
    <fill>
      <patternFill patternType="solid">
        <fgColor rgb="FF5E5D59"/>
        <bgColor rgb="FF4D5B39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E4E9DA"/>
        <bgColor rgb="FFE8E6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E8E6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2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0" fillId="2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0" fillId="2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0" fillId="2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2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8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0" fillId="2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20" fillId="2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0" fillId="2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1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8" fillId="4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17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7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2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2" borderId="1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9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1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 patternType="solid">
          <fgColor rgb="FFE8E6DC"/>
          <bgColor rgb="FFE8E6DC"/>
        </patternFill>
      </fill>
    </dxf>
    <dxf>
      <font>
        <b val="1"/>
        <color rgb="FF4D5B39"/>
      </font>
      <fill>
        <patternFill patternType="solid">
          <fgColor rgb="FFE4E9DA"/>
          <bgColor rgb="FFE4E9DA"/>
        </patternFill>
      </fill>
    </dxf>
    <dxf>
      <font>
        <color rgb="FF3D3D3A"/>
      </font>
      <fill>
        <patternFill patternType="solid">
          <fgColor rgb="FFF5E3C7"/>
          <bgColor rgb="FFF5E3C7"/>
        </patternFill>
      </fill>
    </dxf>
    <dxf>
      <font>
        <b val="1"/>
        <color rgb="FF141413"/>
      </font>
      <fill>
        <patternFill patternType="solid">
          <fgColor rgb="FFD97757"/>
          <bgColor rgb="FFD97757"/>
        </patternFill>
      </fill>
    </dxf>
    <dxf>
      <font>
        <color rgb="FF87867F"/>
      </font>
    </dxf>
    <dxf>
      <font>
        <color rgb="FF141413"/>
      </font>
      <fill>
        <patternFill patternType="solid">
          <fgColor rgb="FFEFC0AE"/>
          <bgColor rgb="FFEFC0AE"/>
        </patternFill>
      </fill>
    </dxf>
    <dxf>
      <font>
        <color rgb="FF8C3B22"/>
      </font>
      <fill>
        <patternFill patternType="solid">
          <fgColor rgb="FFF5D8CC"/>
          <bgColor rgb="FFF5D8CC"/>
        </patternFill>
      </fill>
    </dxf>
    <dxf>
      <font>
        <color rgb="FF4D5B39"/>
      </font>
      <fill>
        <patternFill patternType="solid">
          <fgColor rgb="FFE4E9DA"/>
          <bgColor rgb="FFE4E9DA"/>
        </patternFill>
      </fill>
    </dxf>
    <dxf>
      <font>
        <b val="1"/>
        <color rgb="FF8C3B22"/>
      </font>
      <fill>
        <patternFill patternType="solid">
          <fgColor rgb="FFF5D8CC"/>
          <bgColor rgb="FFF5D8CC"/>
        </patternFill>
      </fill>
    </dxf>
    <dxf>
      <font>
        <b val="1"/>
        <color rgb="FF3D3D3A"/>
      </font>
      <fill>
        <patternFill patternType="solid">
          <fgColor rgb="FFF5E3C7"/>
          <bgColor rgb="FFF5E3C7"/>
        </patternFill>
      </fill>
    </dxf>
    <dxf>
      <fill>
        <patternFill patternType="solid">
          <fgColor rgb="FFF5E3C7"/>
          <bgColor rgb="FFF5E3C7"/>
        </patternFill>
      </fill>
    </dxf>
    <dxf>
      <font>
        <color rgb="FF4D5B39"/>
      </font>
      <fill>
        <patternFill patternType="solid">
          <fgColor rgb="FFD5DEC7"/>
          <bgColor rgb="FFD5DEC7"/>
        </patternFill>
      </fill>
    </dxf>
    <dxf>
      <font>
        <b val="1"/>
        <color rgb="FF141413"/>
      </font>
      <fill>
        <patternFill patternType="solid">
          <fgColor rgb="FFE3DACC"/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600" spc="-1" strike="noStrike">
                <a:solidFill>
                  <a:srgbClr val="000000"/>
                </a:solidFill>
                <a:latin typeface="Calibri"/>
              </a:rPr>
              <a:t>各类别工单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仪表盘!C56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仪表盘!$C$57:$C$66</c:f>
              <c:numCache>
                <c:formatCode>0;\-0;\-</c:formatCode>
                <c:ptCount val="10"/>
                <c:pt idx="0">
                  <c:v>43</c:v>
                </c:pt>
                <c:pt idx="1">
                  <c:v>24</c:v>
                </c:pt>
                <c:pt idx="2">
                  <c:v>17</c:v>
                </c:pt>
                <c:pt idx="3">
                  <c:v>14</c:v>
                </c:pt>
                <c:pt idx="4">
                  <c:v>2</c:v>
                </c:pt>
                <c:pt idx="5">
                  <c:v>11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</c:ser>
        <c:ser>
          <c:idx val="1"/>
          <c:order val="1"/>
          <c:tx>
            <c:strRef>
              <c:f>仪表盘!D56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仪表盘!$D$57:$D$66</c:f>
              <c:numCache>
                <c:formatCode>0;\-0;\-</c:formatCode>
                <c:ptCount val="10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5</c:v>
                </c:pt>
                <c:pt idx="4">
                  <c:v>6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50"/>
        <c:overlap val="100"/>
        <c:axId val="91390434"/>
        <c:axId val="44303576"/>
      </c:barChart>
      <c:catAx>
        <c:axId val="913904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03576"/>
        <c:crosses val="autoZero"/>
        <c:auto val="1"/>
        <c:lblAlgn val="ctr"/>
        <c:lblOffset val="100"/>
        <c:noMultiLvlLbl val="0"/>
      </c:catAx>
      <c:valAx>
        <c:axId val="44303576"/>
        <c:scaling>
          <c:orientation val="minMax"/>
        </c:scaling>
        <c:delete val="0"/>
        <c:axPos val="l"/>
        <c:numFmt formatCode="0;\-0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904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600" spc="-1" strike="noStrike">
                <a:solidFill>
                  <a:srgbClr val="000000"/>
                </a:solidFill>
                <a:latin typeface="Calibri"/>
              </a:rPr>
              <a:t>各楼栋工单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</c:numCache>
            </c:numRef>
          </c:val>
        </c:ser>
        <c:gapWidth val="50"/>
        <c:overlap val="100"/>
        <c:axId val="8534494"/>
        <c:axId val="45775883"/>
      </c:barChart>
      <c:catAx>
        <c:axId val="85344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75883"/>
        <c:crosses val="autoZero"/>
        <c:auto val="1"/>
        <c:lblAlgn val="ctr"/>
        <c:lblOffset val="100"/>
        <c:noMultiLvlLbl val="0"/>
      </c:catAx>
      <c:valAx>
        <c:axId val="45775883"/>
        <c:scaling>
          <c:orientation val="minMax"/>
        </c:scaling>
        <c:delete val="0"/>
        <c:axPos val="l"/>
        <c:numFmt formatCode="0;\-0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44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13</xdr:col>
      <xdr:colOff>775080</xdr:colOff>
      <xdr:row>66</xdr:row>
      <xdr:rowOff>217800</xdr:rowOff>
    </xdr:to>
    <xdr:graphicFrame>
      <xdr:nvGraphicFramePr>
        <xdr:cNvPr id="0" name="Chart 1"/>
        <xdr:cNvGraphicFramePr/>
      </xdr:nvGraphicFramePr>
      <xdr:xfrm>
        <a:off x="6625440" y="13230360"/>
        <a:ext cx="3665160" cy="2951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13</xdr:col>
      <xdr:colOff>775080</xdr:colOff>
      <xdr:row>81</xdr:row>
      <xdr:rowOff>27000</xdr:rowOff>
    </xdr:to>
    <xdr:graphicFrame>
      <xdr:nvGraphicFramePr>
        <xdr:cNvPr id="1" name="Chart 2"/>
        <xdr:cNvGraphicFramePr/>
      </xdr:nvGraphicFramePr>
      <xdr:xfrm>
        <a:off x="6625440" y="16583040"/>
        <a:ext cx="3665160" cy="2951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V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7" activeCellId="0" sqref="A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1"/>
    <col collapsed="false" customWidth="true" hidden="false" outlineLevel="0" max="3" min="3" style="1" width="6.51"/>
    <col collapsed="false" customWidth="true" hidden="false" outlineLevel="0" max="4" min="4" style="1" width="8.5"/>
    <col collapsed="false" customWidth="true" hidden="false" outlineLevel="0" max="5" min="5" style="1" width="11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9" min="8" style="1" width="8.5"/>
    <col collapsed="false" customWidth="true" hidden="false" outlineLevel="0" max="10" min="10" style="1" width="14"/>
    <col collapsed="false" customWidth="true" hidden="false" outlineLevel="0" max="11" min="11" style="1" width="8.5"/>
    <col collapsed="false" customWidth="true" hidden="false" outlineLevel="0" max="12" min="12" style="1" width="10"/>
    <col collapsed="false" customWidth="true" hidden="false" outlineLevel="0" max="13" min="13" style="1" width="11"/>
    <col collapsed="false" customWidth="true" hidden="false" outlineLevel="0" max="14" min="14" style="1" width="10"/>
    <col collapsed="false" customWidth="true" hidden="false" outlineLevel="0" max="15" min="15" style="1" width="9"/>
    <col collapsed="false" customWidth="true" hidden="false" outlineLevel="0" max="16" min="16" style="1" width="28"/>
    <col collapsed="false" customWidth="true" hidden="false" outlineLevel="0" max="18" min="17" style="1" width="10"/>
    <col collapsed="false" customWidth="true" hidden="false" outlineLevel="0" max="19" min="19" style="1" width="24"/>
    <col collapsed="false" customWidth="true" hidden="true" outlineLevel="0" max="22" min="20" style="0" width="10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3" t="s">
        <v>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21" hidden="false" customHeight="true" outlineLevel="0" collapsed="false">
      <c r="A2" s="4" t="s">
        <v>2</v>
      </c>
      <c r="B2" s="4"/>
      <c r="C2" s="4"/>
      <c r="D2" s="4"/>
      <c r="E2" s="4"/>
      <c r="F2" s="5" t="s">
        <v>3</v>
      </c>
      <c r="G2" s="5"/>
      <c r="H2" s="6" t="str">
        <f aca="false">设置!A9&amp;""</f>
        <v>张师傅</v>
      </c>
      <c r="I2" s="6" t="str">
        <f aca="false">设置!A10&amp;""</f>
        <v>李师傅</v>
      </c>
      <c r="J2" s="6" t="str">
        <f aca="false">设置!A11&amp;""</f>
        <v>王师傅</v>
      </c>
      <c r="K2" s="6" t="str">
        <f aca="false">设置!A12&amp;""</f>
        <v>陈师傅</v>
      </c>
      <c r="L2" s="6" t="str">
        <f aca="false">设置!A13&amp;""</f>
        <v>刘师傅</v>
      </c>
      <c r="M2" s="7" t="s">
        <v>4</v>
      </c>
      <c r="N2" s="7"/>
      <c r="O2" s="7"/>
      <c r="P2" s="7"/>
    </row>
    <row r="3" customFormat="false" ht="21" hidden="false" customHeight="true" outlineLevel="0" collapsed="false">
      <c r="A3" s="8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8"/>
      <c r="C3" s="8"/>
      <c r="D3" s="8"/>
      <c r="E3" s="8"/>
      <c r="F3" s="5" t="s">
        <v>5</v>
      </c>
      <c r="G3" s="5"/>
      <c r="H3" s="9" t="s">
        <v>6</v>
      </c>
      <c r="I3" s="9" t="s">
        <v>7</v>
      </c>
      <c r="J3" s="9" t="s">
        <v>7</v>
      </c>
      <c r="K3" s="9" t="s">
        <v>7</v>
      </c>
      <c r="L3" s="9" t="s">
        <v>7</v>
      </c>
      <c r="M3" s="7" t="s">
        <v>8</v>
      </c>
      <c r="N3" s="7"/>
      <c r="O3" s="7"/>
      <c r="P3" s="7"/>
    </row>
    <row r="4" customFormat="false" ht="21" hidden="false" customHeight="true" outlineLevel="0" collapsed="false">
      <c r="A4" s="7" t="s">
        <v>9</v>
      </c>
      <c r="B4" s="7"/>
      <c r="C4" s="7"/>
      <c r="D4" s="7"/>
      <c r="E4" s="7"/>
      <c r="F4" s="5" t="s">
        <v>10</v>
      </c>
      <c r="G4" s="5"/>
      <c r="H4" s="10" t="str">
        <f aca="false">IF(H2="","",IF(H3="休息","休息",IF(COUNTIFS($H$7:$H$2006,H$2,$L$7:$L$2006,"跟进中")+COUNTIFS($I$7:$I$2006,H$2,$L$7:$L$2006,"跟进中")&gt;0,"在岗 "&amp;COUNTIFS($H$7:$H$2006,H$2,$L$7:$L$2006,"跟进中")+COUNTIFS($I$7:$I$2006,H$2,$L$7:$L$2006,"跟进中")&amp;" 单","空闲")))</f>
        <v>休息</v>
      </c>
      <c r="I4" s="10" t="str">
        <f aca="false">IF(I2="","",IF(I3="休息","休息",IF(COUNTIFS($H$7:$H$2006,I$2,$L$7:$L$2006,"跟进中")+COUNTIFS($I$7:$I$2006,I$2,$L$7:$L$2006,"跟进中")&gt;0,"在岗 "&amp;COUNTIFS($H$7:$H$2006,I$2,$L$7:$L$2006,"跟进中")+COUNTIFS($I$7:$I$2006,I$2,$L$7:$L$2006,"跟进中")&amp;" 单","空闲")))</f>
        <v>在岗 7 单</v>
      </c>
      <c r="J4" s="10" t="str">
        <f aca="false">IF(J2="","",IF(J3="休息","休息",IF(COUNTIFS($H$7:$H$2006,J$2,$L$7:$L$2006,"跟进中")+COUNTIFS($I$7:$I$2006,J$2,$L$7:$L$2006,"跟进中")&gt;0,"在岗 "&amp;COUNTIFS($H$7:$H$2006,J$2,$L$7:$L$2006,"跟进中")+COUNTIFS($I$7:$I$2006,J$2,$L$7:$L$2006,"跟进中")&amp;" 单","空闲")))</f>
        <v>在岗 1 单</v>
      </c>
      <c r="K4" s="10" t="str">
        <f aca="false">IF(K2="","",IF(K3="休息","休息",IF(COUNTIFS($H$7:$H$2006,K$2,$L$7:$L$2006,"跟进中")+COUNTIFS($I$7:$I$2006,K$2,$L$7:$L$2006,"跟进中")&gt;0,"在岗 "&amp;COUNTIFS($H$7:$H$2006,K$2,$L$7:$L$2006,"跟进中")+COUNTIFS($I$7:$I$2006,K$2,$L$7:$L$2006,"跟进中")&amp;" 单","空闲")))</f>
        <v>在岗 4 单</v>
      </c>
      <c r="L4" s="10" t="str">
        <f aca="false">IF(L2="","",IF(L3="休息","休息",IF(COUNTIFS($H$7:$H$2006,L$2,$L$7:$L$2006,"跟进中")+COUNTIFS($I$7:$I$2006,L$2,$L$7:$L$2006,"跟进中")&gt;0,"在岗 "&amp;COUNTIFS($H$7:$H$2006,L$2,$L$7:$L$2006,"跟进中")+COUNTIFS($I$7:$I$2006,L$2,$L$7:$L$2006,"跟进中")&amp;" 单","空闲")))</f>
        <v>在岗 3 单</v>
      </c>
      <c r="M4" s="7" t="s">
        <v>11</v>
      </c>
      <c r="N4" s="7"/>
      <c r="O4" s="7"/>
      <c r="P4" s="7"/>
    </row>
    <row r="5" customFormat="false" ht="7.5" hidden="false" customHeight="true" outlineLevel="0" collapsed="false"/>
    <row r="6" customFormat="false" ht="30" hidden="false" customHeight="true" outlineLevel="0" collapsed="false">
      <c r="A6" s="11" t="s">
        <v>12</v>
      </c>
      <c r="B6" s="12" t="s">
        <v>13</v>
      </c>
      <c r="C6" s="12" t="s">
        <v>14</v>
      </c>
      <c r="D6" s="12" t="s">
        <v>15</v>
      </c>
      <c r="E6" s="12" t="s">
        <v>16</v>
      </c>
      <c r="F6" s="12" t="s">
        <v>17</v>
      </c>
      <c r="G6" s="12" t="s">
        <v>18</v>
      </c>
      <c r="H6" s="12" t="s">
        <v>19</v>
      </c>
      <c r="I6" s="12" t="s">
        <v>20</v>
      </c>
      <c r="J6" s="12" t="s">
        <v>21</v>
      </c>
      <c r="K6" s="12" t="s">
        <v>22</v>
      </c>
      <c r="L6" s="12" t="s">
        <v>23</v>
      </c>
      <c r="M6" s="12" t="s">
        <v>24</v>
      </c>
      <c r="N6" s="11" t="s">
        <v>25</v>
      </c>
      <c r="O6" s="11" t="s">
        <v>26</v>
      </c>
      <c r="P6" s="12" t="s">
        <v>27</v>
      </c>
      <c r="Q6" s="12" t="s">
        <v>28</v>
      </c>
      <c r="R6" s="12" t="s">
        <v>29</v>
      </c>
      <c r="S6" s="12" t="s">
        <v>30</v>
      </c>
      <c r="T6" s="11" t="s">
        <v>31</v>
      </c>
      <c r="U6" s="11" t="s">
        <v>32</v>
      </c>
      <c r="V6" s="11" t="s">
        <v>33</v>
      </c>
    </row>
    <row r="7" customFormat="false" ht="15" hidden="false" customHeight="true" outlineLevel="0" collapsed="false">
      <c r="A7" s="13" t="str">
        <f aca="false">IF(AND($B7="",$D7="",$E7="",$F7=""),"",IF(OR($B7="",$D7="",$E7=""),"待补",IF($D7="公共区域","公",IF($D7="商铺","S",SUBSTITUTE($D7,"栋","")))&amp;"-"&amp;$E7&amp;"-"&amp;TEXT(MONTH($B7),"00")&amp;TEXT(DAY($B7),"00")&amp;IF(ISNUMBER($O7),IF($O7&gt;1,"-"&amp;TEXT($O7,"00"),""),"")))</f>
        <v>8-403-0501</v>
      </c>
      <c r="B7" s="14" t="n">
        <v>45778</v>
      </c>
      <c r="C7" s="10" t="s">
        <v>34</v>
      </c>
      <c r="D7" s="15" t="s">
        <v>35</v>
      </c>
      <c r="E7" s="15" t="s">
        <v>36</v>
      </c>
      <c r="F7" s="16" t="s">
        <v>37</v>
      </c>
      <c r="G7" s="10" t="s">
        <v>38</v>
      </c>
      <c r="H7" s="10" t="s">
        <v>39</v>
      </c>
      <c r="I7" s="10" t="s">
        <v>40</v>
      </c>
      <c r="J7" s="15" t="s">
        <v>41</v>
      </c>
      <c r="K7" s="10" t="s">
        <v>42</v>
      </c>
      <c r="L7" s="10" t="s">
        <v>43</v>
      </c>
      <c r="M7" s="14"/>
      <c r="N7" s="17" t="str">
        <f aca="false">IF($B7="","",IF($L7="已完成",IF($M7="","",$M7-$B7),IF(设置!$B$6&lt;$B7,"",IF((设置!$B$6-$B7)&gt;=设置!$B$5,"超期"&amp;(设置!$B$6-$B7)&amp;"天","已等"&amp;(设置!$B$6-$B7)&amp;"天"))))</f>
        <v/>
      </c>
      <c r="O7" s="18" t="n">
        <f aca="false">IF(OR($D7="",$E7=""),"",COUNTIFS($D$7:$D7,$D7,$E$7:$E7,$E7))</f>
        <v>1</v>
      </c>
      <c r="P7" s="16" t="s">
        <v>44</v>
      </c>
      <c r="Q7" s="19"/>
      <c r="R7" s="10" t="s">
        <v>45</v>
      </c>
      <c r="S7" s="16"/>
      <c r="T7" s="0" t="str">
        <f aca="false">IF(OR($D7="",单元查询!$B$3=""),"",IF($D7&lt;&gt;单元查询!$B$3,"",IF(OR(单元查询!$D$3="",$E7&amp;""=单元查询!$D$3&amp;""),IF(ISNUMBER($B7),$B7*10000,0)+ROW(),"")))</f>
        <v/>
      </c>
      <c r="U7" s="0" t="str">
        <f aca="false">IF(OR($B7="",$L7="已完成"),"",IF(ISNUMBER($B7),IF(设置!$B$6&lt;$B7,"",(设置!$B$6-$B7)*100000+ROW()),""))</f>
        <v/>
      </c>
      <c r="V7" s="0" t="str">
        <f aca="false">IF(ISNUMBER($O7),IF($O7&gt;=2,IF(COUNTIFS($D7:$D$2006,$D7,$E7:$E$2006,$E7)=1,ROW(),""),""),"")</f>
        <v/>
      </c>
    </row>
    <row r="8" customFormat="false" ht="15" hidden="false" customHeight="true" outlineLevel="0" collapsed="false">
      <c r="A8" s="13" t="str">
        <f aca="false">IF(AND($B8="",$D8="",$E8="",$F8=""),"",IF(OR($B8="",$D8="",$E8=""),"待补",IF($D8="公共区域","公",IF($D8="商铺","S",SUBSTITUTE($D8,"栋","")))&amp;"-"&amp;$E8&amp;"-"&amp;TEXT(MONTH($B8),"00")&amp;TEXT(DAY($B8),"00")&amp;IF(ISNUMBER($O8),IF($O8&gt;1,"-"&amp;TEXT($O8,"00"),""),"")))</f>
        <v>6-2504-0501</v>
      </c>
      <c r="B8" s="14" t="n">
        <v>45778</v>
      </c>
      <c r="C8" s="10" t="s">
        <v>34</v>
      </c>
      <c r="D8" s="15" t="s">
        <v>46</v>
      </c>
      <c r="E8" s="15" t="s">
        <v>47</v>
      </c>
      <c r="F8" s="16" t="s">
        <v>48</v>
      </c>
      <c r="G8" s="10" t="s">
        <v>38</v>
      </c>
      <c r="H8" s="10" t="s">
        <v>49</v>
      </c>
      <c r="I8" s="10" t="s">
        <v>39</v>
      </c>
      <c r="J8" s="15" t="s">
        <v>50</v>
      </c>
      <c r="K8" s="10"/>
      <c r="L8" s="10" t="s">
        <v>51</v>
      </c>
      <c r="M8" s="14"/>
      <c r="N8" s="17" t="str">
        <f aca="false">IF($B8="","",IF($L8="已完成",IF($M8="","",$M8-$B8),IF(设置!$B$6&lt;$B8,"",IF((设置!$B$6-$B8)&gt;=设置!$B$5,"超期"&amp;(设置!$B$6-$B8)&amp;"天","已等"&amp;(设置!$B$6-$B8)&amp;"天"))))</f>
        <v>超期6天</v>
      </c>
      <c r="O8" s="18" t="n">
        <f aca="false">IF(OR($D8="",$E8=""),"",COUNTIFS($D$7:$D8,$D8,$E$7:$E8,$E8))</f>
        <v>1</v>
      </c>
      <c r="P8" s="16" t="s">
        <v>52</v>
      </c>
      <c r="Q8" s="19"/>
      <c r="R8" s="10"/>
      <c r="S8" s="16"/>
      <c r="T8" s="0" t="n">
        <f aca="false">IF(OR($D8="",单元查询!$B$3=""),"",IF($D8&lt;&gt;单元查询!$B$3,"",IF(OR(单元查询!$D$3="",$E8&amp;""=单元查询!$D$3&amp;""),IF(ISNUMBER($B8),$B8*10000,0)+ROW(),"")))</f>
        <v>457780008</v>
      </c>
      <c r="U8" s="0" t="n">
        <f aca="false">IF(OR($B8="",$L8="已完成"),"",IF(ISNUMBER($B8),IF(设置!$B$6&lt;$B8,"",(设置!$B$6-$B8)*100000+ROW()),""))</f>
        <v>600008</v>
      </c>
      <c r="V8" s="0" t="str">
        <f aca="false">IF(ISNUMBER($O8),IF($O8&gt;=2,IF(COUNTIFS($D8:$D$2006,$D8,$E8:$E$2006,$E8)=1,ROW(),""),""),"")</f>
        <v/>
      </c>
    </row>
    <row r="9" customFormat="false" ht="15" hidden="false" customHeight="true" outlineLevel="0" collapsed="false">
      <c r="A9" s="13" t="str">
        <f aca="false">IF(AND($B9="",$D9="",$E9="",$F9=""),"",IF(OR($B9="",$D9="",$E9=""),"待补",IF($D9="公共区域","公",IF($D9="商铺","S",SUBSTITUTE($D9,"栋","")))&amp;"-"&amp;$E9&amp;"-"&amp;TEXT(MONTH($B9),"00")&amp;TEXT(DAY($B9),"00")&amp;IF(ISNUMBER($O9),IF($O9&gt;1,"-"&amp;TEXT($O9,"00"),""),"")))</f>
        <v>5-503-0501</v>
      </c>
      <c r="B9" s="14" t="n">
        <v>45778</v>
      </c>
      <c r="C9" s="10" t="s">
        <v>34</v>
      </c>
      <c r="D9" s="15" t="s">
        <v>53</v>
      </c>
      <c r="E9" s="15" t="s">
        <v>54</v>
      </c>
      <c r="F9" s="16" t="s">
        <v>55</v>
      </c>
      <c r="G9" s="10" t="s">
        <v>56</v>
      </c>
      <c r="H9" s="10" t="s">
        <v>49</v>
      </c>
      <c r="I9" s="10"/>
      <c r="J9" s="15" t="s">
        <v>57</v>
      </c>
      <c r="K9" s="10"/>
      <c r="L9" s="10" t="s">
        <v>43</v>
      </c>
      <c r="M9" s="14"/>
      <c r="N9" s="17" t="str">
        <f aca="false">IF($B9="","",IF($L9="已完成",IF($M9="","",$M9-$B9),IF(设置!$B$6&lt;$B9,"",IF((设置!$B$6-$B9)&gt;=设置!$B$5,"超期"&amp;(设置!$B$6-$B9)&amp;"天","已等"&amp;(设置!$B$6-$B9)&amp;"天"))))</f>
        <v/>
      </c>
      <c r="O9" s="18" t="n">
        <f aca="false">IF(OR($D9="",$E9=""),"",COUNTIFS($D$7:$D9,$D9,$E$7:$E9,$E9))</f>
        <v>1</v>
      </c>
      <c r="P9" s="16" t="s">
        <v>58</v>
      </c>
      <c r="Q9" s="19"/>
      <c r="R9" s="10" t="s">
        <v>45</v>
      </c>
      <c r="S9" s="16"/>
      <c r="T9" s="0" t="str">
        <f aca="false">IF(OR($D9="",单元查询!$B$3=""),"",IF($D9&lt;&gt;单元查询!$B$3,"",IF(OR(单元查询!$D$3="",$E9&amp;""=单元查询!$D$3&amp;""),IF(ISNUMBER($B9),$B9*10000,0)+ROW(),"")))</f>
        <v/>
      </c>
      <c r="U9" s="0" t="str">
        <f aca="false">IF(OR($B9="",$L9="已完成"),"",IF(ISNUMBER($B9),IF(设置!$B$6&lt;$B9,"",(设置!$B$6-$B9)*100000+ROW()),""))</f>
        <v/>
      </c>
      <c r="V9" s="0" t="str">
        <f aca="false">IF(ISNUMBER($O9),IF($O9&gt;=2,IF(COUNTIFS($D9:$D$2006,$D9,$E9:$E$2006,$E9)=1,ROW(),""),""),"")</f>
        <v/>
      </c>
    </row>
    <row r="10" customFormat="false" ht="15" hidden="false" customHeight="true" outlineLevel="0" collapsed="false">
      <c r="A10" s="13" t="str">
        <f aca="false">IF(AND($B10="",$D10="",$E10="",$F10=""),"",IF(OR($B10="",$D10="",$E10=""),"待补",IF($D10="公共区域","公",IF($D10="商铺","S",SUBSTITUTE($D10,"栋","")))&amp;"-"&amp;$E10&amp;"-"&amp;TEXT(MONTH($B10),"00")&amp;TEXT(DAY($B10),"00")&amp;IF(ISNUMBER($O10),IF($O10&gt;1,"-"&amp;TEXT($O10,"00"),""),"")))</f>
        <v>7-2904-0501</v>
      </c>
      <c r="B10" s="14" t="n">
        <v>45778</v>
      </c>
      <c r="C10" s="10" t="s">
        <v>34</v>
      </c>
      <c r="D10" s="15" t="s">
        <v>59</v>
      </c>
      <c r="E10" s="15" t="s">
        <v>60</v>
      </c>
      <c r="F10" s="16" t="s">
        <v>61</v>
      </c>
      <c r="G10" s="10" t="s">
        <v>62</v>
      </c>
      <c r="H10" s="10" t="s">
        <v>39</v>
      </c>
      <c r="I10" s="10"/>
      <c r="J10" s="15" t="s">
        <v>63</v>
      </c>
      <c r="K10" s="10"/>
      <c r="L10" s="10" t="s">
        <v>43</v>
      </c>
      <c r="M10" s="14"/>
      <c r="N10" s="17" t="str">
        <f aca="false">IF($B10="","",IF($L10="已完成",IF($M10="","",$M10-$B10),IF(设置!$B$6&lt;$B10,"",IF((设置!$B$6-$B10)&gt;=设置!$B$5,"超期"&amp;(设置!$B$6-$B10)&amp;"天","已等"&amp;(设置!$B$6-$B10)&amp;"天"))))</f>
        <v/>
      </c>
      <c r="O10" s="18" t="n">
        <f aca="false">IF(OR($D10="",$E10=""),"",COUNTIFS($D$7:$D10,$D10,$E$7:$E10,$E10))</f>
        <v>1</v>
      </c>
      <c r="P10" s="16" t="s">
        <v>64</v>
      </c>
      <c r="Q10" s="19"/>
      <c r="R10" s="10" t="s">
        <v>65</v>
      </c>
      <c r="S10" s="16"/>
      <c r="T10" s="0" t="str">
        <f aca="false">IF(OR($D10="",单元查询!$B$3=""),"",IF($D10&lt;&gt;单元查询!$B$3,"",IF(OR(单元查询!$D$3="",$E10&amp;""=单元查询!$D$3&amp;""),IF(ISNUMBER($B10),$B10*10000,0)+ROW(),"")))</f>
        <v/>
      </c>
      <c r="U10" s="0" t="str">
        <f aca="false">IF(OR($B10="",$L10="已完成"),"",IF(ISNUMBER($B10),IF(设置!$B$6&lt;$B10,"",(设置!$B$6-$B10)*100000+ROW()),""))</f>
        <v/>
      </c>
      <c r="V10" s="0" t="str">
        <f aca="false">IF(ISNUMBER($O10),IF($O10&gt;=2,IF(COUNTIFS($D10:$D$2006,$D10,$E10:$E$2006,$E10)=1,ROW(),""),""),"")</f>
        <v/>
      </c>
    </row>
    <row r="11" customFormat="false" ht="15" hidden="false" customHeight="true" outlineLevel="0" collapsed="false">
      <c r="A11" s="13" t="str">
        <f aca="false">IF(AND($B11="",$D11="",$E11="",$F11=""),"",IF(OR($B11="",$D11="",$E11=""),"待补",IF($D11="公共区域","公",IF($D11="商铺","S",SUBSTITUTE($D11,"栋","")))&amp;"-"&amp;$E11&amp;"-"&amp;TEXT(MONTH($B11),"00")&amp;TEXT(DAY($B11),"00")&amp;IF(ISNUMBER($O11),IF($O11&gt;1,"-"&amp;TEXT($O11,"00"),""),"")))</f>
        <v>6-2004-0501</v>
      </c>
      <c r="B11" s="14" t="n">
        <v>45778</v>
      </c>
      <c r="C11" s="10" t="s">
        <v>34</v>
      </c>
      <c r="D11" s="15" t="s">
        <v>46</v>
      </c>
      <c r="E11" s="15" t="s">
        <v>66</v>
      </c>
      <c r="F11" s="16" t="s">
        <v>67</v>
      </c>
      <c r="G11" s="10" t="s">
        <v>38</v>
      </c>
      <c r="H11" s="10" t="s">
        <v>39</v>
      </c>
      <c r="I11" s="10"/>
      <c r="J11" s="15" t="s">
        <v>68</v>
      </c>
      <c r="K11" s="10"/>
      <c r="L11" s="10" t="s">
        <v>43</v>
      </c>
      <c r="M11" s="14"/>
      <c r="N11" s="17" t="str">
        <f aca="false">IF($B11="","",IF($L11="已完成",IF($M11="","",$M11-$B11),IF(设置!$B$6&lt;$B11,"",IF((设置!$B$6-$B11)&gt;=设置!$B$5,"超期"&amp;(设置!$B$6-$B11)&amp;"天","已等"&amp;(设置!$B$6-$B11)&amp;"天"))))</f>
        <v/>
      </c>
      <c r="O11" s="18" t="n">
        <f aca="false">IF(OR($D11="",$E11=""),"",COUNTIFS($D$7:$D11,$D11,$E$7:$E11,$E11))</f>
        <v>1</v>
      </c>
      <c r="P11" s="16" t="s">
        <v>69</v>
      </c>
      <c r="Q11" s="19"/>
      <c r="R11" s="10" t="s">
        <v>70</v>
      </c>
      <c r="S11" s="16"/>
      <c r="T11" s="0" t="n">
        <f aca="false">IF(OR($D11="",单元查询!$B$3=""),"",IF($D11&lt;&gt;单元查询!$B$3,"",IF(OR(单元查询!$D$3="",$E11&amp;""=单元查询!$D$3&amp;""),IF(ISNUMBER($B11),$B11*10000,0)+ROW(),"")))</f>
        <v>457780011</v>
      </c>
      <c r="U11" s="0" t="str">
        <f aca="false">IF(OR($B11="",$L11="已完成"),"",IF(ISNUMBER($B11),IF(设置!$B$6&lt;$B11,"",(设置!$B$6-$B11)*100000+ROW()),""))</f>
        <v/>
      </c>
      <c r="V11" s="0" t="str">
        <f aca="false">IF(ISNUMBER($O11),IF($O11&gt;=2,IF(COUNTIFS($D11:$D$2006,$D11,$E11:$E$2006,$E11)=1,ROW(),""),""),"")</f>
        <v/>
      </c>
    </row>
    <row r="12" customFormat="false" ht="15" hidden="false" customHeight="true" outlineLevel="0" collapsed="false">
      <c r="A12" s="13" t="str">
        <f aca="false">IF(AND($B12="",$D12="",$E12="",$F12=""),"",IF(OR($B12="",$D12="",$E12=""),"待补",IF($D12="公共区域","公",IF($D12="商铺","S",SUBSTITUTE($D12,"栋","")))&amp;"-"&amp;$E12&amp;"-"&amp;TEXT(MONTH($B12),"00")&amp;TEXT(DAY($B12),"00")&amp;IF(ISNUMBER($O12),IF($O12&gt;1,"-"&amp;TEXT($O12,"00"),""),"")))</f>
        <v>6-2501-0501</v>
      </c>
      <c r="B12" s="14" t="n">
        <v>45778</v>
      </c>
      <c r="C12" s="10" t="s">
        <v>34</v>
      </c>
      <c r="D12" s="15" t="s">
        <v>46</v>
      </c>
      <c r="E12" s="15" t="s">
        <v>71</v>
      </c>
      <c r="F12" s="16" t="s">
        <v>72</v>
      </c>
      <c r="G12" s="10" t="s">
        <v>62</v>
      </c>
      <c r="H12" s="10" t="s">
        <v>39</v>
      </c>
      <c r="I12" s="10"/>
      <c r="J12" s="15" t="s">
        <v>73</v>
      </c>
      <c r="K12" s="10"/>
      <c r="L12" s="10" t="s">
        <v>43</v>
      </c>
      <c r="M12" s="14"/>
      <c r="N12" s="17" t="str">
        <f aca="false">IF($B12="","",IF($L12="已完成",IF($M12="","",$M12-$B12),IF(设置!$B$6&lt;$B12,"",IF((设置!$B$6-$B12)&gt;=设置!$B$5,"超期"&amp;(设置!$B$6-$B12)&amp;"天","已等"&amp;(设置!$B$6-$B12)&amp;"天"))))</f>
        <v/>
      </c>
      <c r="O12" s="18" t="n">
        <f aca="false">IF(OR($D12="",$E12=""),"",COUNTIFS($D$7:$D12,$D12,$E$7:$E12,$E12))</f>
        <v>1</v>
      </c>
      <c r="P12" s="16" t="s">
        <v>74</v>
      </c>
      <c r="Q12" s="19"/>
      <c r="R12" s="10" t="s">
        <v>45</v>
      </c>
      <c r="S12" s="16" t="s">
        <v>75</v>
      </c>
      <c r="T12" s="0" t="n">
        <f aca="false">IF(OR($D12="",单元查询!$B$3=""),"",IF($D12&lt;&gt;单元查询!$B$3,"",IF(OR(单元查询!$D$3="",$E12&amp;""=单元查询!$D$3&amp;""),IF(ISNUMBER($B12),$B12*10000,0)+ROW(),"")))</f>
        <v>457780012</v>
      </c>
      <c r="U12" s="0" t="str">
        <f aca="false">IF(OR($B12="",$L12="已完成"),"",IF(ISNUMBER($B12),IF(设置!$B$6&lt;$B12,"",(设置!$B$6-$B12)*100000+ROW()),""))</f>
        <v/>
      </c>
      <c r="V12" s="0" t="str">
        <f aca="false">IF(ISNUMBER($O12),IF($O12&gt;=2,IF(COUNTIFS($D12:$D$2006,$D12,$E12:$E$2006,$E12)=1,ROW(),""),""),"")</f>
        <v/>
      </c>
    </row>
    <row r="13" customFormat="false" ht="29.25" hidden="false" customHeight="true" outlineLevel="0" collapsed="false">
      <c r="A13" s="13" t="str">
        <f aca="false">IF(AND($B13="",$D13="",$E13="",$F13=""),"",IF(OR($B13="",$D13="",$E13=""),"待补",IF($D13="公共区域","公",IF($D13="商铺","S",SUBSTITUTE($D13,"栋","")))&amp;"-"&amp;$E13&amp;"-"&amp;TEXT(MONTH($B13),"00")&amp;TEXT(DAY($B13),"00")&amp;IF(ISNUMBER($O13),IF($O13&gt;1,"-"&amp;TEXT($O13,"00"),""),"")))</f>
        <v>6-701-0501</v>
      </c>
      <c r="B13" s="14" t="n">
        <v>45778</v>
      </c>
      <c r="C13" s="10" t="s">
        <v>34</v>
      </c>
      <c r="D13" s="15" t="s">
        <v>46</v>
      </c>
      <c r="E13" s="15" t="s">
        <v>76</v>
      </c>
      <c r="F13" s="16" t="s">
        <v>77</v>
      </c>
      <c r="G13" s="10" t="s">
        <v>78</v>
      </c>
      <c r="H13" s="10" t="s">
        <v>40</v>
      </c>
      <c r="I13" s="10"/>
      <c r="J13" s="15" t="s">
        <v>68</v>
      </c>
      <c r="K13" s="10" t="s">
        <v>79</v>
      </c>
      <c r="L13" s="10" t="s">
        <v>51</v>
      </c>
      <c r="M13" s="14"/>
      <c r="N13" s="17" t="str">
        <f aca="false">IF($B13="","",IF($L13="已完成",IF($M13="","",$M13-$B13),IF(设置!$B$6&lt;$B13,"",IF((设置!$B$6-$B13)&gt;=设置!$B$5,"超期"&amp;(设置!$B$6-$B13)&amp;"天","已等"&amp;(设置!$B$6-$B13)&amp;"天"))))</f>
        <v>超期6天</v>
      </c>
      <c r="O13" s="18" t="n">
        <f aca="false">IF(OR($D13="",$E13=""),"",COUNTIFS($D$7:$D13,$D13,$E$7:$E13,$E13))</f>
        <v>1</v>
      </c>
      <c r="P13" s="16" t="s">
        <v>80</v>
      </c>
      <c r="Q13" s="19"/>
      <c r="R13" s="10" t="s">
        <v>45</v>
      </c>
      <c r="S13" s="16" t="s">
        <v>81</v>
      </c>
      <c r="T13" s="0" t="n">
        <f aca="false">IF(OR($D13="",单元查询!$B$3=""),"",IF($D13&lt;&gt;单元查询!$B$3,"",IF(OR(单元查询!$D$3="",$E13&amp;""=单元查询!$D$3&amp;""),IF(ISNUMBER($B13),$B13*10000,0)+ROW(),"")))</f>
        <v>457780013</v>
      </c>
      <c r="U13" s="0" t="n">
        <f aca="false">IF(OR($B13="",$L13="已完成"),"",IF(ISNUMBER($B13),IF(设置!$B$6&lt;$B13,"",(设置!$B$6-$B13)*100000+ROW()),""))</f>
        <v>600013</v>
      </c>
      <c r="V13" s="0" t="str">
        <f aca="false">IF(ISNUMBER($O13),IF($O13&gt;=2,IF(COUNTIFS($D13:$D$2006,$D13,$E13:$E$2006,$E13)=1,ROW(),""),""),"")</f>
        <v/>
      </c>
    </row>
    <row r="14" customFormat="false" ht="29.25" hidden="false" customHeight="true" outlineLevel="0" collapsed="false">
      <c r="A14" s="13" t="str">
        <f aca="false">IF(AND($B14="",$D14="",$E14="",$F14=""),"",IF(OR($B14="",$D14="",$E14=""),"待补",IF($D14="公共区域","公",IF($D14="商铺","S",SUBSTITUTE($D14,"栋","")))&amp;"-"&amp;$E14&amp;"-"&amp;TEXT(MONTH($B14),"00")&amp;TEXT(DAY($B14),"00")&amp;IF(ISNUMBER($O14),IF($O14&gt;1,"-"&amp;TEXT($O14,"00"),""),"")))</f>
        <v>8-1602-0501</v>
      </c>
      <c r="B14" s="14" t="n">
        <v>45778</v>
      </c>
      <c r="C14" s="10" t="s">
        <v>34</v>
      </c>
      <c r="D14" s="15" t="s">
        <v>35</v>
      </c>
      <c r="E14" s="15" t="s">
        <v>82</v>
      </c>
      <c r="F14" s="16" t="s">
        <v>83</v>
      </c>
      <c r="G14" s="10" t="s">
        <v>38</v>
      </c>
      <c r="H14" s="10"/>
      <c r="I14" s="10"/>
      <c r="J14" s="15" t="s">
        <v>68</v>
      </c>
      <c r="K14" s="10" t="s">
        <v>84</v>
      </c>
      <c r="L14" s="10" t="s">
        <v>51</v>
      </c>
      <c r="M14" s="14"/>
      <c r="N14" s="17" t="str">
        <f aca="false">IF($B14="","",IF($L14="已完成",IF($M14="","",$M14-$B14),IF(设置!$B$6&lt;$B14,"",IF((设置!$B$6-$B14)&gt;=设置!$B$5,"超期"&amp;(设置!$B$6-$B14)&amp;"天","已等"&amp;(设置!$B$6-$B14)&amp;"天"))))</f>
        <v>超期6天</v>
      </c>
      <c r="O14" s="18" t="n">
        <f aca="false">IF(OR($D14="",$E14=""),"",COUNTIFS($D$7:$D14,$D14,$E$7:$E14,$E14))</f>
        <v>1</v>
      </c>
      <c r="P14" s="16" t="s">
        <v>85</v>
      </c>
      <c r="Q14" s="19"/>
      <c r="R14" s="10"/>
      <c r="S14" s="16"/>
      <c r="T14" s="0" t="str">
        <f aca="false">IF(OR($D14="",单元查询!$B$3=""),"",IF($D14&lt;&gt;单元查询!$B$3,"",IF(OR(单元查询!$D$3="",$E14&amp;""=单元查询!$D$3&amp;""),IF(ISNUMBER($B14),$B14*10000,0)+ROW(),"")))</f>
        <v/>
      </c>
      <c r="U14" s="0" t="n">
        <f aca="false">IF(OR($B14="",$L14="已完成"),"",IF(ISNUMBER($B14),IF(设置!$B$6&lt;$B14,"",(设置!$B$6-$B14)*100000+ROW()),""))</f>
        <v>600014</v>
      </c>
      <c r="V14" s="0" t="str">
        <f aca="false">IF(ISNUMBER($O14),IF($O14&gt;=2,IF(COUNTIFS($D14:$D$2006,$D14,$E14:$E$2006,$E14)=1,ROW(),""),""),"")</f>
        <v/>
      </c>
    </row>
    <row r="15" customFormat="false" ht="15" hidden="false" customHeight="true" outlineLevel="0" collapsed="false">
      <c r="A15" s="13" t="str">
        <f aca="false">IF(AND($B15="",$D15="",$E15="",$F15=""),"",IF(OR($B15="",$D15="",$E15=""),"待补",IF($D15="公共区域","公",IF($D15="商铺","S",SUBSTITUTE($D15,"栋","")))&amp;"-"&amp;$E15&amp;"-"&amp;TEXT(MONTH($B15),"00")&amp;TEXT(DAY($B15),"00")&amp;IF(ISNUMBER($O15),IF($O15&gt;1,"-"&amp;TEXT($O15,"00"),""),"")))</f>
        <v>5-504-0501</v>
      </c>
      <c r="B15" s="14" t="n">
        <v>45778</v>
      </c>
      <c r="C15" s="10" t="s">
        <v>34</v>
      </c>
      <c r="D15" s="15" t="s">
        <v>53</v>
      </c>
      <c r="E15" s="15" t="s">
        <v>86</v>
      </c>
      <c r="F15" s="16" t="s">
        <v>87</v>
      </c>
      <c r="G15" s="10" t="s">
        <v>62</v>
      </c>
      <c r="H15" s="10" t="s">
        <v>39</v>
      </c>
      <c r="I15" s="10"/>
      <c r="J15" s="15" t="s">
        <v>88</v>
      </c>
      <c r="K15" s="10"/>
      <c r="L15" s="10" t="s">
        <v>43</v>
      </c>
      <c r="M15" s="14"/>
      <c r="N15" s="17" t="str">
        <f aca="false">IF($B15="","",IF($L15="已完成",IF($M15="","",$M15-$B15),IF(设置!$B$6&lt;$B15,"",IF((设置!$B$6-$B15)&gt;=设置!$B$5,"超期"&amp;(设置!$B$6-$B15)&amp;"天","已等"&amp;(设置!$B$6-$B15)&amp;"天"))))</f>
        <v/>
      </c>
      <c r="O15" s="18" t="n">
        <f aca="false">IF(OR($D15="",$E15=""),"",COUNTIFS($D$7:$D15,$D15,$E$7:$E15,$E15))</f>
        <v>1</v>
      </c>
      <c r="P15" s="20" t="s">
        <v>89</v>
      </c>
      <c r="Q15" s="19"/>
      <c r="R15" s="10" t="s">
        <v>45</v>
      </c>
      <c r="S15" s="16"/>
      <c r="T15" s="0" t="str">
        <f aca="false">IF(OR($D15="",单元查询!$B$3=""),"",IF($D15&lt;&gt;单元查询!$B$3,"",IF(OR(单元查询!$D$3="",$E15&amp;""=单元查询!$D$3&amp;""),IF(ISNUMBER($B15),$B15*10000,0)+ROW(),"")))</f>
        <v/>
      </c>
      <c r="U15" s="0" t="str">
        <f aca="false">IF(OR($B15="",$L15="已完成"),"",IF(ISNUMBER($B15),IF(设置!$B$6&lt;$B15,"",(设置!$B$6-$B15)*100000+ROW()),""))</f>
        <v/>
      </c>
      <c r="V15" s="0" t="str">
        <f aca="false">IF(ISNUMBER($O15),IF($O15&gt;=2,IF(COUNTIFS($D15:$D$2006,$D15,$E15:$E$2006,$E15)=1,ROW(),""),""),"")</f>
        <v/>
      </c>
    </row>
    <row r="16" customFormat="false" ht="15" hidden="false" customHeight="true" outlineLevel="0" collapsed="false">
      <c r="A16" s="13" t="str">
        <f aca="false">IF(AND($B16="",$D16="",$E16="",$F16=""),"",IF(OR($B16="",$D16="",$E16=""),"待补",IF($D16="公共区域","公",IF($D16="商铺","S",SUBSTITUTE($D16,"栋","")))&amp;"-"&amp;$E16&amp;"-"&amp;TEXT(MONTH($B16),"00")&amp;TEXT(DAY($B16),"00")&amp;IF(ISNUMBER($O16),IF($O16&gt;1,"-"&amp;TEXT($O16,"00"),""),"")))</f>
        <v>7-304-0501</v>
      </c>
      <c r="B16" s="14" t="n">
        <v>45778</v>
      </c>
      <c r="C16" s="10" t="s">
        <v>34</v>
      </c>
      <c r="D16" s="15" t="s">
        <v>59</v>
      </c>
      <c r="E16" s="15" t="s">
        <v>90</v>
      </c>
      <c r="F16" s="16" t="s">
        <v>91</v>
      </c>
      <c r="G16" s="10" t="s">
        <v>78</v>
      </c>
      <c r="H16" s="10" t="s">
        <v>40</v>
      </c>
      <c r="I16" s="10"/>
      <c r="J16" s="15" t="s">
        <v>92</v>
      </c>
      <c r="K16" s="10" t="s">
        <v>93</v>
      </c>
      <c r="L16" s="10" t="s">
        <v>43</v>
      </c>
      <c r="M16" s="14"/>
      <c r="N16" s="17" t="str">
        <f aca="false">IF($B16="","",IF($L16="已完成",IF($M16="","",$M16-$B16),IF(设置!$B$6&lt;$B16,"",IF((设置!$B$6-$B16)&gt;=设置!$B$5,"超期"&amp;(设置!$B$6-$B16)&amp;"天","已等"&amp;(设置!$B$6-$B16)&amp;"天"))))</f>
        <v/>
      </c>
      <c r="O16" s="18" t="n">
        <f aca="false">IF(OR($D16="",$E16=""),"",COUNTIFS($D$7:$D16,$D16,$E$7:$E16,$E16))</f>
        <v>1</v>
      </c>
      <c r="P16" s="16"/>
      <c r="Q16" s="19"/>
      <c r="R16" s="10" t="s">
        <v>45</v>
      </c>
      <c r="S16" s="16" t="s">
        <v>94</v>
      </c>
      <c r="T16" s="0" t="str">
        <f aca="false">IF(OR($D16="",单元查询!$B$3=""),"",IF($D16&lt;&gt;单元查询!$B$3,"",IF(OR(单元查询!$D$3="",$E16&amp;""=单元查询!$D$3&amp;""),IF(ISNUMBER($B16),$B16*10000,0)+ROW(),"")))</f>
        <v/>
      </c>
      <c r="U16" s="0" t="str">
        <f aca="false">IF(OR($B16="",$L16="已完成"),"",IF(ISNUMBER($B16),IF(设置!$B$6&lt;$B16,"",(设置!$B$6-$B16)*100000+ROW()),""))</f>
        <v/>
      </c>
      <c r="V16" s="0" t="str">
        <f aca="false">IF(ISNUMBER($O16),IF($O16&gt;=2,IF(COUNTIFS($D16:$D$2006,$D16,$E16:$E$2006,$E16)=1,ROW(),""),""),"")</f>
        <v/>
      </c>
    </row>
    <row r="17" customFormat="false" ht="15" hidden="false" customHeight="true" outlineLevel="0" collapsed="false">
      <c r="A17" s="13" t="str">
        <f aca="false">IF(AND($B17="",$D17="",$E17="",$F17=""),"",IF(OR($B17="",$D17="",$E17=""),"待补",IF($D17="公共区域","公",IF($D17="商铺","S",SUBSTITUTE($D17,"栋","")))&amp;"-"&amp;$E17&amp;"-"&amp;TEXT(MONTH($B17),"00")&amp;TEXT(DAY($B17),"00")&amp;IF(ISNUMBER($O17),IF($O17&gt;1,"-"&amp;TEXT($O17,"00"),""),"")))</f>
        <v>10-901-0501</v>
      </c>
      <c r="B17" s="14" t="n">
        <v>45778</v>
      </c>
      <c r="C17" s="10" t="s">
        <v>34</v>
      </c>
      <c r="D17" s="15" t="s">
        <v>95</v>
      </c>
      <c r="E17" s="15" t="s">
        <v>96</v>
      </c>
      <c r="F17" s="16" t="s">
        <v>97</v>
      </c>
      <c r="G17" s="10" t="s">
        <v>62</v>
      </c>
      <c r="H17" s="10" t="s">
        <v>40</v>
      </c>
      <c r="I17" s="10"/>
      <c r="J17" s="15" t="s">
        <v>88</v>
      </c>
      <c r="K17" s="10" t="s">
        <v>42</v>
      </c>
      <c r="L17" s="10" t="s">
        <v>43</v>
      </c>
      <c r="M17" s="14"/>
      <c r="N17" s="17" t="str">
        <f aca="false">IF($B17="","",IF($L17="已完成",IF($M17="","",$M17-$B17),IF(设置!$B$6&lt;$B17,"",IF((设置!$B$6-$B17)&gt;=设置!$B$5,"超期"&amp;(设置!$B$6-$B17)&amp;"天","已等"&amp;(设置!$B$6-$B17)&amp;"天"))))</f>
        <v/>
      </c>
      <c r="O17" s="18" t="n">
        <f aca="false">IF(OR($D17="",$E17=""),"",COUNTIFS($D$7:$D17,$D17,$E$7:$E17,$E17))</f>
        <v>1</v>
      </c>
      <c r="P17" s="20" t="s">
        <v>89</v>
      </c>
      <c r="Q17" s="19"/>
      <c r="R17" s="10" t="s">
        <v>45</v>
      </c>
      <c r="S17" s="16"/>
      <c r="T17" s="0" t="str">
        <f aca="false">IF(OR($D17="",单元查询!$B$3=""),"",IF($D17&lt;&gt;单元查询!$B$3,"",IF(OR(单元查询!$D$3="",$E17&amp;""=单元查询!$D$3&amp;""),IF(ISNUMBER($B17),$B17*10000,0)+ROW(),"")))</f>
        <v/>
      </c>
      <c r="U17" s="0" t="str">
        <f aca="false">IF(OR($B17="",$L17="已完成"),"",IF(ISNUMBER($B17),IF(设置!$B$6&lt;$B17,"",(设置!$B$6-$B17)*100000+ROW()),""))</f>
        <v/>
      </c>
      <c r="V17" s="0" t="str">
        <f aca="false">IF(ISNUMBER($O17),IF($O17&gt;=2,IF(COUNTIFS($D17:$D$2006,$D17,$E17:$E$2006,$E17)=1,ROW(),""),""),"")</f>
        <v/>
      </c>
    </row>
    <row r="18" customFormat="false" ht="15" hidden="false" customHeight="true" outlineLevel="0" collapsed="false">
      <c r="A18" s="13" t="str">
        <f aca="false">IF(AND($B18="",$D18="",$E18="",$F18=""),"",IF(OR($B18="",$D18="",$E18=""),"待补",IF($D18="公共区域","公",IF($D18="商铺","S",SUBSTITUTE($D18,"栋","")))&amp;"-"&amp;$E18&amp;"-"&amp;TEXT(MONTH($B18),"00")&amp;TEXT(DAY($B18),"00")&amp;IF(ISNUMBER($O18),IF($O18&gt;1,"-"&amp;TEXT($O18,"00"),""),"")))</f>
        <v>9-1204-0501</v>
      </c>
      <c r="B18" s="14" t="n">
        <v>45778</v>
      </c>
      <c r="C18" s="10" t="s">
        <v>34</v>
      </c>
      <c r="D18" s="15" t="s">
        <v>98</v>
      </c>
      <c r="E18" s="15" t="s">
        <v>99</v>
      </c>
      <c r="F18" s="16" t="s">
        <v>100</v>
      </c>
      <c r="G18" s="10" t="s">
        <v>38</v>
      </c>
      <c r="H18" s="10" t="s">
        <v>40</v>
      </c>
      <c r="I18" s="10"/>
      <c r="J18" s="15" t="s">
        <v>88</v>
      </c>
      <c r="K18" s="10" t="s">
        <v>42</v>
      </c>
      <c r="L18" s="10" t="s">
        <v>43</v>
      </c>
      <c r="M18" s="14"/>
      <c r="N18" s="17" t="str">
        <f aca="false">IF($B18="","",IF($L18="已完成",IF($M18="","",$M18-$B18),IF(设置!$B$6&lt;$B18,"",IF((设置!$B$6-$B18)&gt;=设置!$B$5,"超期"&amp;(设置!$B$6-$B18)&amp;"天","已等"&amp;(设置!$B$6-$B18)&amp;"天"))))</f>
        <v/>
      </c>
      <c r="O18" s="18" t="n">
        <f aca="false">IF(OR($D18="",$E18=""),"",COUNTIFS($D$7:$D18,$D18,$E$7:$E18,$E18))</f>
        <v>1</v>
      </c>
      <c r="P18" s="20" t="s">
        <v>89</v>
      </c>
      <c r="Q18" s="19"/>
      <c r="R18" s="10" t="s">
        <v>45</v>
      </c>
      <c r="S18" s="16" t="s">
        <v>101</v>
      </c>
      <c r="T18" s="0" t="str">
        <f aca="false">IF(OR($D18="",单元查询!$B$3=""),"",IF($D18&lt;&gt;单元查询!$B$3,"",IF(OR(单元查询!$D$3="",$E18&amp;""=单元查询!$D$3&amp;""),IF(ISNUMBER($B18),$B18*10000,0)+ROW(),"")))</f>
        <v/>
      </c>
      <c r="U18" s="0" t="str">
        <f aca="false">IF(OR($B18="",$L18="已完成"),"",IF(ISNUMBER($B18),IF(设置!$B$6&lt;$B18,"",(设置!$B$6-$B18)*100000+ROW()),""))</f>
        <v/>
      </c>
      <c r="V18" s="0" t="str">
        <f aca="false">IF(ISNUMBER($O18),IF($O18&gt;=2,IF(COUNTIFS($D18:$D$2006,$D18,$E18:$E$2006,$E18)=1,ROW(),""),""),"")</f>
        <v/>
      </c>
    </row>
    <row r="19" customFormat="false" ht="15" hidden="false" customHeight="true" outlineLevel="0" collapsed="false">
      <c r="A19" s="13" t="str">
        <f aca="false">IF(AND($B19="",$D19="",$E19="",$F19=""),"",IF(OR($B19="",$D19="",$E19=""),"待补",IF($D19="公共区域","公",IF($D19="商铺","S",SUBSTITUTE($D19,"栋","")))&amp;"-"&amp;$E19&amp;"-"&amp;TEXT(MONTH($B19),"00")&amp;TEXT(DAY($B19),"00")&amp;IF(ISNUMBER($O19),IF($O19&gt;1,"-"&amp;TEXT($O19,"00"),""),"")))</f>
        <v>1-1203-0501</v>
      </c>
      <c r="B19" s="14" t="n">
        <v>45778</v>
      </c>
      <c r="C19" s="10" t="s">
        <v>34</v>
      </c>
      <c r="D19" s="15" t="s">
        <v>102</v>
      </c>
      <c r="E19" s="15" t="s">
        <v>103</v>
      </c>
      <c r="F19" s="16" t="s">
        <v>104</v>
      </c>
      <c r="G19" s="10" t="s">
        <v>62</v>
      </c>
      <c r="H19" s="10" t="s">
        <v>49</v>
      </c>
      <c r="I19" s="10"/>
      <c r="J19" s="15" t="s">
        <v>105</v>
      </c>
      <c r="K19" s="10" t="s">
        <v>79</v>
      </c>
      <c r="L19" s="10" t="s">
        <v>43</v>
      </c>
      <c r="M19" s="14"/>
      <c r="N19" s="17" t="str">
        <f aca="false">IF($B19="","",IF($L19="已完成",IF($M19="","",$M19-$B19),IF(设置!$B$6&lt;$B19,"",IF((设置!$B$6-$B19)&gt;=设置!$B$5,"超期"&amp;(设置!$B$6-$B19)&amp;"天","已等"&amp;(设置!$B$6-$B19)&amp;"天"))))</f>
        <v/>
      </c>
      <c r="O19" s="18" t="n">
        <f aca="false">IF(OR($D19="",$E19=""),"",COUNTIFS($D$7:$D19,$D19,$E$7:$E19,$E19))</f>
        <v>1</v>
      </c>
      <c r="P19" s="20" t="s">
        <v>89</v>
      </c>
      <c r="Q19" s="19"/>
      <c r="R19" s="10" t="s">
        <v>45</v>
      </c>
      <c r="S19" s="16"/>
      <c r="T19" s="0" t="str">
        <f aca="false">IF(OR($D19="",单元查询!$B$3=""),"",IF($D19&lt;&gt;单元查询!$B$3,"",IF(OR(单元查询!$D$3="",$E19&amp;""=单元查询!$D$3&amp;""),IF(ISNUMBER($B19),$B19*10000,0)+ROW(),"")))</f>
        <v/>
      </c>
      <c r="U19" s="0" t="str">
        <f aca="false">IF(OR($B19="",$L19="已完成"),"",IF(ISNUMBER($B19),IF(设置!$B$6&lt;$B19,"",(设置!$B$6-$B19)*100000+ROW()),""))</f>
        <v/>
      </c>
      <c r="V19" s="0" t="str">
        <f aca="false">IF(ISNUMBER($O19),IF($O19&gt;=2,IF(COUNTIFS($D19:$D$2006,$D19,$E19:$E$2006,$E19)=1,ROW(),""),""),"")</f>
        <v/>
      </c>
    </row>
    <row r="20" customFormat="false" ht="15" hidden="false" customHeight="true" outlineLevel="0" collapsed="false">
      <c r="A20" s="13" t="str">
        <f aca="false">IF(AND($B20="",$D20="",$E20="",$F20=""),"",IF(OR($B20="",$D20="",$E20=""),"待补",IF($D20="公共区域","公",IF($D20="商铺","S",SUBSTITUTE($D20,"栋","")))&amp;"-"&amp;$E20&amp;"-"&amp;TEXT(MONTH($B20),"00")&amp;TEXT(DAY($B20),"00")&amp;IF(ISNUMBER($O20),IF($O20&gt;1,"-"&amp;TEXT($O20,"00"),""),"")))</f>
        <v>8-3101-0501</v>
      </c>
      <c r="B20" s="14" t="n">
        <v>45778</v>
      </c>
      <c r="C20" s="10" t="s">
        <v>34</v>
      </c>
      <c r="D20" s="15" t="s">
        <v>35</v>
      </c>
      <c r="E20" s="15" t="s">
        <v>106</v>
      </c>
      <c r="F20" s="16" t="s">
        <v>107</v>
      </c>
      <c r="G20" s="10" t="s">
        <v>108</v>
      </c>
      <c r="H20" s="10" t="s">
        <v>40</v>
      </c>
      <c r="I20" s="10"/>
      <c r="J20" s="15" t="s">
        <v>109</v>
      </c>
      <c r="K20" s="10"/>
      <c r="L20" s="10" t="s">
        <v>43</v>
      </c>
      <c r="M20" s="14"/>
      <c r="N20" s="17" t="str">
        <f aca="false">IF($B20="","",IF($L20="已完成",IF($M20="","",$M20-$B20),IF(设置!$B$6&lt;$B20,"",IF((设置!$B$6-$B20)&gt;=设置!$B$5,"超期"&amp;(设置!$B$6-$B20)&amp;"天","已等"&amp;(设置!$B$6-$B20)&amp;"天"))))</f>
        <v/>
      </c>
      <c r="O20" s="18" t="n">
        <f aca="false">IF(OR($D20="",$E20=""),"",COUNTIFS($D$7:$D20,$D20,$E$7:$E20,$E20))</f>
        <v>1</v>
      </c>
      <c r="P20" s="16"/>
      <c r="Q20" s="19"/>
      <c r="R20" s="10" t="s">
        <v>45</v>
      </c>
      <c r="S20" s="16"/>
      <c r="T20" s="0" t="str">
        <f aca="false">IF(OR($D20="",单元查询!$B$3=""),"",IF($D20&lt;&gt;单元查询!$B$3,"",IF(OR(单元查询!$D$3="",$E20&amp;""=单元查询!$D$3&amp;""),IF(ISNUMBER($B20),$B20*10000,0)+ROW(),"")))</f>
        <v/>
      </c>
      <c r="U20" s="0" t="str">
        <f aca="false">IF(OR($B20="",$L20="已完成"),"",IF(ISNUMBER($B20),IF(设置!$B$6&lt;$B20,"",(设置!$B$6-$B20)*100000+ROW()),""))</f>
        <v/>
      </c>
      <c r="V20" s="0" t="str">
        <f aca="false">IF(ISNUMBER($O20),IF($O20&gt;=2,IF(COUNTIFS($D20:$D$2006,$D20,$E20:$E$2006,$E20)=1,ROW(),""),""),"")</f>
        <v/>
      </c>
    </row>
    <row r="21" customFormat="false" ht="15" hidden="false" customHeight="true" outlineLevel="0" collapsed="false">
      <c r="A21" s="13" t="str">
        <f aca="false">IF(AND($B21="",$D21="",$E21="",$F21=""),"",IF(OR($B21="",$D21="",$E21=""),"待补",IF($D21="公共区域","公",IF($D21="商铺","S",SUBSTITUTE($D21,"栋","")))&amp;"-"&amp;$E21&amp;"-"&amp;TEXT(MONTH($B21),"00")&amp;TEXT(DAY($B21),"00")&amp;IF(ISNUMBER($O21),IF($O21&gt;1,"-"&amp;TEXT($O21,"00"),""),"")))</f>
        <v>8-1501-0501</v>
      </c>
      <c r="B21" s="14" t="n">
        <v>45778</v>
      </c>
      <c r="C21" s="10" t="s">
        <v>34</v>
      </c>
      <c r="D21" s="15" t="s">
        <v>35</v>
      </c>
      <c r="E21" s="15" t="s">
        <v>110</v>
      </c>
      <c r="F21" s="16" t="s">
        <v>111</v>
      </c>
      <c r="G21" s="10" t="s">
        <v>38</v>
      </c>
      <c r="H21" s="10" t="s">
        <v>40</v>
      </c>
      <c r="I21" s="10"/>
      <c r="J21" s="15" t="s">
        <v>41</v>
      </c>
      <c r="K21" s="10"/>
      <c r="L21" s="10" t="s">
        <v>43</v>
      </c>
      <c r="M21" s="14"/>
      <c r="N21" s="17" t="str">
        <f aca="false">IF($B21="","",IF($L21="已完成",IF($M21="","",$M21-$B21),IF(设置!$B$6&lt;$B21,"",IF((设置!$B$6-$B21)&gt;=设置!$B$5,"超期"&amp;(设置!$B$6-$B21)&amp;"天","已等"&amp;(设置!$B$6-$B21)&amp;"天"))))</f>
        <v/>
      </c>
      <c r="O21" s="18" t="n">
        <f aca="false">IF(OR($D21="",$E21=""),"",COUNTIFS($D$7:$D21,$D21,$E$7:$E21,$E21))</f>
        <v>1</v>
      </c>
      <c r="P21" s="16" t="s">
        <v>112</v>
      </c>
      <c r="Q21" s="19"/>
      <c r="R21" s="10" t="s">
        <v>65</v>
      </c>
      <c r="S21" s="16"/>
      <c r="T21" s="0" t="str">
        <f aca="false">IF(OR($D21="",单元查询!$B$3=""),"",IF($D21&lt;&gt;单元查询!$B$3,"",IF(OR(单元查询!$D$3="",$E21&amp;""=单元查询!$D$3&amp;""),IF(ISNUMBER($B21),$B21*10000,0)+ROW(),"")))</f>
        <v/>
      </c>
      <c r="U21" s="0" t="str">
        <f aca="false">IF(OR($B21="",$L21="已完成"),"",IF(ISNUMBER($B21),IF(设置!$B$6&lt;$B21,"",(设置!$B$6-$B21)*100000+ROW()),""))</f>
        <v/>
      </c>
      <c r="V21" s="0" t="str">
        <f aca="false">IF(ISNUMBER($O21),IF($O21&gt;=2,IF(COUNTIFS($D21:$D$2006,$D21,$E21:$E$2006,$E21)=1,ROW(),""),""),"")</f>
        <v/>
      </c>
    </row>
    <row r="22" customFormat="false" ht="15" hidden="false" customHeight="true" outlineLevel="0" collapsed="false">
      <c r="A22" s="13" t="str">
        <f aca="false">IF(AND($B22="",$D22="",$E22="",$F22=""),"",IF(OR($B22="",$D22="",$E22=""),"待补",IF($D22="公共区域","公",IF($D22="商铺","S",SUBSTITUTE($D22,"栋","")))&amp;"-"&amp;$E22&amp;"-"&amp;TEXT(MONTH($B22),"00")&amp;TEXT(DAY($B22),"00")&amp;IF(ISNUMBER($O22),IF($O22&gt;1,"-"&amp;TEXT($O22,"00"),""),"")))</f>
        <v>11-1402-0501</v>
      </c>
      <c r="B22" s="14" t="n">
        <v>45778</v>
      </c>
      <c r="C22" s="10" t="s">
        <v>34</v>
      </c>
      <c r="D22" s="15" t="s">
        <v>113</v>
      </c>
      <c r="E22" s="15" t="s">
        <v>114</v>
      </c>
      <c r="F22" s="16" t="s">
        <v>115</v>
      </c>
      <c r="G22" s="10" t="s">
        <v>62</v>
      </c>
      <c r="H22" s="10" t="s">
        <v>40</v>
      </c>
      <c r="I22" s="10"/>
      <c r="J22" s="15" t="s">
        <v>116</v>
      </c>
      <c r="K22" s="10" t="s">
        <v>79</v>
      </c>
      <c r="L22" s="10" t="s">
        <v>43</v>
      </c>
      <c r="M22" s="14"/>
      <c r="N22" s="17" t="str">
        <f aca="false">IF($B22="","",IF($L22="已完成",IF($M22="","",$M22-$B22),IF(设置!$B$6&lt;$B22,"",IF((设置!$B$6-$B22)&gt;=设置!$B$5,"超期"&amp;(设置!$B$6-$B22)&amp;"天","已等"&amp;(设置!$B$6-$B22)&amp;"天"))))</f>
        <v/>
      </c>
      <c r="O22" s="18" t="n">
        <f aca="false">IF(OR($D22="",$E22=""),"",COUNTIFS($D$7:$D22,$D22,$E$7:$E22,$E22))</f>
        <v>1</v>
      </c>
      <c r="P22" s="16" t="s">
        <v>117</v>
      </c>
      <c r="Q22" s="19"/>
      <c r="R22" s="10" t="s">
        <v>45</v>
      </c>
      <c r="S22" s="16"/>
      <c r="T22" s="0" t="str">
        <f aca="false">IF(OR($D22="",单元查询!$B$3=""),"",IF($D22&lt;&gt;单元查询!$B$3,"",IF(OR(单元查询!$D$3="",$E22&amp;""=单元查询!$D$3&amp;""),IF(ISNUMBER($B22),$B22*10000,0)+ROW(),"")))</f>
        <v/>
      </c>
      <c r="U22" s="0" t="str">
        <f aca="false">IF(OR($B22="",$L22="已完成"),"",IF(ISNUMBER($B22),IF(设置!$B$6&lt;$B22,"",(设置!$B$6-$B22)*100000+ROW()),""))</f>
        <v/>
      </c>
      <c r="V22" s="0" t="str">
        <f aca="false">IF(ISNUMBER($O22),IF($O22&gt;=2,IF(COUNTIFS($D22:$D$2006,$D22,$E22:$E$2006,$E22)=1,ROW(),""),""),"")</f>
        <v/>
      </c>
    </row>
    <row r="23" customFormat="false" ht="15" hidden="false" customHeight="true" outlineLevel="0" collapsed="false">
      <c r="A23" s="13" t="str">
        <f aca="false">IF(AND($B23="",$D23="",$E23="",$F23=""),"",IF(OR($B23="",$D23="",$E23=""),"待补",IF($D23="公共区域","公",IF($D23="商铺","S",SUBSTITUTE($D23,"栋","")))&amp;"-"&amp;$E23&amp;"-"&amp;TEXT(MONTH($B23),"00")&amp;TEXT(DAY($B23),"00")&amp;IF(ISNUMBER($O23),IF($O23&gt;1,"-"&amp;TEXT($O23,"00"),""),"")))</f>
        <v>5-2803-0501</v>
      </c>
      <c r="B23" s="14" t="n">
        <v>45778</v>
      </c>
      <c r="C23" s="10" t="s">
        <v>34</v>
      </c>
      <c r="D23" s="15" t="s">
        <v>53</v>
      </c>
      <c r="E23" s="15" t="s">
        <v>118</v>
      </c>
      <c r="F23" s="16" t="s">
        <v>119</v>
      </c>
      <c r="G23" s="10" t="s">
        <v>120</v>
      </c>
      <c r="H23" s="10" t="s">
        <v>40</v>
      </c>
      <c r="I23" s="10"/>
      <c r="J23" s="15" t="s">
        <v>121</v>
      </c>
      <c r="K23" s="10"/>
      <c r="L23" s="10" t="s">
        <v>43</v>
      </c>
      <c r="M23" s="14"/>
      <c r="N23" s="17" t="str">
        <f aca="false">IF($B23="","",IF($L23="已完成",IF($M23="","",$M23-$B23),IF(设置!$B$6&lt;$B23,"",IF((设置!$B$6-$B23)&gt;=设置!$B$5,"超期"&amp;(设置!$B$6-$B23)&amp;"天","已等"&amp;(设置!$B$6-$B23)&amp;"天"))))</f>
        <v/>
      </c>
      <c r="O23" s="18" t="n">
        <f aca="false">IF(OR($D23="",$E23=""),"",COUNTIFS($D$7:$D23,$D23,$E$7:$E23,$E23))</f>
        <v>1</v>
      </c>
      <c r="P23" s="16"/>
      <c r="Q23" s="19"/>
      <c r="R23" s="10" t="s">
        <v>45</v>
      </c>
      <c r="S23" s="16" t="s">
        <v>122</v>
      </c>
      <c r="T23" s="0" t="str">
        <f aca="false">IF(OR($D23="",单元查询!$B$3=""),"",IF($D23&lt;&gt;单元查询!$B$3,"",IF(OR(单元查询!$D$3="",$E23&amp;""=单元查询!$D$3&amp;""),IF(ISNUMBER($B23),$B23*10000,0)+ROW(),"")))</f>
        <v/>
      </c>
      <c r="U23" s="0" t="str">
        <f aca="false">IF(OR($B23="",$L23="已完成"),"",IF(ISNUMBER($B23),IF(设置!$B$6&lt;$B23,"",(设置!$B$6-$B23)*100000+ROW()),""))</f>
        <v/>
      </c>
      <c r="V23" s="0" t="str">
        <f aca="false">IF(ISNUMBER($O23),IF($O23&gt;=2,IF(COUNTIFS($D23:$D$2006,$D23,$E23:$E$2006,$E23)=1,ROW(),""),""),"")</f>
        <v/>
      </c>
    </row>
    <row r="24" customFormat="false" ht="15" hidden="false" customHeight="true" outlineLevel="0" collapsed="false">
      <c r="A24" s="13" t="str">
        <f aca="false">IF(AND($B24="",$D24="",$E24="",$F24=""),"",IF(OR($B24="",$D24="",$E24=""),"待补",IF($D24="公共区域","公",IF($D24="商铺","S",SUBSTITUTE($D24,"栋","")))&amp;"-"&amp;$E24&amp;"-"&amp;TEXT(MONTH($B24),"00")&amp;TEXT(DAY($B24),"00")&amp;IF(ISNUMBER($O24),IF($O24&gt;1,"-"&amp;TEXT($O24,"00"),""),"")))</f>
        <v>10-1103-0501</v>
      </c>
      <c r="B24" s="14" t="n">
        <v>45778</v>
      </c>
      <c r="C24" s="10" t="s">
        <v>34</v>
      </c>
      <c r="D24" s="15" t="s">
        <v>95</v>
      </c>
      <c r="E24" s="15" t="s">
        <v>123</v>
      </c>
      <c r="F24" s="16" t="s">
        <v>124</v>
      </c>
      <c r="G24" s="10" t="s">
        <v>62</v>
      </c>
      <c r="H24" s="10" t="s">
        <v>40</v>
      </c>
      <c r="I24" s="10"/>
      <c r="J24" s="15" t="s">
        <v>125</v>
      </c>
      <c r="K24" s="10"/>
      <c r="L24" s="10" t="s">
        <v>43</v>
      </c>
      <c r="M24" s="14"/>
      <c r="N24" s="17" t="str">
        <f aca="false">IF($B24="","",IF($L24="已完成",IF($M24="","",$M24-$B24),IF(设置!$B$6&lt;$B24,"",IF((设置!$B$6-$B24)&gt;=设置!$B$5,"超期"&amp;(设置!$B$6-$B24)&amp;"天","已等"&amp;(设置!$B$6-$B24)&amp;"天"))))</f>
        <v/>
      </c>
      <c r="O24" s="18" t="n">
        <f aca="false">IF(OR($D24="",$E24=""),"",COUNTIFS($D$7:$D24,$D24,$E$7:$E24,$E24))</f>
        <v>1</v>
      </c>
      <c r="P24" s="16"/>
      <c r="Q24" s="19"/>
      <c r="R24" s="10" t="s">
        <v>45</v>
      </c>
      <c r="S24" s="16"/>
      <c r="T24" s="0" t="str">
        <f aca="false">IF(OR($D24="",单元查询!$B$3=""),"",IF($D24&lt;&gt;单元查询!$B$3,"",IF(OR(单元查询!$D$3="",$E24&amp;""=单元查询!$D$3&amp;""),IF(ISNUMBER($B24),$B24*10000,0)+ROW(),"")))</f>
        <v/>
      </c>
      <c r="U24" s="0" t="str">
        <f aca="false">IF(OR($B24="",$L24="已完成"),"",IF(ISNUMBER($B24),IF(设置!$B$6&lt;$B24,"",(设置!$B$6-$B24)*100000+ROW()),""))</f>
        <v/>
      </c>
      <c r="V24" s="0" t="str">
        <f aca="false">IF(ISNUMBER($O24),IF($O24&gt;=2,IF(COUNTIFS($D24:$D$2006,$D24,$E24:$E$2006,$E24)=1,ROW(),""),""),"")</f>
        <v/>
      </c>
    </row>
    <row r="25" customFormat="false" ht="15" hidden="false" customHeight="true" outlineLevel="0" collapsed="false">
      <c r="A25" s="13" t="str">
        <f aca="false">IF(AND($B25="",$D25="",$E25="",$F25=""),"",IF(OR($B25="",$D25="",$E25=""),"待补",IF($D25="公共区域","公",IF($D25="商铺","S",SUBSTITUTE($D25,"栋","")))&amp;"-"&amp;$E25&amp;"-"&amp;TEXT(MONTH($B25),"00")&amp;TEXT(DAY($B25),"00")&amp;IF(ISNUMBER($O25),IF($O25&gt;1,"-"&amp;TEXT($O25,"00"),""),"")))</f>
        <v>3-2901-0501</v>
      </c>
      <c r="B25" s="14" t="n">
        <v>45778</v>
      </c>
      <c r="C25" s="10" t="s">
        <v>34</v>
      </c>
      <c r="D25" s="15" t="s">
        <v>126</v>
      </c>
      <c r="E25" s="15" t="s">
        <v>127</v>
      </c>
      <c r="F25" s="16" t="s">
        <v>128</v>
      </c>
      <c r="G25" s="10" t="s">
        <v>38</v>
      </c>
      <c r="H25" s="10" t="s">
        <v>39</v>
      </c>
      <c r="I25" s="10"/>
      <c r="J25" s="15" t="s">
        <v>63</v>
      </c>
      <c r="K25" s="10"/>
      <c r="L25" s="10" t="s">
        <v>43</v>
      </c>
      <c r="M25" s="14"/>
      <c r="N25" s="17" t="str">
        <f aca="false">IF($B25="","",IF($L25="已完成",IF($M25="","",$M25-$B25),IF(设置!$B$6&lt;$B25,"",IF((设置!$B$6-$B25)&gt;=设置!$B$5,"超期"&amp;(设置!$B$6-$B25)&amp;"天","已等"&amp;(设置!$B$6-$B25)&amp;"天"))))</f>
        <v/>
      </c>
      <c r="O25" s="18" t="n">
        <f aca="false">IF(OR($D25="",$E25=""),"",COUNTIFS($D$7:$D25,$D25,$E$7:$E25,$E25))</f>
        <v>1</v>
      </c>
      <c r="P25" s="16"/>
      <c r="Q25" s="19"/>
      <c r="R25" s="10" t="s">
        <v>45</v>
      </c>
      <c r="S25" s="16"/>
      <c r="T25" s="0" t="str">
        <f aca="false">IF(OR($D25="",单元查询!$B$3=""),"",IF($D25&lt;&gt;单元查询!$B$3,"",IF(OR(单元查询!$D$3="",$E25&amp;""=单元查询!$D$3&amp;""),IF(ISNUMBER($B25),$B25*10000,0)+ROW(),"")))</f>
        <v/>
      </c>
      <c r="U25" s="0" t="str">
        <f aca="false">IF(OR($B25="",$L25="已完成"),"",IF(ISNUMBER($B25),IF(设置!$B$6&lt;$B25,"",(设置!$B$6-$B25)*100000+ROW()),""))</f>
        <v/>
      </c>
      <c r="V25" s="0" t="str">
        <f aca="false">IF(ISNUMBER($O25),IF($O25&gt;=2,IF(COUNTIFS($D25:$D$2006,$D25,$E25:$E$2006,$E25)=1,ROW(),""),""),"")</f>
        <v/>
      </c>
    </row>
    <row r="26" customFormat="false" ht="15" hidden="false" customHeight="true" outlineLevel="0" collapsed="false">
      <c r="A26" s="13" t="str">
        <f aca="false">IF(AND($B26="",$D26="",$E26="",$F26=""),"",IF(OR($B26="",$D26="",$E26=""),"待补",IF($D26="公共区域","公",IF($D26="商铺","S",SUBSTITUTE($D26,"栋","")))&amp;"-"&amp;$E26&amp;"-"&amp;TEXT(MONTH($B26),"00")&amp;TEXT(DAY($B26),"00")&amp;IF(ISNUMBER($O26),IF($O26&gt;1,"-"&amp;TEXT($O26,"00"),""),"")))</f>
        <v>2-2604-0501</v>
      </c>
      <c r="B26" s="14" t="n">
        <v>45778</v>
      </c>
      <c r="C26" s="10" t="s">
        <v>34</v>
      </c>
      <c r="D26" s="15" t="s">
        <v>129</v>
      </c>
      <c r="E26" s="15" t="s">
        <v>130</v>
      </c>
      <c r="F26" s="16" t="s">
        <v>131</v>
      </c>
      <c r="G26" s="10" t="s">
        <v>62</v>
      </c>
      <c r="H26" s="10" t="s">
        <v>40</v>
      </c>
      <c r="I26" s="10"/>
      <c r="J26" s="15" t="s">
        <v>132</v>
      </c>
      <c r="K26" s="10" t="s">
        <v>42</v>
      </c>
      <c r="L26" s="10" t="s">
        <v>43</v>
      </c>
      <c r="M26" s="14"/>
      <c r="N26" s="17" t="str">
        <f aca="false">IF($B26="","",IF($L26="已完成",IF($M26="","",$M26-$B26),IF(设置!$B$6&lt;$B26,"",IF((设置!$B$6-$B26)&gt;=设置!$B$5,"超期"&amp;(设置!$B$6-$B26)&amp;"天","已等"&amp;(设置!$B$6-$B26)&amp;"天"))))</f>
        <v/>
      </c>
      <c r="O26" s="18" t="n">
        <f aca="false">IF(OR($D26="",$E26=""),"",COUNTIFS($D$7:$D26,$D26,$E$7:$E26,$E26))</f>
        <v>1</v>
      </c>
      <c r="P26" s="16"/>
      <c r="Q26" s="19"/>
      <c r="R26" s="10" t="s">
        <v>45</v>
      </c>
      <c r="S26" s="16"/>
      <c r="T26" s="0" t="str">
        <f aca="false">IF(OR($D26="",单元查询!$B$3=""),"",IF($D26&lt;&gt;单元查询!$B$3,"",IF(OR(单元查询!$D$3="",$E26&amp;""=单元查询!$D$3&amp;""),IF(ISNUMBER($B26),$B26*10000,0)+ROW(),"")))</f>
        <v/>
      </c>
      <c r="U26" s="0" t="str">
        <f aca="false">IF(OR($B26="",$L26="已完成"),"",IF(ISNUMBER($B26),IF(设置!$B$6&lt;$B26,"",(设置!$B$6-$B26)*100000+ROW()),""))</f>
        <v/>
      </c>
      <c r="V26" s="0" t="str">
        <f aca="false">IF(ISNUMBER($O26),IF($O26&gt;=2,IF(COUNTIFS($D26:$D$2006,$D26,$E26:$E$2006,$E26)=1,ROW(),""),""),"")</f>
        <v/>
      </c>
    </row>
    <row r="27" customFormat="false" ht="15" hidden="false" customHeight="true" outlineLevel="0" collapsed="false">
      <c r="A27" s="13" t="str">
        <f aca="false">IF(AND($B27="",$D27="",$E27="",$F27=""),"",IF(OR($B27="",$D27="",$E27=""),"待补",IF($D27="公共区域","公",IF($D27="商铺","S",SUBSTITUTE($D27,"栋","")))&amp;"-"&amp;$E27&amp;"-"&amp;TEXT(MONTH($B27),"00")&amp;TEXT(DAY($B27),"00")&amp;IF(ISNUMBER($O27),IF($O27&gt;1,"-"&amp;TEXT($O27,"00"),""),"")))</f>
        <v>4-3104-0501</v>
      </c>
      <c r="B27" s="14" t="n">
        <v>45778</v>
      </c>
      <c r="C27" s="10" t="s">
        <v>34</v>
      </c>
      <c r="D27" s="15" t="s">
        <v>133</v>
      </c>
      <c r="E27" s="15" t="s">
        <v>134</v>
      </c>
      <c r="F27" s="16" t="s">
        <v>135</v>
      </c>
      <c r="G27" s="10" t="s">
        <v>120</v>
      </c>
      <c r="H27" s="10" t="s">
        <v>49</v>
      </c>
      <c r="I27" s="10"/>
      <c r="J27" s="15" t="s">
        <v>136</v>
      </c>
      <c r="K27" s="10"/>
      <c r="L27" s="10" t="s">
        <v>43</v>
      </c>
      <c r="M27" s="14"/>
      <c r="N27" s="17" t="str">
        <f aca="false">IF($B27="","",IF($L27="已完成",IF($M27="","",$M27-$B27),IF(设置!$B$6&lt;$B27,"",IF((设置!$B$6-$B27)&gt;=设置!$B$5,"超期"&amp;(设置!$B$6-$B27)&amp;"天","已等"&amp;(设置!$B$6-$B27)&amp;"天"))))</f>
        <v/>
      </c>
      <c r="O27" s="18" t="n">
        <f aca="false">IF(OR($D27="",$E27=""),"",COUNTIFS($D$7:$D27,$D27,$E$7:$E27,$E27))</f>
        <v>1</v>
      </c>
      <c r="P27" s="16" t="s">
        <v>137</v>
      </c>
      <c r="Q27" s="19"/>
      <c r="R27" s="10" t="s">
        <v>65</v>
      </c>
      <c r="S27" s="16"/>
      <c r="T27" s="0" t="str">
        <f aca="false">IF(OR($D27="",单元查询!$B$3=""),"",IF($D27&lt;&gt;单元查询!$B$3,"",IF(OR(单元查询!$D$3="",$E27&amp;""=单元查询!$D$3&amp;""),IF(ISNUMBER($B27),$B27*10000,0)+ROW(),"")))</f>
        <v/>
      </c>
      <c r="U27" s="0" t="str">
        <f aca="false">IF(OR($B27="",$L27="已完成"),"",IF(ISNUMBER($B27),IF(设置!$B$6&lt;$B27,"",(设置!$B$6-$B27)*100000+ROW()),""))</f>
        <v/>
      </c>
      <c r="V27" s="0" t="str">
        <f aca="false">IF(ISNUMBER($O27),IF($O27&gt;=2,IF(COUNTIFS($D27:$D$2006,$D27,$E27:$E$2006,$E27)=1,ROW(),""),""),"")</f>
        <v/>
      </c>
    </row>
    <row r="28" customFormat="false" ht="15" hidden="false" customHeight="true" outlineLevel="0" collapsed="false">
      <c r="A28" s="13" t="str">
        <f aca="false">IF(AND($B28="",$D28="",$E28="",$F28=""),"",IF(OR($B28="",$D28="",$E28=""),"待补",IF($D28="公共区域","公",IF($D28="商铺","S",SUBSTITUTE($D28,"栋","")))&amp;"-"&amp;$E28&amp;"-"&amp;TEXT(MONTH($B28),"00")&amp;TEXT(DAY($B28),"00")&amp;IF(ISNUMBER($O28),IF($O28&gt;1,"-"&amp;TEXT($O28,"00"),""),"")))</f>
        <v>9-501-0501</v>
      </c>
      <c r="B28" s="14" t="n">
        <v>45778</v>
      </c>
      <c r="C28" s="10" t="s">
        <v>34</v>
      </c>
      <c r="D28" s="15" t="s">
        <v>98</v>
      </c>
      <c r="E28" s="15" t="s">
        <v>138</v>
      </c>
      <c r="F28" s="16" t="s">
        <v>139</v>
      </c>
      <c r="G28" s="10" t="s">
        <v>78</v>
      </c>
      <c r="H28" s="10" t="s">
        <v>39</v>
      </c>
      <c r="I28" s="10"/>
      <c r="J28" s="15" t="s">
        <v>140</v>
      </c>
      <c r="K28" s="10"/>
      <c r="L28" s="10" t="s">
        <v>43</v>
      </c>
      <c r="M28" s="14"/>
      <c r="N28" s="17" t="str">
        <f aca="false">IF($B28="","",IF($L28="已完成",IF($M28="","",$M28-$B28),IF(设置!$B$6&lt;$B28,"",IF((设置!$B$6-$B28)&gt;=设置!$B$5,"超期"&amp;(设置!$B$6-$B28)&amp;"天","已等"&amp;(设置!$B$6-$B28)&amp;"天"))))</f>
        <v/>
      </c>
      <c r="O28" s="18" t="n">
        <f aca="false">IF(OR($D28="",$E28=""),"",COUNTIFS($D$7:$D28,$D28,$E$7:$E28,$E28))</f>
        <v>1</v>
      </c>
      <c r="P28" s="16"/>
      <c r="Q28" s="19"/>
      <c r="R28" s="10" t="s">
        <v>45</v>
      </c>
      <c r="S28" s="16" t="s">
        <v>141</v>
      </c>
      <c r="T28" s="0" t="str">
        <f aca="false">IF(OR($D28="",单元查询!$B$3=""),"",IF($D28&lt;&gt;单元查询!$B$3,"",IF(OR(单元查询!$D$3="",$E28&amp;""=单元查询!$D$3&amp;""),IF(ISNUMBER($B28),$B28*10000,0)+ROW(),"")))</f>
        <v/>
      </c>
      <c r="U28" s="0" t="str">
        <f aca="false">IF(OR($B28="",$L28="已完成"),"",IF(ISNUMBER($B28),IF(设置!$B$6&lt;$B28,"",(设置!$B$6-$B28)*100000+ROW()),""))</f>
        <v/>
      </c>
      <c r="V28" s="0" t="str">
        <f aca="false">IF(ISNUMBER($O28),IF($O28&gt;=2,IF(COUNTIFS($D28:$D$2006,$D28,$E28:$E$2006,$E28)=1,ROW(),""),""),"")</f>
        <v/>
      </c>
    </row>
    <row r="29" customFormat="false" ht="15" hidden="false" customHeight="true" outlineLevel="0" collapsed="false">
      <c r="A29" s="13" t="str">
        <f aca="false">IF(AND($B29="",$D29="",$E29="",$F29=""),"",IF(OR($B29="",$D29="",$E29=""),"待补",IF($D29="公共区域","公",IF($D29="商铺","S",SUBSTITUTE($D29,"栋","")))&amp;"-"&amp;$E29&amp;"-"&amp;TEXT(MONTH($B29),"00")&amp;TEXT(DAY($B29),"00")&amp;IF(ISNUMBER($O29),IF($O29&gt;1,"-"&amp;TEXT($O29,"00"),""),"")))</f>
        <v>11-802-0501</v>
      </c>
      <c r="B29" s="14" t="n">
        <v>45778</v>
      </c>
      <c r="C29" s="10" t="s">
        <v>34</v>
      </c>
      <c r="D29" s="15" t="s">
        <v>113</v>
      </c>
      <c r="E29" s="15" t="s">
        <v>142</v>
      </c>
      <c r="F29" s="16" t="s">
        <v>143</v>
      </c>
      <c r="G29" s="10" t="s">
        <v>62</v>
      </c>
      <c r="H29" s="10" t="s">
        <v>40</v>
      </c>
      <c r="I29" s="10"/>
      <c r="J29" s="15" t="s">
        <v>144</v>
      </c>
      <c r="K29" s="10" t="s">
        <v>84</v>
      </c>
      <c r="L29" s="10" t="s">
        <v>43</v>
      </c>
      <c r="M29" s="14"/>
      <c r="N29" s="17" t="str">
        <f aca="false">IF($B29="","",IF($L29="已完成",IF($M29="","",$M29-$B29),IF(设置!$B$6&lt;$B29,"",IF((设置!$B$6-$B29)&gt;=设置!$B$5,"超期"&amp;(设置!$B$6-$B29)&amp;"天","已等"&amp;(设置!$B$6-$B29)&amp;"天"))))</f>
        <v/>
      </c>
      <c r="O29" s="18" t="n">
        <f aca="false">IF(OR($D29="",$E29=""),"",COUNTIFS($D$7:$D29,$D29,$E$7:$E29,$E29))</f>
        <v>1</v>
      </c>
      <c r="P29" s="16"/>
      <c r="Q29" s="19"/>
      <c r="R29" s="10" t="s">
        <v>45</v>
      </c>
      <c r="S29" s="16"/>
      <c r="T29" s="0" t="str">
        <f aca="false">IF(OR($D29="",单元查询!$B$3=""),"",IF($D29&lt;&gt;单元查询!$B$3,"",IF(OR(单元查询!$D$3="",$E29&amp;""=单元查询!$D$3&amp;""),IF(ISNUMBER($B29),$B29*10000,0)+ROW(),"")))</f>
        <v/>
      </c>
      <c r="U29" s="0" t="str">
        <f aca="false">IF(OR($B29="",$L29="已完成"),"",IF(ISNUMBER($B29),IF(设置!$B$6&lt;$B29,"",(设置!$B$6-$B29)*100000+ROW()),""))</f>
        <v/>
      </c>
      <c r="V29" s="0" t="str">
        <f aca="false">IF(ISNUMBER($O29),IF($O29&gt;=2,IF(COUNTIFS($D29:$D$2006,$D29,$E29:$E$2006,$E29)=1,ROW(),""),""),"")</f>
        <v/>
      </c>
    </row>
    <row r="30" customFormat="false" ht="15" hidden="false" customHeight="true" outlineLevel="0" collapsed="false">
      <c r="A30" s="13" t="str">
        <f aca="false">IF(AND($B30="",$D30="",$E30="",$F30=""),"",IF(OR($B30="",$D30="",$E30=""),"待补",IF($D30="公共区域","公",IF($D30="商铺","S",SUBSTITUTE($D30,"栋","")))&amp;"-"&amp;$E30&amp;"-"&amp;TEXT(MONTH($B30),"00")&amp;TEXT(DAY($B30),"00")&amp;IF(ISNUMBER($O30),IF($O30&gt;1,"-"&amp;TEXT($O30,"00"),""),"")))</f>
        <v>6-2701-0501</v>
      </c>
      <c r="B30" s="14" t="n">
        <v>45778</v>
      </c>
      <c r="C30" s="10" t="s">
        <v>34</v>
      </c>
      <c r="D30" s="15" t="s">
        <v>46</v>
      </c>
      <c r="E30" s="15" t="s">
        <v>145</v>
      </c>
      <c r="F30" s="16" t="s">
        <v>146</v>
      </c>
      <c r="G30" s="10" t="s">
        <v>108</v>
      </c>
      <c r="H30" s="10" t="s">
        <v>39</v>
      </c>
      <c r="I30" s="10"/>
      <c r="J30" s="15" t="s">
        <v>147</v>
      </c>
      <c r="K30" s="10"/>
      <c r="L30" s="10" t="s">
        <v>43</v>
      </c>
      <c r="M30" s="14"/>
      <c r="N30" s="17" t="str">
        <f aca="false">IF($B30="","",IF($L30="已完成",IF($M30="","",$M30-$B30),IF(设置!$B$6&lt;$B30,"",IF((设置!$B$6-$B30)&gt;=设置!$B$5,"超期"&amp;(设置!$B$6-$B30)&amp;"天","已等"&amp;(设置!$B$6-$B30)&amp;"天"))))</f>
        <v/>
      </c>
      <c r="O30" s="18" t="n">
        <f aca="false">IF(OR($D30="",$E30=""),"",COUNTIFS($D$7:$D30,$D30,$E$7:$E30,$E30))</f>
        <v>1</v>
      </c>
      <c r="P30" s="16" t="s">
        <v>148</v>
      </c>
      <c r="Q30" s="19"/>
      <c r="R30" s="10" t="s">
        <v>45</v>
      </c>
      <c r="S30" s="16"/>
      <c r="T30" s="0" t="n">
        <f aca="false">IF(OR($D30="",单元查询!$B$3=""),"",IF($D30&lt;&gt;单元查询!$B$3,"",IF(OR(单元查询!$D$3="",$E30&amp;""=单元查询!$D$3&amp;""),IF(ISNUMBER($B30),$B30*10000,0)+ROW(),"")))</f>
        <v>457780030</v>
      </c>
      <c r="U30" s="0" t="str">
        <f aca="false">IF(OR($B30="",$L30="已完成"),"",IF(ISNUMBER($B30),IF(设置!$B$6&lt;$B30,"",(设置!$B$6-$B30)*100000+ROW()),""))</f>
        <v/>
      </c>
      <c r="V30" s="0" t="str">
        <f aca="false">IF(ISNUMBER($O30),IF($O30&gt;=2,IF(COUNTIFS($D30:$D$2006,$D30,$E30:$E$2006,$E30)=1,ROW(),""),""),"")</f>
        <v/>
      </c>
    </row>
    <row r="31" customFormat="false" ht="15" hidden="false" customHeight="true" outlineLevel="0" collapsed="false">
      <c r="A31" s="13" t="str">
        <f aca="false">IF(AND($B31="",$D31="",$E31="",$F31=""),"",IF(OR($B31="",$D31="",$E31=""),"待补",IF($D31="公共区域","公",IF($D31="商铺","S",SUBSTITUTE($D31,"栋","")))&amp;"-"&amp;$E31&amp;"-"&amp;TEXT(MONTH($B31),"00")&amp;TEXT(DAY($B31),"00")&amp;IF(ISNUMBER($O31),IF($O31&gt;1,"-"&amp;TEXT($O31,"00"),""),"")))</f>
        <v>9-乒乓球位置-0501</v>
      </c>
      <c r="B31" s="14" t="n">
        <v>45778</v>
      </c>
      <c r="C31" s="10" t="s">
        <v>149</v>
      </c>
      <c r="D31" s="15" t="s">
        <v>98</v>
      </c>
      <c r="E31" s="10" t="s">
        <v>150</v>
      </c>
      <c r="F31" s="16" t="s">
        <v>151</v>
      </c>
      <c r="G31" s="10" t="s">
        <v>108</v>
      </c>
      <c r="H31" s="10" t="s">
        <v>39</v>
      </c>
      <c r="I31" s="10"/>
      <c r="J31" s="15" t="s">
        <v>63</v>
      </c>
      <c r="K31" s="10"/>
      <c r="L31" s="10" t="s">
        <v>43</v>
      </c>
      <c r="M31" s="14"/>
      <c r="N31" s="17" t="str">
        <f aca="false">IF($B31="","",IF($L31="已完成",IF($M31="","",$M31-$B31),IF(设置!$B$6&lt;$B31,"",IF((设置!$B$6-$B31)&gt;=设置!$B$5,"超期"&amp;(设置!$B$6-$B31)&amp;"天","已等"&amp;(设置!$B$6-$B31)&amp;"天"))))</f>
        <v/>
      </c>
      <c r="O31" s="18" t="n">
        <f aca="false">IF(OR($D31="",$E31=""),"",COUNTIFS($D$7:$D31,$D31,$E$7:$E31,$E31))</f>
        <v>1</v>
      </c>
      <c r="P31" s="16"/>
      <c r="Q31" s="19"/>
      <c r="R31" s="10"/>
      <c r="S31" s="16"/>
      <c r="T31" s="0" t="str">
        <f aca="false">IF(OR($D31="",单元查询!$B$3=""),"",IF($D31&lt;&gt;单元查询!$B$3,"",IF(OR(单元查询!$D$3="",$E31&amp;""=单元查询!$D$3&amp;""),IF(ISNUMBER($B31),$B31*10000,0)+ROW(),"")))</f>
        <v/>
      </c>
      <c r="U31" s="0" t="str">
        <f aca="false">IF(OR($B31="",$L31="已完成"),"",IF(ISNUMBER($B31),IF(设置!$B$6&lt;$B31,"",(设置!$B$6-$B31)*100000+ROW()),""))</f>
        <v/>
      </c>
      <c r="V31" s="0" t="str">
        <f aca="false">IF(ISNUMBER($O31),IF($O31&gt;=2,IF(COUNTIFS($D31:$D$2006,$D31,$E31:$E$2006,$E31)=1,ROW(),""),""),"")</f>
        <v/>
      </c>
    </row>
    <row r="32" customFormat="false" ht="15" hidden="false" customHeight="true" outlineLevel="0" collapsed="false">
      <c r="A32" s="13" t="str">
        <f aca="false">IF(AND($B32="",$D32="",$E32="",$F32=""),"",IF(OR($B32="",$D32="",$E32=""),"待补",IF($D32="公共区域","公",IF($D32="商铺","S",SUBSTITUTE($D32,"栋","")))&amp;"-"&amp;$E32&amp;"-"&amp;TEXT(MONTH($B32),"00")&amp;TEXT(DAY($B32),"00")&amp;IF(ISNUMBER($O32),IF($O32&gt;1,"-"&amp;TEXT($O32,"00"),""),"")))</f>
        <v>公-东大门-0501</v>
      </c>
      <c r="B32" s="14" t="n">
        <v>45778</v>
      </c>
      <c r="C32" s="10" t="s">
        <v>149</v>
      </c>
      <c r="D32" s="10" t="s">
        <v>152</v>
      </c>
      <c r="E32" s="10" t="s">
        <v>153</v>
      </c>
      <c r="F32" s="16" t="s">
        <v>154</v>
      </c>
      <c r="G32" s="10" t="s">
        <v>155</v>
      </c>
      <c r="H32" s="10" t="s">
        <v>156</v>
      </c>
      <c r="I32" s="10" t="s">
        <v>157</v>
      </c>
      <c r="J32" s="15" t="s">
        <v>63</v>
      </c>
      <c r="K32" s="10"/>
      <c r="L32" s="10" t="s">
        <v>43</v>
      </c>
      <c r="M32" s="14"/>
      <c r="N32" s="17" t="str">
        <f aca="false">IF($B32="","",IF($L32="已完成",IF($M32="","",$M32-$B32),IF(设置!$B$6&lt;$B32,"",IF((设置!$B$6-$B32)&gt;=设置!$B$5,"超期"&amp;(设置!$B$6-$B32)&amp;"天","已等"&amp;(设置!$B$6-$B32)&amp;"天"))))</f>
        <v/>
      </c>
      <c r="O32" s="18" t="n">
        <f aca="false">IF(OR($D32="",$E32=""),"",COUNTIFS($D$7:$D32,$D32,$E$7:$E32,$E32))</f>
        <v>1</v>
      </c>
      <c r="P32" s="16"/>
      <c r="Q32" s="19"/>
      <c r="R32" s="10"/>
      <c r="S32" s="16"/>
      <c r="T32" s="0" t="str">
        <f aca="false">IF(OR($D32="",单元查询!$B$3=""),"",IF($D32&lt;&gt;单元查询!$B$3,"",IF(OR(单元查询!$D$3="",$E32&amp;""=单元查询!$D$3&amp;""),IF(ISNUMBER($B32),$B32*10000,0)+ROW(),"")))</f>
        <v/>
      </c>
      <c r="U32" s="0" t="str">
        <f aca="false">IF(OR($B32="",$L32="已完成"),"",IF(ISNUMBER($B32),IF(设置!$B$6&lt;$B32,"",(设置!$B$6-$B32)*100000+ROW()),""))</f>
        <v/>
      </c>
      <c r="V32" s="0" t="str">
        <f aca="false">IF(ISNUMBER($O32),IF($O32&gt;=2,IF(COUNTIFS($D32:$D$2006,$D32,$E32:$E$2006,$E32)=1,ROW(),""),""),"")</f>
        <v/>
      </c>
    </row>
    <row r="33" customFormat="false" ht="15" hidden="false" customHeight="true" outlineLevel="0" collapsed="false">
      <c r="A33" s="13" t="str">
        <f aca="false">IF(AND($B33="",$D33="",$E33="",$F33=""),"",IF(OR($B33="",$D33="",$E33=""),"待补",IF($D33="公共区域","公",IF($D33="商铺","S",SUBSTITUTE($D33,"栋","")))&amp;"-"&amp;$E33&amp;"-"&amp;TEXT(MONTH($B33),"00")&amp;TEXT(DAY($B33),"00")&amp;IF(ISNUMBER($O33),IF($O33&gt;1,"-"&amp;TEXT($O33,"00"),""),"")))</f>
        <v>公-西门车库出口-0501</v>
      </c>
      <c r="B33" s="14" t="n">
        <v>45778</v>
      </c>
      <c r="C33" s="10" t="s">
        <v>149</v>
      </c>
      <c r="D33" s="10" t="s">
        <v>152</v>
      </c>
      <c r="E33" s="10" t="s">
        <v>158</v>
      </c>
      <c r="F33" s="16" t="s">
        <v>159</v>
      </c>
      <c r="G33" s="10" t="s">
        <v>160</v>
      </c>
      <c r="H33" s="10" t="s">
        <v>156</v>
      </c>
      <c r="I33" s="10" t="s">
        <v>157</v>
      </c>
      <c r="J33" s="15" t="s">
        <v>63</v>
      </c>
      <c r="K33" s="10"/>
      <c r="L33" s="10" t="s">
        <v>43</v>
      </c>
      <c r="M33" s="14"/>
      <c r="N33" s="17" t="str">
        <f aca="false">IF($B33="","",IF($L33="已完成",IF($M33="","",$M33-$B33),IF(设置!$B$6&lt;$B33,"",IF((设置!$B$6-$B33)&gt;=设置!$B$5,"超期"&amp;(设置!$B$6-$B33)&amp;"天","已等"&amp;(设置!$B$6-$B33)&amp;"天"))))</f>
        <v/>
      </c>
      <c r="O33" s="18" t="n">
        <f aca="false">IF(OR($D33="",$E33=""),"",COUNTIFS($D$7:$D33,$D33,$E$7:$E33,$E33))</f>
        <v>1</v>
      </c>
      <c r="P33" s="16"/>
      <c r="Q33" s="19"/>
      <c r="R33" s="10"/>
      <c r="S33" s="16"/>
      <c r="T33" s="0" t="str">
        <f aca="false">IF(OR($D33="",单元查询!$B$3=""),"",IF($D33&lt;&gt;单元查询!$B$3,"",IF(OR(单元查询!$D$3="",$E33&amp;""=单元查询!$D$3&amp;""),IF(ISNUMBER($B33),$B33*10000,0)+ROW(),"")))</f>
        <v/>
      </c>
      <c r="U33" s="0" t="str">
        <f aca="false">IF(OR($B33="",$L33="已完成"),"",IF(ISNUMBER($B33),IF(设置!$B$6&lt;$B33,"",(设置!$B$6-$B33)*100000+ROW()),""))</f>
        <v/>
      </c>
      <c r="V33" s="0" t="str">
        <f aca="false">IF(ISNUMBER($O33),IF($O33&gt;=2,IF(COUNTIFS($D33:$D$2006,$D33,$E33:$E$2006,$E33)=1,ROW(),""),""),"")</f>
        <v/>
      </c>
    </row>
    <row r="34" customFormat="false" ht="15" hidden="false" customHeight="true" outlineLevel="0" collapsed="false">
      <c r="A34" s="13" t="str">
        <f aca="false">IF(AND($B34="",$D34="",$E34="",$F34=""),"",IF(OR($B34="",$D34="",$E34=""),"待补",IF($D34="公共区域","公",IF($D34="商铺","S",SUBSTITUTE($D34,"栋","")))&amp;"-"&amp;$E34&amp;"-"&amp;TEXT(MONTH($B34),"00")&amp;TEXT(DAY($B34),"00")&amp;IF(ISNUMBER($O34),IF($O34&gt;1,"-"&amp;TEXT($O34,"00"),""),"")))</f>
        <v>3-货梯-0501</v>
      </c>
      <c r="B34" s="14" t="n">
        <v>45778</v>
      </c>
      <c r="C34" s="10" t="s">
        <v>149</v>
      </c>
      <c r="D34" s="15" t="s">
        <v>126</v>
      </c>
      <c r="E34" s="10" t="s">
        <v>161</v>
      </c>
      <c r="F34" s="16" t="s">
        <v>162</v>
      </c>
      <c r="G34" s="10" t="s">
        <v>38</v>
      </c>
      <c r="H34" s="10" t="s">
        <v>156</v>
      </c>
      <c r="I34" s="10"/>
      <c r="J34" s="15" t="s">
        <v>136</v>
      </c>
      <c r="K34" s="10"/>
      <c r="L34" s="10" t="s">
        <v>43</v>
      </c>
      <c r="M34" s="14"/>
      <c r="N34" s="17" t="str">
        <f aca="false">IF($B34="","",IF($L34="已完成",IF($M34="","",$M34-$B34),IF(设置!$B$6&lt;$B34,"",IF((设置!$B$6-$B34)&gt;=设置!$B$5,"超期"&amp;(设置!$B$6-$B34)&amp;"天","已等"&amp;(设置!$B$6-$B34)&amp;"天"))))</f>
        <v/>
      </c>
      <c r="O34" s="18" t="n">
        <f aca="false">IF(OR($D34="",$E34=""),"",COUNTIFS($D$7:$D34,$D34,$E$7:$E34,$E34))</f>
        <v>1</v>
      </c>
      <c r="P34" s="16"/>
      <c r="Q34" s="19"/>
      <c r="R34" s="10"/>
      <c r="S34" s="16"/>
      <c r="T34" s="0" t="str">
        <f aca="false">IF(OR($D34="",单元查询!$B$3=""),"",IF($D34&lt;&gt;单元查询!$B$3,"",IF(OR(单元查询!$D$3="",$E34&amp;""=单元查询!$D$3&amp;""),IF(ISNUMBER($B34),$B34*10000,0)+ROW(),"")))</f>
        <v/>
      </c>
      <c r="U34" s="0" t="str">
        <f aca="false">IF(OR($B34="",$L34="已完成"),"",IF(ISNUMBER($B34),IF(设置!$B$6&lt;$B34,"",(设置!$B$6-$B34)*100000+ROW()),""))</f>
        <v/>
      </c>
      <c r="V34" s="0" t="str">
        <f aca="false">IF(ISNUMBER($O34),IF($O34&gt;=2,IF(COUNTIFS($D34:$D$2006,$D34,$E34:$E$2006,$E34)=1,ROW(),""),""),"")</f>
        <v/>
      </c>
    </row>
    <row r="35" customFormat="false" ht="15" hidden="false" customHeight="true" outlineLevel="0" collapsed="false">
      <c r="A35" s="13" t="str">
        <f aca="false">IF(AND($B35="",$D35="",$E35="",$F35=""),"",IF(OR($B35="",$D35="",$E35=""),"待补",IF($D35="公共区域","公",IF($D35="商铺","S",SUBSTITUTE($D35,"栋","")))&amp;"-"&amp;$E35&amp;"-"&amp;TEXT(MONTH($B35),"00")&amp;TEXT(DAY($B35),"00")&amp;IF(ISNUMBER($O35),IF($O35&gt;1,"-"&amp;TEXT($O35,"00"),""),"")))</f>
        <v>9-肉菜市场-0501</v>
      </c>
      <c r="B35" s="14" t="n">
        <v>45778</v>
      </c>
      <c r="C35" s="10" t="s">
        <v>149</v>
      </c>
      <c r="D35" s="15" t="s">
        <v>98</v>
      </c>
      <c r="E35" s="10" t="s">
        <v>163</v>
      </c>
      <c r="F35" s="16" t="s">
        <v>164</v>
      </c>
      <c r="G35" s="10" t="s">
        <v>56</v>
      </c>
      <c r="H35" s="10" t="s">
        <v>49</v>
      </c>
      <c r="I35" s="10"/>
      <c r="J35" s="10"/>
      <c r="K35" s="10"/>
      <c r="L35" s="10" t="s">
        <v>51</v>
      </c>
      <c r="M35" s="14"/>
      <c r="N35" s="17" t="str">
        <f aca="false">IF($B35="","",IF($L35="已完成",IF($M35="","",$M35-$B35),IF(设置!$B$6&lt;$B35,"",IF((设置!$B$6-$B35)&gt;=设置!$B$5,"超期"&amp;(设置!$B$6-$B35)&amp;"天","已等"&amp;(设置!$B$6-$B35)&amp;"天"))))</f>
        <v>超期6天</v>
      </c>
      <c r="O35" s="18" t="n">
        <f aca="false">IF(OR($D35="",$E35=""),"",COUNTIFS($D$7:$D35,$D35,$E$7:$E35,$E35))</f>
        <v>1</v>
      </c>
      <c r="P35" s="16" t="s">
        <v>165</v>
      </c>
      <c r="Q35" s="19"/>
      <c r="R35" s="10"/>
      <c r="S35" s="16"/>
      <c r="T35" s="0" t="str">
        <f aca="false">IF(OR($D35="",单元查询!$B$3=""),"",IF($D35&lt;&gt;单元查询!$B$3,"",IF(OR(单元查询!$D$3="",$E35&amp;""=单元查询!$D$3&amp;""),IF(ISNUMBER($B35),$B35*10000,0)+ROW(),"")))</f>
        <v/>
      </c>
      <c r="U35" s="0" t="n">
        <f aca="false">IF(OR($B35="",$L35="已完成"),"",IF(ISNUMBER($B35),IF(设置!$B$6&lt;$B35,"",(设置!$B$6-$B35)*100000+ROW()),""))</f>
        <v>600035</v>
      </c>
      <c r="V35" s="0" t="str">
        <f aca="false">IF(ISNUMBER($O35),IF($O35&gt;=2,IF(COUNTIFS($D35:$D$2006,$D35,$E35:$E$2006,$E35)=1,ROW(),""),""),"")</f>
        <v/>
      </c>
    </row>
    <row r="36" customFormat="false" ht="15" hidden="false" customHeight="true" outlineLevel="0" collapsed="false">
      <c r="A36" s="13" t="str">
        <f aca="false">IF(AND($B36="",$D36="",$E36="",$F36=""),"",IF(OR($B36="",$D36="",$E36=""),"待补",IF($D36="公共区域","公",IF($D36="商铺","S",SUBSTITUTE($D36,"栋","")))&amp;"-"&amp;$E36&amp;"-"&amp;TEXT(MONTH($B36),"00")&amp;TEXT(DAY($B36),"00")&amp;IF(ISNUMBER($O36),IF($O36&gt;1,"-"&amp;TEXT($O36,"00"),""),"")))</f>
        <v>10-1层-0501</v>
      </c>
      <c r="B36" s="14" t="n">
        <v>45778</v>
      </c>
      <c r="C36" s="10" t="s">
        <v>149</v>
      </c>
      <c r="D36" s="15" t="s">
        <v>95</v>
      </c>
      <c r="E36" s="15" t="s">
        <v>166</v>
      </c>
      <c r="F36" s="16" t="s">
        <v>167</v>
      </c>
      <c r="G36" s="10" t="s">
        <v>62</v>
      </c>
      <c r="H36" s="10" t="s">
        <v>156</v>
      </c>
      <c r="I36" s="10"/>
      <c r="J36" s="15" t="s">
        <v>68</v>
      </c>
      <c r="K36" s="10"/>
      <c r="L36" s="10" t="s">
        <v>43</v>
      </c>
      <c r="M36" s="14"/>
      <c r="N36" s="17" t="str">
        <f aca="false">IF($B36="","",IF($L36="已完成",IF($M36="","",$M36-$B36),IF(设置!$B$6&lt;$B36,"",IF((设置!$B$6-$B36)&gt;=设置!$B$5,"超期"&amp;(设置!$B$6-$B36)&amp;"天","已等"&amp;(设置!$B$6-$B36)&amp;"天"))))</f>
        <v/>
      </c>
      <c r="O36" s="18" t="n">
        <f aca="false">IF(OR($D36="",$E36=""),"",COUNTIFS($D$7:$D36,$D36,$E$7:$E36,$E36))</f>
        <v>1</v>
      </c>
      <c r="P36" s="16"/>
      <c r="Q36" s="19"/>
      <c r="R36" s="10"/>
      <c r="S36" s="16"/>
      <c r="T36" s="0" t="str">
        <f aca="false">IF(OR($D36="",单元查询!$B$3=""),"",IF($D36&lt;&gt;单元查询!$B$3,"",IF(OR(单元查询!$D$3="",$E36&amp;""=单元查询!$D$3&amp;""),IF(ISNUMBER($B36),$B36*10000,0)+ROW(),"")))</f>
        <v/>
      </c>
      <c r="U36" s="0" t="str">
        <f aca="false">IF(OR($B36="",$L36="已完成"),"",IF(ISNUMBER($B36),IF(设置!$B$6&lt;$B36,"",(设置!$B$6-$B36)*100000+ROW()),""))</f>
        <v/>
      </c>
      <c r="V36" s="0" t="str">
        <f aca="false">IF(ISNUMBER($O36),IF($O36&gt;=2,IF(COUNTIFS($D36:$D$2006,$D36,$E36:$E$2006,$E36)=1,ROW(),""),""),"")</f>
        <v/>
      </c>
    </row>
    <row r="37" customFormat="false" ht="15" hidden="false" customHeight="true" outlineLevel="0" collapsed="false">
      <c r="A37" s="13" t="str">
        <f aca="false">IF(AND($B37="",$D37="",$E37="",$F37=""),"",IF(OR($B37="",$D37="",$E37=""),"待补",IF($D37="公共区域","公",IF($D37="商铺","S",SUBSTITUTE($D37,"栋","")))&amp;"-"&amp;$E37&amp;"-"&amp;TEXT(MONTH($B37),"00")&amp;TEXT(DAY($B37),"00")&amp;IF(ISNUMBER($O37),IF($O37&gt;1,"-"&amp;TEXT($O37,"00"),""),"")))</f>
        <v>公-健身房旁-0501</v>
      </c>
      <c r="B37" s="14" t="n">
        <v>45778</v>
      </c>
      <c r="C37" s="10" t="s">
        <v>149</v>
      </c>
      <c r="D37" s="10" t="s">
        <v>152</v>
      </c>
      <c r="E37" s="10" t="s">
        <v>168</v>
      </c>
      <c r="F37" s="16" t="s">
        <v>169</v>
      </c>
      <c r="G37" s="10" t="s">
        <v>108</v>
      </c>
      <c r="H37" s="10" t="s">
        <v>39</v>
      </c>
      <c r="I37" s="10"/>
      <c r="J37" s="15" t="s">
        <v>170</v>
      </c>
      <c r="K37" s="10"/>
      <c r="L37" s="10" t="s">
        <v>43</v>
      </c>
      <c r="M37" s="14"/>
      <c r="N37" s="17" t="str">
        <f aca="false">IF($B37="","",IF($L37="已完成",IF($M37="","",$M37-$B37),IF(设置!$B$6&lt;$B37,"",IF((设置!$B$6-$B37)&gt;=设置!$B$5,"超期"&amp;(设置!$B$6-$B37)&amp;"天","已等"&amp;(设置!$B$6-$B37)&amp;"天"))))</f>
        <v/>
      </c>
      <c r="O37" s="18" t="n">
        <f aca="false">IF(OR($D37="",$E37=""),"",COUNTIFS($D$7:$D37,$D37,$E$7:$E37,$E37))</f>
        <v>1</v>
      </c>
      <c r="P37" s="16" t="s">
        <v>171</v>
      </c>
      <c r="Q37" s="19"/>
      <c r="R37" s="10"/>
      <c r="S37" s="16"/>
      <c r="T37" s="0" t="str">
        <f aca="false">IF(OR($D37="",单元查询!$B$3=""),"",IF($D37&lt;&gt;单元查询!$B$3,"",IF(OR(单元查询!$D$3="",$E37&amp;""=单元查询!$D$3&amp;""),IF(ISNUMBER($B37),$B37*10000,0)+ROW(),"")))</f>
        <v/>
      </c>
      <c r="U37" s="0" t="str">
        <f aca="false">IF(OR($B37="",$L37="已完成"),"",IF(ISNUMBER($B37),IF(设置!$B$6&lt;$B37,"",(设置!$B$6-$B37)*100000+ROW()),""))</f>
        <v/>
      </c>
      <c r="V37" s="0" t="str">
        <f aca="false">IF(ISNUMBER($O37),IF($O37&gt;=2,IF(COUNTIFS($D37:$D$2006,$D37,$E37:$E$2006,$E37)=1,ROW(),""),""),"")</f>
        <v/>
      </c>
    </row>
    <row r="38" customFormat="false" ht="15" hidden="false" customHeight="true" outlineLevel="0" collapsed="false">
      <c r="A38" s="13" t="str">
        <f aca="false">IF(AND($B38="",$D38="",$E38="",$F38=""),"",IF(OR($B38="",$D38="",$E38=""),"待补",IF($D38="公共区域","公",IF($D38="商铺","S",SUBSTITUTE($D38,"栋","")))&amp;"-"&amp;$E38&amp;"-"&amp;TEXT(MONTH($B38),"00")&amp;TEXT(DAY($B38),"00")&amp;IF(ISNUMBER($O38),IF($O38&gt;1,"-"&amp;TEXT($O38,"00"),""),"")))</f>
        <v>2-1楼-0501</v>
      </c>
      <c r="B38" s="14" t="n">
        <v>45778</v>
      </c>
      <c r="C38" s="10" t="s">
        <v>149</v>
      </c>
      <c r="D38" s="15" t="s">
        <v>129</v>
      </c>
      <c r="E38" s="15" t="s">
        <v>172</v>
      </c>
      <c r="F38" s="16" t="s">
        <v>173</v>
      </c>
      <c r="G38" s="10" t="s">
        <v>160</v>
      </c>
      <c r="H38" s="10" t="s">
        <v>156</v>
      </c>
      <c r="I38" s="10" t="s">
        <v>157</v>
      </c>
      <c r="J38" s="15" t="s">
        <v>174</v>
      </c>
      <c r="K38" s="10"/>
      <c r="L38" s="10" t="s">
        <v>43</v>
      </c>
      <c r="M38" s="14"/>
      <c r="N38" s="17" t="str">
        <f aca="false">IF($B38="","",IF($L38="已完成",IF($M38="","",$M38-$B38),IF(设置!$B$6&lt;$B38,"",IF((设置!$B$6-$B38)&gt;=设置!$B$5,"超期"&amp;(设置!$B$6-$B38)&amp;"天","已等"&amp;(设置!$B$6-$B38)&amp;"天"))))</f>
        <v/>
      </c>
      <c r="O38" s="18" t="n">
        <f aca="false">IF(OR($D38="",$E38=""),"",COUNTIFS($D$7:$D38,$D38,$E$7:$E38,$E38))</f>
        <v>1</v>
      </c>
      <c r="P38" s="16"/>
      <c r="Q38" s="19"/>
      <c r="R38" s="10"/>
      <c r="S38" s="16"/>
      <c r="T38" s="0" t="str">
        <f aca="false">IF(OR($D38="",单元查询!$B$3=""),"",IF($D38&lt;&gt;单元查询!$B$3,"",IF(OR(单元查询!$D$3="",$E38&amp;""=单元查询!$D$3&amp;""),IF(ISNUMBER($B38),$B38*10000,0)+ROW(),"")))</f>
        <v/>
      </c>
      <c r="U38" s="0" t="str">
        <f aca="false">IF(OR($B38="",$L38="已完成"),"",IF(ISNUMBER($B38),IF(设置!$B$6&lt;$B38,"",(设置!$B$6-$B38)*100000+ROW()),""))</f>
        <v/>
      </c>
      <c r="V38" s="0" t="str">
        <f aca="false">IF(ISNUMBER($O38),IF($O38&gt;=2,IF(COUNTIFS($D38:$D$2006,$D38,$E38:$E$2006,$E38)=1,ROW(),""),""),"")</f>
        <v/>
      </c>
    </row>
    <row r="39" customFormat="false" ht="29.25" hidden="false" customHeight="true" outlineLevel="0" collapsed="false">
      <c r="A39" s="13" t="str">
        <f aca="false">IF(AND($B39="",$D39="",$E39="",$F39=""),"",IF(OR($B39="",$D39="",$E39=""),"待补",IF($D39="公共区域","公",IF($D39="商铺","S",SUBSTITUTE($D39,"栋","")))&amp;"-"&amp;$E39&amp;"-"&amp;TEXT(MONTH($B39),"00")&amp;TEXT(DAY($B39),"00")&amp;IF(ISNUMBER($O39),IF($O39&gt;1,"-"&amp;TEXT($O39,"00"),""),"")))</f>
        <v>公-东大门-0501-02</v>
      </c>
      <c r="B39" s="14" t="n">
        <v>45778</v>
      </c>
      <c r="C39" s="10" t="s">
        <v>149</v>
      </c>
      <c r="D39" s="10" t="s">
        <v>152</v>
      </c>
      <c r="E39" s="10" t="s">
        <v>153</v>
      </c>
      <c r="F39" s="16" t="s">
        <v>175</v>
      </c>
      <c r="G39" s="10" t="s">
        <v>78</v>
      </c>
      <c r="H39" s="10" t="s">
        <v>49</v>
      </c>
      <c r="I39" s="10"/>
      <c r="J39" s="15" t="s">
        <v>176</v>
      </c>
      <c r="K39" s="10"/>
      <c r="L39" s="10" t="s">
        <v>51</v>
      </c>
      <c r="M39" s="14"/>
      <c r="N39" s="17" t="str">
        <f aca="false">IF($B39="","",IF($L39="已完成",IF($M39="","",$M39-$B39),IF(设置!$B$6&lt;$B39,"",IF((设置!$B$6-$B39)&gt;=设置!$B$5,"超期"&amp;(设置!$B$6-$B39)&amp;"天","已等"&amp;(设置!$B$6-$B39)&amp;"天"))))</f>
        <v>超期6天</v>
      </c>
      <c r="O39" s="18" t="n">
        <f aca="false">IF(OR($D39="",$E39=""),"",COUNTIFS($D$7:$D39,$D39,$E$7:$E39,$E39))</f>
        <v>2</v>
      </c>
      <c r="P39" s="16" t="s">
        <v>177</v>
      </c>
      <c r="Q39" s="19"/>
      <c r="R39" s="10"/>
      <c r="S39" s="16"/>
      <c r="T39" s="0" t="str">
        <f aca="false">IF(OR($D39="",单元查询!$B$3=""),"",IF($D39&lt;&gt;单元查询!$B$3,"",IF(OR(单元查询!$D$3="",$E39&amp;""=单元查询!$D$3&amp;""),IF(ISNUMBER($B39),$B39*10000,0)+ROW(),"")))</f>
        <v/>
      </c>
      <c r="U39" s="0" t="n">
        <f aca="false">IF(OR($B39="",$L39="已完成"),"",IF(ISNUMBER($B39),IF(设置!$B$6&lt;$B39,"",(设置!$B$6-$B39)*100000+ROW()),""))</f>
        <v>600039</v>
      </c>
      <c r="V39" s="0" t="n">
        <f aca="false">IF(ISNUMBER($O39),IF($O39&gt;=2,IF(COUNTIFS($D39:$D$2006,$D39,$E39:$E$2006,$E39)=1,ROW(),""),""),"")</f>
        <v>39</v>
      </c>
    </row>
    <row r="40" customFormat="false" ht="15" hidden="false" customHeight="true" outlineLevel="0" collapsed="false">
      <c r="A40" s="13" t="str">
        <f aca="false">IF(AND($B40="",$D40="",$E40="",$F40=""),"",IF(OR($B40="",$D40="",$E40=""),"待补",IF($D40="公共区域","公",IF($D40="商铺","S",SUBSTITUTE($D40,"栋","")))&amp;"-"&amp;$E40&amp;"-"&amp;TEXT(MONTH($B40),"00")&amp;TEXT(DAY($B40),"00")&amp;IF(ISNUMBER($O40),IF($O40&gt;1,"-"&amp;TEXT($O40,"00"),""),"")))</f>
        <v>8-大堂-0501</v>
      </c>
      <c r="B40" s="14" t="n">
        <v>45778</v>
      </c>
      <c r="C40" s="10" t="s">
        <v>149</v>
      </c>
      <c r="D40" s="15" t="s">
        <v>35</v>
      </c>
      <c r="E40" s="10" t="s">
        <v>178</v>
      </c>
      <c r="F40" s="20" t="s">
        <v>179</v>
      </c>
      <c r="G40" s="10" t="s">
        <v>108</v>
      </c>
      <c r="H40" s="10" t="s">
        <v>156</v>
      </c>
      <c r="I40" s="10"/>
      <c r="J40" s="15" t="s">
        <v>136</v>
      </c>
      <c r="K40" s="10"/>
      <c r="L40" s="10" t="s">
        <v>43</v>
      </c>
      <c r="M40" s="14"/>
      <c r="N40" s="17" t="str">
        <f aca="false">IF($B40="","",IF($L40="已完成",IF($M40="","",$M40-$B40),IF(设置!$B$6&lt;$B40,"",IF((设置!$B$6-$B40)&gt;=设置!$B$5,"超期"&amp;(设置!$B$6-$B40)&amp;"天","已等"&amp;(设置!$B$6-$B40)&amp;"天"))))</f>
        <v/>
      </c>
      <c r="O40" s="18" t="n">
        <f aca="false">IF(OR($D40="",$E40=""),"",COUNTIFS($D$7:$D40,$D40,$E$7:$E40,$E40))</f>
        <v>1</v>
      </c>
      <c r="P40" s="16"/>
      <c r="Q40" s="19"/>
      <c r="R40" s="10"/>
      <c r="S40" s="16"/>
      <c r="T40" s="0" t="str">
        <f aca="false">IF(OR($D40="",单元查询!$B$3=""),"",IF($D40&lt;&gt;单元查询!$B$3,"",IF(OR(单元查询!$D$3="",$E40&amp;""=单元查询!$D$3&amp;""),IF(ISNUMBER($B40),$B40*10000,0)+ROW(),"")))</f>
        <v/>
      </c>
      <c r="U40" s="0" t="str">
        <f aca="false">IF(OR($B40="",$L40="已完成"),"",IF(ISNUMBER($B40),IF(设置!$B$6&lt;$B40,"",(设置!$B$6-$B40)*100000+ROW()),""))</f>
        <v/>
      </c>
      <c r="V40" s="0" t="str">
        <f aca="false">IF(ISNUMBER($O40),IF($O40&gt;=2,IF(COUNTIFS($D40:$D$2006,$D40,$E40:$E$2006,$E40)=1,ROW(),""),""),"")</f>
        <v/>
      </c>
    </row>
    <row r="41" customFormat="false" ht="29.25" hidden="false" customHeight="true" outlineLevel="0" collapsed="false">
      <c r="A41" s="13" t="str">
        <f aca="false">IF(AND($B41="",$D41="",$E41="",$F41=""),"",IF(OR($B41="",$D41="",$E41=""),"待补",IF($D41="公共区域","公",IF($D41="商铺","S",SUBSTITUTE($D41,"栋","")))&amp;"-"&amp;$E41&amp;"-"&amp;TEXT(MONTH($B41),"00")&amp;TEXT(DAY($B41),"00")&amp;IF(ISNUMBER($O41),IF($O41&gt;1,"-"&amp;TEXT($O41,"00"),""),"")))</f>
        <v>7-凉亭-0501</v>
      </c>
      <c r="B41" s="14" t="n">
        <v>45778</v>
      </c>
      <c r="C41" s="10" t="s">
        <v>149</v>
      </c>
      <c r="D41" s="15" t="s">
        <v>59</v>
      </c>
      <c r="E41" s="10" t="s">
        <v>180</v>
      </c>
      <c r="F41" s="16" t="s">
        <v>181</v>
      </c>
      <c r="G41" s="10" t="s">
        <v>120</v>
      </c>
      <c r="H41" s="10" t="s">
        <v>156</v>
      </c>
      <c r="I41" s="10" t="s">
        <v>157</v>
      </c>
      <c r="J41" s="15" t="s">
        <v>136</v>
      </c>
      <c r="K41" s="10"/>
      <c r="L41" s="10" t="s">
        <v>51</v>
      </c>
      <c r="M41" s="14"/>
      <c r="N41" s="17" t="str">
        <f aca="false">IF($B41="","",IF($L41="已完成",IF($M41="","",$M41-$B41),IF(设置!$B$6&lt;$B41,"",IF((设置!$B$6-$B41)&gt;=设置!$B$5,"超期"&amp;(设置!$B$6-$B41)&amp;"天","已等"&amp;(设置!$B$6-$B41)&amp;"天"))))</f>
        <v>超期6天</v>
      </c>
      <c r="O41" s="18" t="n">
        <f aca="false">IF(OR($D41="",$E41=""),"",COUNTIFS($D$7:$D41,$D41,$E$7:$E41,$E41))</f>
        <v>1</v>
      </c>
      <c r="P41" s="16" t="s">
        <v>182</v>
      </c>
      <c r="Q41" s="19"/>
      <c r="R41" s="10"/>
      <c r="S41" s="16"/>
      <c r="T41" s="0" t="str">
        <f aca="false">IF(OR($D41="",单元查询!$B$3=""),"",IF($D41&lt;&gt;单元查询!$B$3,"",IF(OR(单元查询!$D$3="",$E41&amp;""=单元查询!$D$3&amp;""),IF(ISNUMBER($B41),$B41*10000,0)+ROW(),"")))</f>
        <v/>
      </c>
      <c r="U41" s="0" t="n">
        <f aca="false">IF(OR($B41="",$L41="已完成"),"",IF(ISNUMBER($B41),IF(设置!$B$6&lt;$B41,"",(设置!$B$6-$B41)*100000+ROW()),""))</f>
        <v>600041</v>
      </c>
      <c r="V41" s="0" t="str">
        <f aca="false">IF(ISNUMBER($O41),IF($O41&gt;=2,IF(COUNTIFS($D41:$D$2006,$D41,$E41:$E$2006,$E41)=1,ROW(),""),""),"")</f>
        <v/>
      </c>
    </row>
    <row r="42" customFormat="false" ht="29.25" hidden="false" customHeight="true" outlineLevel="0" collapsed="false">
      <c r="A42" s="13" t="str">
        <f aca="false">IF(AND($B42="",$D42="",$E42="",$F42=""),"",IF(OR($B42="",$D42="",$E42=""),"待补",IF($D42="公共区域","公",IF($D42="商铺","S",SUBSTITUTE($D42,"栋","")))&amp;"-"&amp;$E42&amp;"-"&amp;TEXT(MONTH($B42),"00")&amp;TEXT(DAY($B42),"00")&amp;IF(ISNUMBER($O42),IF($O42&gt;1,"-"&amp;TEXT($O42,"00"),""),"")))</f>
        <v>5-1602-0502</v>
      </c>
      <c r="B42" s="14" t="n">
        <v>45779</v>
      </c>
      <c r="C42" s="10" t="s">
        <v>34</v>
      </c>
      <c r="D42" s="15" t="s">
        <v>53</v>
      </c>
      <c r="E42" s="15" t="s">
        <v>82</v>
      </c>
      <c r="F42" s="16" t="s">
        <v>183</v>
      </c>
      <c r="G42" s="10" t="s">
        <v>56</v>
      </c>
      <c r="H42" s="10" t="s">
        <v>40</v>
      </c>
      <c r="I42" s="10"/>
      <c r="J42" s="15" t="s">
        <v>184</v>
      </c>
      <c r="K42" s="10"/>
      <c r="L42" s="10" t="s">
        <v>51</v>
      </c>
      <c r="M42" s="14"/>
      <c r="N42" s="17" t="str">
        <f aca="false">IF($B42="","",IF($L42="已完成",IF($M42="","",$M42-$B42),IF(设置!$B$6&lt;$B42,"",IF((设置!$B$6-$B42)&gt;=设置!$B$5,"超期"&amp;(设置!$B$6-$B42)&amp;"天","已等"&amp;(设置!$B$6-$B42)&amp;"天"))))</f>
        <v>超期5天</v>
      </c>
      <c r="O42" s="18" t="n">
        <f aca="false">IF(OR($D42="",$E42=""),"",COUNTIFS($D$7:$D42,$D42,$E$7:$E42,$E42))</f>
        <v>1</v>
      </c>
      <c r="P42" s="16" t="s">
        <v>185</v>
      </c>
      <c r="Q42" s="19"/>
      <c r="R42" s="10" t="s">
        <v>45</v>
      </c>
      <c r="S42" s="16"/>
      <c r="T42" s="0" t="str">
        <f aca="false">IF(OR($D42="",单元查询!$B$3=""),"",IF($D42&lt;&gt;单元查询!$B$3,"",IF(OR(单元查询!$D$3="",$E42&amp;""=单元查询!$D$3&amp;""),IF(ISNUMBER($B42),$B42*10000,0)+ROW(),"")))</f>
        <v/>
      </c>
      <c r="U42" s="0" t="n">
        <f aca="false">IF(OR($B42="",$L42="已完成"),"",IF(ISNUMBER($B42),IF(设置!$B$6&lt;$B42,"",(设置!$B$6-$B42)*100000+ROW()),""))</f>
        <v>500042</v>
      </c>
      <c r="V42" s="0" t="str">
        <f aca="false">IF(ISNUMBER($O42),IF($O42&gt;=2,IF(COUNTIFS($D42:$D$2006,$D42,$E42:$E$2006,$E42)=1,ROW(),""),""),"")</f>
        <v/>
      </c>
    </row>
    <row r="43" customFormat="false" ht="15" hidden="false" customHeight="true" outlineLevel="0" collapsed="false">
      <c r="A43" s="13" t="str">
        <f aca="false">IF(AND($B43="",$D43="",$E43="",$F43=""),"",IF(OR($B43="",$D43="",$E43=""),"待补",IF($D43="公共区域","公",IF($D43="商铺","S",SUBSTITUTE($D43,"栋","")))&amp;"-"&amp;$E43&amp;"-"&amp;TEXT(MONTH($B43),"00")&amp;TEXT(DAY($B43),"00")&amp;IF(ISNUMBER($O43),IF($O43&gt;1,"-"&amp;TEXT($O43,"00"),""),"")))</f>
        <v>11-2301-0502</v>
      </c>
      <c r="B43" s="14" t="n">
        <v>45779</v>
      </c>
      <c r="C43" s="10" t="s">
        <v>34</v>
      </c>
      <c r="D43" s="15" t="s">
        <v>113</v>
      </c>
      <c r="E43" s="15" t="s">
        <v>186</v>
      </c>
      <c r="F43" s="16" t="s">
        <v>187</v>
      </c>
      <c r="G43" s="10" t="s">
        <v>188</v>
      </c>
      <c r="H43" s="10" t="s">
        <v>156</v>
      </c>
      <c r="I43" s="10"/>
      <c r="J43" s="15" t="s">
        <v>57</v>
      </c>
      <c r="K43" s="10"/>
      <c r="L43" s="10" t="s">
        <v>43</v>
      </c>
      <c r="M43" s="14"/>
      <c r="N43" s="17" t="str">
        <f aca="false">IF($B43="","",IF($L43="已完成",IF($M43="","",$M43-$B43),IF(设置!$B$6&lt;$B43,"",IF((设置!$B$6-$B43)&gt;=设置!$B$5,"超期"&amp;(设置!$B$6-$B43)&amp;"天","已等"&amp;(设置!$B$6-$B43)&amp;"天"))))</f>
        <v/>
      </c>
      <c r="O43" s="18" t="n">
        <f aca="false">IF(OR($D43="",$E43=""),"",COUNTIFS($D$7:$D43,$D43,$E$7:$E43,$E43))</f>
        <v>1</v>
      </c>
      <c r="P43" s="16" t="s">
        <v>189</v>
      </c>
      <c r="Q43" s="19"/>
      <c r="R43" s="10" t="s">
        <v>45</v>
      </c>
      <c r="S43" s="16"/>
      <c r="T43" s="0" t="str">
        <f aca="false">IF(OR($D43="",单元查询!$B$3=""),"",IF($D43&lt;&gt;单元查询!$B$3,"",IF(OR(单元查询!$D$3="",$E43&amp;""=单元查询!$D$3&amp;""),IF(ISNUMBER($B43),$B43*10000,0)+ROW(),"")))</f>
        <v/>
      </c>
      <c r="U43" s="0" t="str">
        <f aca="false">IF(OR($B43="",$L43="已完成"),"",IF(ISNUMBER($B43),IF(设置!$B$6&lt;$B43,"",(设置!$B$6-$B43)*100000+ROW()),""))</f>
        <v/>
      </c>
      <c r="V43" s="0" t="str">
        <f aca="false">IF(ISNUMBER($O43),IF($O43&gt;=2,IF(COUNTIFS($D43:$D$2006,$D43,$E43:$E$2006,$E43)=1,ROW(),""),""),"")</f>
        <v/>
      </c>
    </row>
    <row r="44" customFormat="false" ht="15" hidden="false" customHeight="true" outlineLevel="0" collapsed="false">
      <c r="A44" s="13" t="str">
        <f aca="false">IF(AND($B44="",$D44="",$E44="",$F44=""),"",IF(OR($B44="",$D44="",$E44=""),"待补",IF($D44="公共区域","公",IF($D44="商铺","S",SUBSTITUTE($D44,"栋","")))&amp;"-"&amp;$E44&amp;"-"&amp;TEXT(MONTH($B44),"00")&amp;TEXT(DAY($B44),"00")&amp;IF(ISNUMBER($O44),IF($O44&gt;1,"-"&amp;TEXT($O44,"00"),""),"")))</f>
        <v>2-1201-0502</v>
      </c>
      <c r="B44" s="14" t="n">
        <v>45779</v>
      </c>
      <c r="C44" s="10" t="s">
        <v>34</v>
      </c>
      <c r="D44" s="15" t="s">
        <v>129</v>
      </c>
      <c r="E44" s="15" t="s">
        <v>190</v>
      </c>
      <c r="F44" s="16" t="s">
        <v>191</v>
      </c>
      <c r="G44" s="10" t="s">
        <v>120</v>
      </c>
      <c r="H44" s="10" t="s">
        <v>39</v>
      </c>
      <c r="I44" s="10"/>
      <c r="J44" s="15" t="s">
        <v>192</v>
      </c>
      <c r="K44" s="10"/>
      <c r="L44" s="10" t="s">
        <v>43</v>
      </c>
      <c r="M44" s="14"/>
      <c r="N44" s="17" t="str">
        <f aca="false">IF($B44="","",IF($L44="已完成",IF($M44="","",$M44-$B44),IF(设置!$B$6&lt;$B44,"",IF((设置!$B$6-$B44)&gt;=设置!$B$5,"超期"&amp;(设置!$B$6-$B44)&amp;"天","已等"&amp;(设置!$B$6-$B44)&amp;"天"))))</f>
        <v/>
      </c>
      <c r="O44" s="18" t="n">
        <f aca="false">IF(OR($D44="",$E44=""),"",COUNTIFS($D$7:$D44,$D44,$E$7:$E44,$E44))</f>
        <v>1</v>
      </c>
      <c r="P44" s="16"/>
      <c r="Q44" s="19"/>
      <c r="R44" s="10" t="s">
        <v>45</v>
      </c>
      <c r="S44" s="16"/>
      <c r="T44" s="0" t="str">
        <f aca="false">IF(OR($D44="",单元查询!$B$3=""),"",IF($D44&lt;&gt;单元查询!$B$3,"",IF(OR(单元查询!$D$3="",$E44&amp;""=单元查询!$D$3&amp;""),IF(ISNUMBER($B44),$B44*10000,0)+ROW(),"")))</f>
        <v/>
      </c>
      <c r="U44" s="0" t="str">
        <f aca="false">IF(OR($B44="",$L44="已完成"),"",IF(ISNUMBER($B44),IF(设置!$B$6&lt;$B44,"",(设置!$B$6-$B44)*100000+ROW()),""))</f>
        <v/>
      </c>
      <c r="V44" s="0" t="str">
        <f aca="false">IF(ISNUMBER($O44),IF($O44&gt;=2,IF(COUNTIFS($D44:$D$2006,$D44,$E44:$E$2006,$E44)=1,ROW(),""),""),"")</f>
        <v/>
      </c>
    </row>
    <row r="45" customFormat="false" ht="15" hidden="false" customHeight="true" outlineLevel="0" collapsed="false">
      <c r="A45" s="13" t="str">
        <f aca="false">IF(AND($B45="",$D45="",$E45="",$F45=""),"",IF(OR($B45="",$D45="",$E45=""),"待补",IF($D45="公共区域","公",IF($D45="商铺","S",SUBSTITUTE($D45,"栋","")))&amp;"-"&amp;$E45&amp;"-"&amp;TEXT(MONTH($B45),"00")&amp;TEXT(DAY($B45),"00")&amp;IF(ISNUMBER($O45),IF($O45&gt;1,"-"&amp;TEXT($O45,"00"),""),"")))</f>
        <v>9-304-0502</v>
      </c>
      <c r="B45" s="14" t="n">
        <v>45779</v>
      </c>
      <c r="C45" s="10" t="s">
        <v>34</v>
      </c>
      <c r="D45" s="15" t="s">
        <v>98</v>
      </c>
      <c r="E45" s="15" t="s">
        <v>90</v>
      </c>
      <c r="F45" s="16" t="s">
        <v>193</v>
      </c>
      <c r="G45" s="10" t="s">
        <v>38</v>
      </c>
      <c r="H45" s="10" t="s">
        <v>40</v>
      </c>
      <c r="I45" s="10"/>
      <c r="J45" s="15" t="s">
        <v>194</v>
      </c>
      <c r="K45" s="10" t="s">
        <v>42</v>
      </c>
      <c r="L45" s="10" t="s">
        <v>43</v>
      </c>
      <c r="M45" s="14"/>
      <c r="N45" s="17" t="str">
        <f aca="false">IF($B45="","",IF($L45="已完成",IF($M45="","",$M45-$B45),IF(设置!$B$6&lt;$B45,"",IF((设置!$B$6-$B45)&gt;=设置!$B$5,"超期"&amp;(设置!$B$6-$B45)&amp;"天","已等"&amp;(设置!$B$6-$B45)&amp;"天"))))</f>
        <v/>
      </c>
      <c r="O45" s="18" t="n">
        <f aca="false">IF(OR($D45="",$E45=""),"",COUNTIFS($D$7:$D45,$D45,$E$7:$E45,$E45))</f>
        <v>1</v>
      </c>
      <c r="P45" s="16" t="s">
        <v>195</v>
      </c>
      <c r="Q45" s="19"/>
      <c r="R45" s="10" t="s">
        <v>45</v>
      </c>
      <c r="S45" s="16"/>
      <c r="T45" s="0" t="str">
        <f aca="false">IF(OR($D45="",单元查询!$B$3=""),"",IF($D45&lt;&gt;单元查询!$B$3,"",IF(OR(单元查询!$D$3="",$E45&amp;""=单元查询!$D$3&amp;""),IF(ISNUMBER($B45),$B45*10000,0)+ROW(),"")))</f>
        <v/>
      </c>
      <c r="U45" s="0" t="str">
        <f aca="false">IF(OR($B45="",$L45="已完成"),"",IF(ISNUMBER($B45),IF(设置!$B$6&lt;$B45,"",(设置!$B$6-$B45)*100000+ROW()),""))</f>
        <v/>
      </c>
      <c r="V45" s="0" t="str">
        <f aca="false">IF(ISNUMBER($O45),IF($O45&gt;=2,IF(COUNTIFS($D45:$D$2006,$D45,$E45:$E$2006,$E45)=1,ROW(),""),""),"")</f>
        <v/>
      </c>
    </row>
    <row r="46" customFormat="false" ht="15" hidden="false" customHeight="true" outlineLevel="0" collapsed="false">
      <c r="A46" s="13" t="str">
        <f aca="false">IF(AND($B46="",$D46="",$E46="",$F46=""),"",IF(OR($B46="",$D46="",$E46=""),"待补",IF($D46="公共区域","公",IF($D46="商铺","S",SUBSTITUTE($D46,"栋","")))&amp;"-"&amp;$E46&amp;"-"&amp;TEXT(MONTH($B46),"00")&amp;TEXT(DAY($B46),"00")&amp;IF(ISNUMBER($O46),IF($O46&gt;1,"-"&amp;TEXT($O46,"00"),""),"")))</f>
        <v>6-201-0502</v>
      </c>
      <c r="B46" s="14" t="n">
        <v>45779</v>
      </c>
      <c r="C46" s="10" t="s">
        <v>34</v>
      </c>
      <c r="D46" s="15" t="s">
        <v>46</v>
      </c>
      <c r="E46" s="15" t="s">
        <v>196</v>
      </c>
      <c r="F46" s="16" t="s">
        <v>197</v>
      </c>
      <c r="G46" s="10" t="s">
        <v>62</v>
      </c>
      <c r="H46" s="10" t="s">
        <v>39</v>
      </c>
      <c r="I46" s="10"/>
      <c r="J46" s="15" t="s">
        <v>57</v>
      </c>
      <c r="K46" s="10"/>
      <c r="L46" s="10" t="s">
        <v>43</v>
      </c>
      <c r="M46" s="14"/>
      <c r="N46" s="17" t="str">
        <f aca="false">IF($B46="","",IF($L46="已完成",IF($M46="","",$M46-$B46),IF(设置!$B$6&lt;$B46,"",IF((设置!$B$6-$B46)&gt;=设置!$B$5,"超期"&amp;(设置!$B$6-$B46)&amp;"天","已等"&amp;(设置!$B$6-$B46)&amp;"天"))))</f>
        <v/>
      </c>
      <c r="O46" s="18" t="n">
        <f aca="false">IF(OR($D46="",$E46=""),"",COUNTIFS($D$7:$D46,$D46,$E$7:$E46,$E46))</f>
        <v>1</v>
      </c>
      <c r="P46" s="16"/>
      <c r="Q46" s="19"/>
      <c r="R46" s="10" t="s">
        <v>45</v>
      </c>
      <c r="S46" s="16"/>
      <c r="T46" s="0" t="n">
        <f aca="false">IF(OR($D46="",单元查询!$B$3=""),"",IF($D46&lt;&gt;单元查询!$B$3,"",IF(OR(单元查询!$D$3="",$E46&amp;""=单元查询!$D$3&amp;""),IF(ISNUMBER($B46),$B46*10000,0)+ROW(),"")))</f>
        <v>457790046</v>
      </c>
      <c r="U46" s="0" t="str">
        <f aca="false">IF(OR($B46="",$L46="已完成"),"",IF(ISNUMBER($B46),IF(设置!$B$6&lt;$B46,"",(设置!$B$6-$B46)*100000+ROW()),""))</f>
        <v/>
      </c>
      <c r="V46" s="0" t="str">
        <f aca="false">IF(ISNUMBER($O46),IF($O46&gt;=2,IF(COUNTIFS($D46:$D$2006,$D46,$E46:$E$2006,$E46)=1,ROW(),""),""),"")</f>
        <v/>
      </c>
    </row>
    <row r="47" customFormat="false" ht="15" hidden="false" customHeight="true" outlineLevel="0" collapsed="false">
      <c r="A47" s="13" t="str">
        <f aca="false">IF(AND($B47="",$D47="",$E47="",$F47=""),"",IF(OR($B47="",$D47="",$E47=""),"待补",IF($D47="公共区域","公",IF($D47="商铺","S",SUBSTITUTE($D47,"栋","")))&amp;"-"&amp;$E47&amp;"-"&amp;TEXT(MONTH($B47),"00")&amp;TEXT(DAY($B47),"00")&amp;IF(ISNUMBER($O47),IF($O47&gt;1,"-"&amp;TEXT($O47,"00"),""),"")))</f>
        <v>10-2403-0502</v>
      </c>
      <c r="B47" s="14" t="n">
        <v>45779</v>
      </c>
      <c r="C47" s="10" t="s">
        <v>34</v>
      </c>
      <c r="D47" s="15" t="s">
        <v>95</v>
      </c>
      <c r="E47" s="15" t="s">
        <v>198</v>
      </c>
      <c r="F47" s="16" t="s">
        <v>199</v>
      </c>
      <c r="G47" s="10" t="s">
        <v>200</v>
      </c>
      <c r="H47" s="10" t="s">
        <v>39</v>
      </c>
      <c r="I47" s="10"/>
      <c r="J47" s="15" t="s">
        <v>201</v>
      </c>
      <c r="K47" s="10"/>
      <c r="L47" s="10" t="s">
        <v>43</v>
      </c>
      <c r="M47" s="14"/>
      <c r="N47" s="17" t="str">
        <f aca="false">IF($B47="","",IF($L47="已完成",IF($M47="","",$M47-$B47),IF(设置!$B$6&lt;$B47,"",IF((设置!$B$6-$B47)&gt;=设置!$B$5,"超期"&amp;(设置!$B$6-$B47)&amp;"天","已等"&amp;(设置!$B$6-$B47)&amp;"天"))))</f>
        <v/>
      </c>
      <c r="O47" s="18" t="n">
        <f aca="false">IF(OR($D47="",$E47=""),"",COUNTIFS($D$7:$D47,$D47,$E$7:$E47,$E47))</f>
        <v>1</v>
      </c>
      <c r="P47" s="16"/>
      <c r="Q47" s="19"/>
      <c r="R47" s="10" t="s">
        <v>45</v>
      </c>
      <c r="S47" s="16"/>
      <c r="T47" s="0" t="str">
        <f aca="false">IF(OR($D47="",单元查询!$B$3=""),"",IF($D47&lt;&gt;单元查询!$B$3,"",IF(OR(单元查询!$D$3="",$E47&amp;""=单元查询!$D$3&amp;""),IF(ISNUMBER($B47),$B47*10000,0)+ROW(),"")))</f>
        <v/>
      </c>
      <c r="U47" s="0" t="str">
        <f aca="false">IF(OR($B47="",$L47="已完成"),"",IF(ISNUMBER($B47),IF(设置!$B$6&lt;$B47,"",(设置!$B$6-$B47)*100000+ROW()),""))</f>
        <v/>
      </c>
      <c r="V47" s="0" t="str">
        <f aca="false">IF(ISNUMBER($O47),IF($O47&gt;=2,IF(COUNTIFS($D47:$D$2006,$D47,$E47:$E$2006,$E47)=1,ROW(),""),""),"")</f>
        <v/>
      </c>
    </row>
    <row r="48" customFormat="false" ht="29.25" hidden="false" customHeight="true" outlineLevel="0" collapsed="false">
      <c r="A48" s="13" t="str">
        <f aca="false">IF(AND($B48="",$D48="",$E48="",$F48=""),"",IF(OR($B48="",$D48="",$E48=""),"待补",IF($D48="公共区域","公",IF($D48="商铺","S",SUBSTITUTE($D48,"栋","")))&amp;"-"&amp;$E48&amp;"-"&amp;TEXT(MONTH($B48),"00")&amp;TEXT(DAY($B48),"00")&amp;IF(ISNUMBER($O48),IF($O48&gt;1,"-"&amp;TEXT($O48,"00"),""),"")))</f>
        <v>6-3304-0502</v>
      </c>
      <c r="B48" s="14" t="n">
        <v>45779</v>
      </c>
      <c r="C48" s="10" t="s">
        <v>34</v>
      </c>
      <c r="D48" s="15" t="s">
        <v>46</v>
      </c>
      <c r="E48" s="15" t="s">
        <v>202</v>
      </c>
      <c r="F48" s="16" t="s">
        <v>203</v>
      </c>
      <c r="G48" s="10" t="s">
        <v>38</v>
      </c>
      <c r="H48" s="10" t="s">
        <v>40</v>
      </c>
      <c r="I48" s="10"/>
      <c r="J48" s="15" t="s">
        <v>57</v>
      </c>
      <c r="K48" s="10" t="s">
        <v>79</v>
      </c>
      <c r="L48" s="10" t="s">
        <v>51</v>
      </c>
      <c r="M48" s="14"/>
      <c r="N48" s="17" t="str">
        <f aca="false">IF($B48="","",IF($L48="已完成",IF($M48="","",$M48-$B48),IF(设置!$B$6&lt;$B48,"",IF((设置!$B$6-$B48)&gt;=设置!$B$5,"超期"&amp;(设置!$B$6-$B48)&amp;"天","已等"&amp;(设置!$B$6-$B48)&amp;"天"))))</f>
        <v>超期5天</v>
      </c>
      <c r="O48" s="18" t="n">
        <f aca="false">IF(OR($D48="",$E48=""),"",COUNTIFS($D$7:$D48,$D48,$E$7:$E48,$E48))</f>
        <v>1</v>
      </c>
      <c r="P48" s="16" t="s">
        <v>204</v>
      </c>
      <c r="Q48" s="19"/>
      <c r="R48" s="10" t="s">
        <v>45</v>
      </c>
      <c r="S48" s="16"/>
      <c r="T48" s="0" t="n">
        <f aca="false">IF(OR($D48="",单元查询!$B$3=""),"",IF($D48&lt;&gt;单元查询!$B$3,"",IF(OR(单元查询!$D$3="",$E48&amp;""=单元查询!$D$3&amp;""),IF(ISNUMBER($B48),$B48*10000,0)+ROW(),"")))</f>
        <v>457790048</v>
      </c>
      <c r="U48" s="0" t="n">
        <f aca="false">IF(OR($B48="",$L48="已完成"),"",IF(ISNUMBER($B48),IF(设置!$B$6&lt;$B48,"",(设置!$B$6-$B48)*100000+ROW()),""))</f>
        <v>500048</v>
      </c>
      <c r="V48" s="0" t="str">
        <f aca="false">IF(ISNUMBER($O48),IF($O48&gt;=2,IF(COUNTIFS($D48:$D$2006,$D48,$E48:$E$2006,$E48)=1,ROW(),""),""),"")</f>
        <v/>
      </c>
    </row>
    <row r="49" customFormat="false" ht="15" hidden="false" customHeight="true" outlineLevel="0" collapsed="false">
      <c r="A49" s="13" t="str">
        <f aca="false">IF(AND($B49="",$D49="",$E49="",$F49=""),"",IF(OR($B49="",$D49="",$E49=""),"待补",IF($D49="公共区域","公",IF($D49="商铺","S",SUBSTITUTE($D49,"栋","")))&amp;"-"&amp;$E49&amp;"-"&amp;TEXT(MONTH($B49),"00")&amp;TEXT(DAY($B49),"00")&amp;IF(ISNUMBER($O49),IF($O49&gt;1,"-"&amp;TEXT($O49,"00"),""),"")))</f>
        <v>7-2503-0502</v>
      </c>
      <c r="B49" s="14" t="n">
        <v>45779</v>
      </c>
      <c r="C49" s="10" t="s">
        <v>34</v>
      </c>
      <c r="D49" s="15" t="s">
        <v>59</v>
      </c>
      <c r="E49" s="15" t="s">
        <v>205</v>
      </c>
      <c r="F49" s="16" t="s">
        <v>206</v>
      </c>
      <c r="G49" s="10" t="s">
        <v>108</v>
      </c>
      <c r="H49" s="10" t="s">
        <v>39</v>
      </c>
      <c r="I49" s="10"/>
      <c r="J49" s="15" t="s">
        <v>194</v>
      </c>
      <c r="K49" s="10" t="s">
        <v>42</v>
      </c>
      <c r="L49" s="10" t="s">
        <v>43</v>
      </c>
      <c r="M49" s="14"/>
      <c r="N49" s="17" t="str">
        <f aca="false">IF($B49="","",IF($L49="已完成",IF($M49="","",$M49-$B49),IF(设置!$B$6&lt;$B49,"",IF((设置!$B$6-$B49)&gt;=设置!$B$5,"超期"&amp;(设置!$B$6-$B49)&amp;"天","已等"&amp;(设置!$B$6-$B49)&amp;"天"))))</f>
        <v/>
      </c>
      <c r="O49" s="18" t="n">
        <f aca="false">IF(OR($D49="",$E49=""),"",COUNTIFS($D$7:$D49,$D49,$E$7:$E49,$E49))</f>
        <v>1</v>
      </c>
      <c r="P49" s="16"/>
      <c r="Q49" s="19"/>
      <c r="R49" s="10" t="s">
        <v>45</v>
      </c>
      <c r="S49" s="16"/>
      <c r="T49" s="0" t="str">
        <f aca="false">IF(OR($D49="",单元查询!$B$3=""),"",IF($D49&lt;&gt;单元查询!$B$3,"",IF(OR(单元查询!$D$3="",$E49&amp;""=单元查询!$D$3&amp;""),IF(ISNUMBER($B49),$B49*10000,0)+ROW(),"")))</f>
        <v/>
      </c>
      <c r="U49" s="0" t="str">
        <f aca="false">IF(OR($B49="",$L49="已完成"),"",IF(ISNUMBER($B49),IF(设置!$B$6&lt;$B49,"",(设置!$B$6-$B49)*100000+ROW()),""))</f>
        <v/>
      </c>
      <c r="V49" s="0" t="str">
        <f aca="false">IF(ISNUMBER($O49),IF($O49&gt;=2,IF(COUNTIFS($D49:$D$2006,$D49,$E49:$E$2006,$E49)=1,ROW(),""),""),"")</f>
        <v/>
      </c>
    </row>
    <row r="50" customFormat="false" ht="15" hidden="false" customHeight="true" outlineLevel="0" collapsed="false">
      <c r="A50" s="13" t="str">
        <f aca="false">IF(AND($B50="",$D50="",$E50="",$F50=""),"",IF(OR($B50="",$D50="",$E50=""),"待补",IF($D50="公共区域","公",IF($D50="商铺","S",SUBSTITUTE($D50,"栋","")))&amp;"-"&amp;$E50&amp;"-"&amp;TEXT(MONTH($B50),"00")&amp;TEXT(DAY($B50),"00")&amp;IF(ISNUMBER($O50),IF($O50&gt;1,"-"&amp;TEXT($O50,"00"),""),"")))</f>
        <v>9-1102-0502</v>
      </c>
      <c r="B50" s="14" t="n">
        <v>45779</v>
      </c>
      <c r="C50" s="10" t="s">
        <v>34</v>
      </c>
      <c r="D50" s="15" t="s">
        <v>98</v>
      </c>
      <c r="E50" s="15" t="s">
        <v>207</v>
      </c>
      <c r="F50" s="16" t="s">
        <v>208</v>
      </c>
      <c r="G50" s="10" t="s">
        <v>108</v>
      </c>
      <c r="H50" s="10" t="s">
        <v>40</v>
      </c>
      <c r="I50" s="10"/>
      <c r="J50" s="15" t="s">
        <v>209</v>
      </c>
      <c r="K50" s="10" t="s">
        <v>42</v>
      </c>
      <c r="L50" s="10" t="s">
        <v>43</v>
      </c>
      <c r="M50" s="14"/>
      <c r="N50" s="17" t="str">
        <f aca="false">IF($B50="","",IF($L50="已完成",IF($M50="","",$M50-$B50),IF(设置!$B$6&lt;$B50,"",IF((设置!$B$6-$B50)&gt;=设置!$B$5,"超期"&amp;(设置!$B$6-$B50)&amp;"天","已等"&amp;(设置!$B$6-$B50)&amp;"天"))))</f>
        <v/>
      </c>
      <c r="O50" s="18" t="n">
        <f aca="false">IF(OR($D50="",$E50=""),"",COUNTIFS($D$7:$D50,$D50,$E$7:$E50,$E50))</f>
        <v>1</v>
      </c>
      <c r="P50" s="16"/>
      <c r="Q50" s="19"/>
      <c r="R50" s="10" t="s">
        <v>45</v>
      </c>
      <c r="S50" s="16" t="s">
        <v>210</v>
      </c>
      <c r="T50" s="0" t="str">
        <f aca="false">IF(OR($D50="",单元查询!$B$3=""),"",IF($D50&lt;&gt;单元查询!$B$3,"",IF(OR(单元查询!$D$3="",$E50&amp;""=单元查询!$D$3&amp;""),IF(ISNUMBER($B50),$B50*10000,0)+ROW(),"")))</f>
        <v/>
      </c>
      <c r="U50" s="0" t="str">
        <f aca="false">IF(OR($B50="",$L50="已完成"),"",IF(ISNUMBER($B50),IF(设置!$B$6&lt;$B50,"",(设置!$B$6-$B50)*100000+ROW()),""))</f>
        <v/>
      </c>
      <c r="V50" s="0" t="str">
        <f aca="false">IF(ISNUMBER($O50),IF($O50&gt;=2,IF(COUNTIFS($D50:$D$2006,$D50,$E50:$E$2006,$E50)=1,ROW(),""),""),"")</f>
        <v/>
      </c>
    </row>
    <row r="51" customFormat="false" ht="29.25" hidden="false" customHeight="true" outlineLevel="0" collapsed="false">
      <c r="A51" s="13" t="str">
        <f aca="false">IF(AND($B51="",$D51="",$E51="",$F51=""),"",IF(OR($B51="",$D51="",$E51=""),"待补",IF($D51="公共区域","公",IF($D51="商铺","S",SUBSTITUTE($D51,"栋","")))&amp;"-"&amp;$E51&amp;"-"&amp;TEXT(MONTH($B51),"00")&amp;TEXT(DAY($B51),"00")&amp;IF(ISNUMBER($O51),IF($O51&gt;1,"-"&amp;TEXT($O51,"00"),""),"")))</f>
        <v>5-1501-0502</v>
      </c>
      <c r="B51" s="14" t="n">
        <v>45779</v>
      </c>
      <c r="C51" s="10" t="s">
        <v>34</v>
      </c>
      <c r="D51" s="15" t="s">
        <v>53</v>
      </c>
      <c r="E51" s="15" t="s">
        <v>110</v>
      </c>
      <c r="F51" s="16" t="s">
        <v>211</v>
      </c>
      <c r="G51" s="10" t="s">
        <v>56</v>
      </c>
      <c r="H51" s="10" t="s">
        <v>156</v>
      </c>
      <c r="I51" s="10"/>
      <c r="J51" s="15" t="s">
        <v>212</v>
      </c>
      <c r="K51" s="10" t="s">
        <v>79</v>
      </c>
      <c r="L51" s="10" t="s">
        <v>51</v>
      </c>
      <c r="M51" s="14"/>
      <c r="N51" s="17" t="str">
        <f aca="false">IF($B51="","",IF($L51="已完成",IF($M51="","",$M51-$B51),IF(设置!$B$6&lt;$B51,"",IF((设置!$B$6-$B51)&gt;=设置!$B$5,"超期"&amp;(设置!$B$6-$B51)&amp;"天","已等"&amp;(设置!$B$6-$B51)&amp;"天"))))</f>
        <v>超期5天</v>
      </c>
      <c r="O51" s="18" t="n">
        <f aca="false">IF(OR($D51="",$E51=""),"",COUNTIFS($D$7:$D51,$D51,$E$7:$E51,$E51))</f>
        <v>1</v>
      </c>
      <c r="P51" s="16" t="s">
        <v>213</v>
      </c>
      <c r="Q51" s="19"/>
      <c r="R51" s="10" t="s">
        <v>45</v>
      </c>
      <c r="S51" s="16"/>
      <c r="T51" s="0" t="str">
        <f aca="false">IF(OR($D51="",单元查询!$B$3=""),"",IF($D51&lt;&gt;单元查询!$B$3,"",IF(OR(单元查询!$D$3="",$E51&amp;""=单元查询!$D$3&amp;""),IF(ISNUMBER($B51),$B51*10000,0)+ROW(),"")))</f>
        <v/>
      </c>
      <c r="U51" s="0" t="n">
        <f aca="false">IF(OR($B51="",$L51="已完成"),"",IF(ISNUMBER($B51),IF(设置!$B$6&lt;$B51,"",(设置!$B$6-$B51)*100000+ROW()),""))</f>
        <v>500051</v>
      </c>
      <c r="V51" s="0" t="str">
        <f aca="false">IF(ISNUMBER($O51),IF($O51&gt;=2,IF(COUNTIFS($D51:$D$2006,$D51,$E51:$E$2006,$E51)=1,ROW(),""),""),"")</f>
        <v/>
      </c>
    </row>
    <row r="52" customFormat="false" ht="15" hidden="false" customHeight="true" outlineLevel="0" collapsed="false">
      <c r="A52" s="13" t="str">
        <f aca="false">IF(AND($B52="",$D52="",$E52="",$F52=""),"",IF(OR($B52="",$D52="",$E52=""),"待补",IF($D52="公共区域","公",IF($D52="商铺","S",SUBSTITUTE($D52,"栋","")))&amp;"-"&amp;$E52&amp;"-"&amp;TEXT(MONTH($B52),"00")&amp;TEXT(DAY($B52),"00")&amp;IF(ISNUMBER($O52),IF($O52&gt;1,"-"&amp;TEXT($O52,"00"),""),"")))</f>
        <v>10-502-0502</v>
      </c>
      <c r="B52" s="14" t="n">
        <v>45779</v>
      </c>
      <c r="C52" s="10" t="s">
        <v>34</v>
      </c>
      <c r="D52" s="15" t="s">
        <v>95</v>
      </c>
      <c r="E52" s="15" t="s">
        <v>214</v>
      </c>
      <c r="F52" s="16" t="s">
        <v>215</v>
      </c>
      <c r="G52" s="10" t="s">
        <v>62</v>
      </c>
      <c r="H52" s="10" t="s">
        <v>156</v>
      </c>
      <c r="I52" s="10"/>
      <c r="J52" s="15" t="s">
        <v>57</v>
      </c>
      <c r="K52" s="10" t="s">
        <v>79</v>
      </c>
      <c r="L52" s="10" t="s">
        <v>43</v>
      </c>
      <c r="M52" s="14"/>
      <c r="N52" s="17" t="str">
        <f aca="false">IF($B52="","",IF($L52="已完成",IF($M52="","",$M52-$B52),IF(设置!$B$6&lt;$B52,"",IF((设置!$B$6-$B52)&gt;=设置!$B$5,"超期"&amp;(设置!$B$6-$B52)&amp;"天","已等"&amp;(设置!$B$6-$B52)&amp;"天"))))</f>
        <v/>
      </c>
      <c r="O52" s="18" t="n">
        <f aca="false">IF(OR($D52="",$E52=""),"",COUNTIFS($D$7:$D52,$D52,$E$7:$E52,$E52))</f>
        <v>1</v>
      </c>
      <c r="P52" s="16"/>
      <c r="Q52" s="19"/>
      <c r="R52" s="10" t="s">
        <v>45</v>
      </c>
      <c r="S52" s="16"/>
      <c r="T52" s="0" t="str">
        <f aca="false">IF(OR($D52="",单元查询!$B$3=""),"",IF($D52&lt;&gt;单元查询!$B$3,"",IF(OR(单元查询!$D$3="",$E52&amp;""=单元查询!$D$3&amp;""),IF(ISNUMBER($B52),$B52*10000,0)+ROW(),"")))</f>
        <v/>
      </c>
      <c r="U52" s="0" t="str">
        <f aca="false">IF(OR($B52="",$L52="已完成"),"",IF(ISNUMBER($B52),IF(设置!$B$6&lt;$B52,"",(设置!$B$6-$B52)*100000+ROW()),""))</f>
        <v/>
      </c>
      <c r="V52" s="0" t="str">
        <f aca="false">IF(ISNUMBER($O52),IF($O52&gt;=2,IF(COUNTIFS($D52:$D$2006,$D52,$E52:$E$2006,$E52)=1,ROW(),""),""),"")</f>
        <v/>
      </c>
    </row>
    <row r="53" customFormat="false" ht="29.25" hidden="false" customHeight="true" outlineLevel="0" collapsed="false">
      <c r="A53" s="13" t="str">
        <f aca="false">IF(AND($B53="",$D53="",$E53="",$F53=""),"",IF(OR($B53="",$D53="",$E53=""),"待补",IF($D53="公共区域","公",IF($D53="商铺","S",SUBSTITUTE($D53,"栋","")))&amp;"-"&amp;$E53&amp;"-"&amp;TEXT(MONTH($B53),"00")&amp;TEXT(DAY($B53),"00")&amp;IF(ISNUMBER($O53),IF($O53&gt;1,"-"&amp;TEXT($O53,"00"),""),"")))</f>
        <v>7-1004-0502</v>
      </c>
      <c r="B53" s="14" t="n">
        <v>45779</v>
      </c>
      <c r="C53" s="10" t="s">
        <v>34</v>
      </c>
      <c r="D53" s="15" t="s">
        <v>59</v>
      </c>
      <c r="E53" s="15" t="s">
        <v>216</v>
      </c>
      <c r="F53" s="16" t="s">
        <v>217</v>
      </c>
      <c r="G53" s="10" t="s">
        <v>62</v>
      </c>
      <c r="H53" s="10" t="s">
        <v>40</v>
      </c>
      <c r="I53" s="10"/>
      <c r="J53" s="15" t="s">
        <v>218</v>
      </c>
      <c r="K53" s="10" t="s">
        <v>42</v>
      </c>
      <c r="L53" s="10" t="s">
        <v>43</v>
      </c>
      <c r="M53" s="14"/>
      <c r="N53" s="17" t="str">
        <f aca="false">IF($B53="","",IF($L53="已完成",IF($M53="","",$M53-$B53),IF(设置!$B$6&lt;$B53,"",IF((设置!$B$6-$B53)&gt;=设置!$B$5,"超期"&amp;(设置!$B$6-$B53)&amp;"天","已等"&amp;(设置!$B$6-$B53)&amp;"天"))))</f>
        <v/>
      </c>
      <c r="O53" s="18" t="n">
        <f aca="false">IF(OR($D53="",$E53=""),"",COUNTIFS($D$7:$D53,$D53,$E$7:$E53,$E53))</f>
        <v>1</v>
      </c>
      <c r="P53" s="16" t="s">
        <v>219</v>
      </c>
      <c r="Q53" s="19"/>
      <c r="R53" s="10" t="s">
        <v>45</v>
      </c>
      <c r="S53" s="16"/>
      <c r="T53" s="0" t="str">
        <f aca="false">IF(OR($D53="",单元查询!$B$3=""),"",IF($D53&lt;&gt;单元查询!$B$3,"",IF(OR(单元查询!$D$3="",$E53&amp;""=单元查询!$D$3&amp;""),IF(ISNUMBER($B53),$B53*10000,0)+ROW(),"")))</f>
        <v/>
      </c>
      <c r="U53" s="0" t="str">
        <f aca="false">IF(OR($B53="",$L53="已完成"),"",IF(ISNUMBER($B53),IF(设置!$B$6&lt;$B53,"",(设置!$B$6-$B53)*100000+ROW()),""))</f>
        <v/>
      </c>
      <c r="V53" s="0" t="str">
        <f aca="false">IF(ISNUMBER($O53),IF($O53&gt;=2,IF(COUNTIFS($D53:$D$2006,$D53,$E53:$E$2006,$E53)=1,ROW(),""),""),"")</f>
        <v/>
      </c>
    </row>
    <row r="54" customFormat="false" ht="29.25" hidden="false" customHeight="true" outlineLevel="0" collapsed="false">
      <c r="A54" s="13" t="str">
        <f aca="false">IF(AND($B54="",$D54="",$E54="",$F54=""),"",IF(OR($B54="",$D54="",$E54=""),"待补",IF($D54="公共区域","公",IF($D54="商铺","S",SUBSTITUTE($D54,"栋","")))&amp;"-"&amp;$E54&amp;"-"&amp;TEXT(MONTH($B54),"00")&amp;TEXT(DAY($B54),"00")&amp;IF(ISNUMBER($O54),IF($O54&gt;1,"-"&amp;TEXT($O54,"00"),""),"")))</f>
        <v>10-1901-0502</v>
      </c>
      <c r="B54" s="14" t="n">
        <v>45779</v>
      </c>
      <c r="C54" s="10" t="s">
        <v>34</v>
      </c>
      <c r="D54" s="15" t="s">
        <v>95</v>
      </c>
      <c r="E54" s="15" t="s">
        <v>220</v>
      </c>
      <c r="F54" s="16" t="s">
        <v>221</v>
      </c>
      <c r="G54" s="10" t="s">
        <v>62</v>
      </c>
      <c r="H54" s="10" t="s">
        <v>40</v>
      </c>
      <c r="I54" s="10"/>
      <c r="J54" s="15" t="s">
        <v>222</v>
      </c>
      <c r="K54" s="10"/>
      <c r="L54" s="10" t="s">
        <v>43</v>
      </c>
      <c r="M54" s="14"/>
      <c r="N54" s="17" t="str">
        <f aca="false">IF($B54="","",IF($L54="已完成",IF($M54="","",$M54-$B54),IF(设置!$B$6&lt;$B54,"",IF((设置!$B$6-$B54)&gt;=设置!$B$5,"超期"&amp;(设置!$B$6-$B54)&amp;"天","已等"&amp;(设置!$B$6-$B54)&amp;"天"))))</f>
        <v/>
      </c>
      <c r="O54" s="18" t="n">
        <f aca="false">IF(OR($D54="",$E54=""),"",COUNTIFS($D$7:$D54,$D54,$E$7:$E54,$E54))</f>
        <v>1</v>
      </c>
      <c r="P54" s="16" t="s">
        <v>223</v>
      </c>
      <c r="Q54" s="19"/>
      <c r="R54" s="10" t="s">
        <v>45</v>
      </c>
      <c r="S54" s="16"/>
      <c r="T54" s="0" t="str">
        <f aca="false">IF(OR($D54="",单元查询!$B$3=""),"",IF($D54&lt;&gt;单元查询!$B$3,"",IF(OR(单元查询!$D$3="",$E54&amp;""=单元查询!$D$3&amp;""),IF(ISNUMBER($B54),$B54*10000,0)+ROW(),"")))</f>
        <v/>
      </c>
      <c r="U54" s="0" t="str">
        <f aca="false">IF(OR($B54="",$L54="已完成"),"",IF(ISNUMBER($B54),IF(设置!$B$6&lt;$B54,"",(设置!$B$6-$B54)*100000+ROW()),""))</f>
        <v/>
      </c>
      <c r="V54" s="0" t="str">
        <f aca="false">IF(ISNUMBER($O54),IF($O54&gt;=2,IF(COUNTIFS($D54:$D$2006,$D54,$E54:$E$2006,$E54)=1,ROW(),""),""),"")</f>
        <v/>
      </c>
    </row>
    <row r="55" customFormat="false" ht="15" hidden="false" customHeight="true" outlineLevel="0" collapsed="false">
      <c r="A55" s="13" t="str">
        <f aca="false">IF(AND($B55="",$D55="",$E55="",$F55=""),"",IF(OR($B55="",$D55="",$E55=""),"待补",IF($D55="公共区域","公",IF($D55="商铺","S",SUBSTITUTE($D55,"栋","")))&amp;"-"&amp;$E55&amp;"-"&amp;TEXT(MONTH($B55),"00")&amp;TEXT(DAY($B55),"00")&amp;IF(ISNUMBER($O55),IF($O55&gt;1,"-"&amp;TEXT($O55,"00"),""),"")))</f>
        <v>5-503-0502-02</v>
      </c>
      <c r="B55" s="14" t="n">
        <v>45779</v>
      </c>
      <c r="C55" s="10" t="s">
        <v>34</v>
      </c>
      <c r="D55" s="15" t="s">
        <v>53</v>
      </c>
      <c r="E55" s="15" t="s">
        <v>54</v>
      </c>
      <c r="F55" s="16" t="s">
        <v>224</v>
      </c>
      <c r="G55" s="10" t="s">
        <v>78</v>
      </c>
      <c r="H55" s="10" t="s">
        <v>40</v>
      </c>
      <c r="I55" s="10"/>
      <c r="J55" s="15" t="s">
        <v>225</v>
      </c>
      <c r="K55" s="10"/>
      <c r="L55" s="10" t="s">
        <v>43</v>
      </c>
      <c r="M55" s="14"/>
      <c r="N55" s="17" t="str">
        <f aca="false">IF($B55="","",IF($L55="已完成",IF($M55="","",$M55-$B55),IF(设置!$B$6&lt;$B55,"",IF((设置!$B$6-$B55)&gt;=设置!$B$5,"超期"&amp;(设置!$B$6-$B55)&amp;"天","已等"&amp;(设置!$B$6-$B55)&amp;"天"))))</f>
        <v/>
      </c>
      <c r="O55" s="18" t="n">
        <f aca="false">IF(OR($D55="",$E55=""),"",COUNTIFS($D$7:$D55,$D55,$E$7:$E55,$E55))</f>
        <v>2</v>
      </c>
      <c r="P55" s="16"/>
      <c r="Q55" s="19"/>
      <c r="R55" s="10" t="s">
        <v>45</v>
      </c>
      <c r="S55" s="16"/>
      <c r="T55" s="0" t="str">
        <f aca="false">IF(OR($D55="",单元查询!$B$3=""),"",IF($D55&lt;&gt;单元查询!$B$3,"",IF(OR(单元查询!$D$3="",$E55&amp;""=单元查询!$D$3&amp;""),IF(ISNUMBER($B55),$B55*10000,0)+ROW(),"")))</f>
        <v/>
      </c>
      <c r="U55" s="0" t="str">
        <f aca="false">IF(OR($B55="",$L55="已完成"),"",IF(ISNUMBER($B55),IF(设置!$B$6&lt;$B55,"",(设置!$B$6-$B55)*100000+ROW()),""))</f>
        <v/>
      </c>
      <c r="V55" s="0" t="n">
        <f aca="false">IF(ISNUMBER($O55),IF($O55&gt;=2,IF(COUNTIFS($D55:$D$2006,$D55,$E55:$E$2006,$E55)=1,ROW(),""),""),"")</f>
        <v>55</v>
      </c>
    </row>
    <row r="56" customFormat="false" ht="15" hidden="false" customHeight="true" outlineLevel="0" collapsed="false">
      <c r="A56" s="13" t="str">
        <f aca="false">IF(AND($B56="",$D56="",$E56="",$F56=""),"",IF(OR($B56="",$D56="",$E56=""),"待补",IF($D56="公共区域","公",IF($D56="商铺","S",SUBSTITUTE($D56,"栋","")))&amp;"-"&amp;$E56&amp;"-"&amp;TEXT(MONTH($B56),"00")&amp;TEXT(DAY($B56),"00")&amp;IF(ISNUMBER($O56),IF($O56&gt;1,"-"&amp;TEXT($O56,"00"),""),"")))</f>
        <v>5-2101-0502</v>
      </c>
      <c r="B56" s="14" t="n">
        <v>45779</v>
      </c>
      <c r="C56" s="10" t="s">
        <v>34</v>
      </c>
      <c r="D56" s="15" t="s">
        <v>53</v>
      </c>
      <c r="E56" s="15" t="s">
        <v>226</v>
      </c>
      <c r="F56" s="16" t="s">
        <v>227</v>
      </c>
      <c r="G56" s="10" t="s">
        <v>120</v>
      </c>
      <c r="H56" s="10" t="s">
        <v>39</v>
      </c>
      <c r="I56" s="10"/>
      <c r="J56" s="15" t="s">
        <v>201</v>
      </c>
      <c r="K56" s="10"/>
      <c r="L56" s="10" t="s">
        <v>43</v>
      </c>
      <c r="M56" s="14"/>
      <c r="N56" s="17" t="str">
        <f aca="false">IF($B56="","",IF($L56="已完成",IF($M56="","",$M56-$B56),IF(设置!$B$6&lt;$B56,"",IF((设置!$B$6-$B56)&gt;=设置!$B$5,"超期"&amp;(设置!$B$6-$B56)&amp;"天","已等"&amp;(设置!$B$6-$B56)&amp;"天"))))</f>
        <v/>
      </c>
      <c r="O56" s="18" t="n">
        <f aca="false">IF(OR($D56="",$E56=""),"",COUNTIFS($D$7:$D56,$D56,$E$7:$E56,$E56))</f>
        <v>1</v>
      </c>
      <c r="P56" s="16" t="s">
        <v>228</v>
      </c>
      <c r="Q56" s="19"/>
      <c r="R56" s="10" t="s">
        <v>45</v>
      </c>
      <c r="S56" s="16"/>
      <c r="T56" s="0" t="str">
        <f aca="false">IF(OR($D56="",单元查询!$B$3=""),"",IF($D56&lt;&gt;单元查询!$B$3,"",IF(OR(单元查询!$D$3="",$E56&amp;""=单元查询!$D$3&amp;""),IF(ISNUMBER($B56),$B56*10000,0)+ROW(),"")))</f>
        <v/>
      </c>
      <c r="U56" s="0" t="str">
        <f aca="false">IF(OR($B56="",$L56="已完成"),"",IF(ISNUMBER($B56),IF(设置!$B$6&lt;$B56,"",(设置!$B$6-$B56)*100000+ROW()),""))</f>
        <v/>
      </c>
      <c r="V56" s="0" t="str">
        <f aca="false">IF(ISNUMBER($O56),IF($O56&gt;=2,IF(COUNTIFS($D56:$D$2006,$D56,$E56:$E$2006,$E56)=1,ROW(),""),""),"")</f>
        <v/>
      </c>
    </row>
    <row r="57" customFormat="false" ht="15" hidden="false" customHeight="true" outlineLevel="0" collapsed="false">
      <c r="A57" s="13" t="str">
        <f aca="false">IF(AND($B57="",$D57="",$E57="",$F57=""),"",IF(OR($B57="",$D57="",$E57=""),"待补",IF($D57="公共区域","公",IF($D57="商铺","S",SUBSTITUTE($D57,"栋","")))&amp;"-"&amp;$E57&amp;"-"&amp;TEXT(MONTH($B57),"00")&amp;TEXT(DAY($B57),"00")&amp;IF(ISNUMBER($O57),IF($O57&gt;1,"-"&amp;TEXT($O57,"00"),""),"")))</f>
        <v>10-3302-0502</v>
      </c>
      <c r="B57" s="14" t="n">
        <v>45779</v>
      </c>
      <c r="C57" s="10" t="s">
        <v>34</v>
      </c>
      <c r="D57" s="15" t="s">
        <v>95</v>
      </c>
      <c r="E57" s="15" t="s">
        <v>229</v>
      </c>
      <c r="F57" s="16" t="s">
        <v>230</v>
      </c>
      <c r="G57" s="10" t="s">
        <v>62</v>
      </c>
      <c r="H57" s="10" t="s">
        <v>40</v>
      </c>
      <c r="I57" s="10"/>
      <c r="J57" s="15" t="s">
        <v>231</v>
      </c>
      <c r="K57" s="10" t="s">
        <v>79</v>
      </c>
      <c r="L57" s="10" t="s">
        <v>43</v>
      </c>
      <c r="M57" s="14"/>
      <c r="N57" s="17" t="str">
        <f aca="false">IF($B57="","",IF($L57="已完成",IF($M57="","",$M57-$B57),IF(设置!$B$6&lt;$B57,"",IF((设置!$B$6-$B57)&gt;=设置!$B$5,"超期"&amp;(设置!$B$6-$B57)&amp;"天","已等"&amp;(设置!$B$6-$B57)&amp;"天"))))</f>
        <v/>
      </c>
      <c r="O57" s="18" t="n">
        <f aca="false">IF(OR($D57="",$E57=""),"",COUNTIFS($D$7:$D57,$D57,$E$7:$E57,$E57))</f>
        <v>1</v>
      </c>
      <c r="P57" s="16"/>
      <c r="Q57" s="19"/>
      <c r="R57" s="10" t="s">
        <v>45</v>
      </c>
      <c r="S57" s="16"/>
      <c r="T57" s="0" t="str">
        <f aca="false">IF(OR($D57="",单元查询!$B$3=""),"",IF($D57&lt;&gt;单元查询!$B$3,"",IF(OR(单元查询!$D$3="",$E57&amp;""=单元查询!$D$3&amp;""),IF(ISNUMBER($B57),$B57*10000,0)+ROW(),"")))</f>
        <v/>
      </c>
      <c r="U57" s="0" t="str">
        <f aca="false">IF(OR($B57="",$L57="已完成"),"",IF(ISNUMBER($B57),IF(设置!$B$6&lt;$B57,"",(设置!$B$6-$B57)*100000+ROW()),""))</f>
        <v/>
      </c>
      <c r="V57" s="0" t="str">
        <f aca="false">IF(ISNUMBER($O57),IF($O57&gt;=2,IF(COUNTIFS($D57:$D$2006,$D57,$E57:$E$2006,$E57)=1,ROW(),""),""),"")</f>
        <v/>
      </c>
    </row>
    <row r="58" customFormat="false" ht="15" hidden="false" customHeight="true" outlineLevel="0" collapsed="false">
      <c r="A58" s="13" t="str">
        <f aca="false">IF(AND($B58="",$D58="",$E58="",$F58=""),"",IF(OR($B58="",$D58="",$E58=""),"待补",IF($D58="公共区域","公",IF($D58="商铺","S",SUBSTITUTE($D58,"栋","")))&amp;"-"&amp;$E58&amp;"-"&amp;TEXT(MONTH($B58),"00")&amp;TEXT(DAY($B58),"00")&amp;IF(ISNUMBER($O58),IF($O58&gt;1,"-"&amp;TEXT($O58,"00"),""),"")))</f>
        <v>3-2904-0502</v>
      </c>
      <c r="B58" s="14" t="n">
        <v>45779</v>
      </c>
      <c r="C58" s="10" t="s">
        <v>34</v>
      </c>
      <c r="D58" s="15" t="s">
        <v>126</v>
      </c>
      <c r="E58" s="15" t="s">
        <v>60</v>
      </c>
      <c r="F58" s="16" t="s">
        <v>232</v>
      </c>
      <c r="G58" s="10" t="s">
        <v>62</v>
      </c>
      <c r="H58" s="10" t="s">
        <v>156</v>
      </c>
      <c r="I58" s="10"/>
      <c r="J58" s="15" t="s">
        <v>233</v>
      </c>
      <c r="K58" s="10"/>
      <c r="L58" s="10" t="s">
        <v>43</v>
      </c>
      <c r="M58" s="14"/>
      <c r="N58" s="17" t="str">
        <f aca="false">IF($B58="","",IF($L58="已完成",IF($M58="","",$M58-$B58),IF(设置!$B$6&lt;$B58,"",IF((设置!$B$6-$B58)&gt;=设置!$B$5,"超期"&amp;(设置!$B$6-$B58)&amp;"天","已等"&amp;(设置!$B$6-$B58)&amp;"天"))))</f>
        <v/>
      </c>
      <c r="O58" s="18" t="n">
        <f aca="false">IF(OR($D58="",$E58=""),"",COUNTIFS($D$7:$D58,$D58,$E$7:$E58,$E58))</f>
        <v>1</v>
      </c>
      <c r="P58" s="16"/>
      <c r="Q58" s="19"/>
      <c r="R58" s="10" t="s">
        <v>65</v>
      </c>
      <c r="S58" s="16"/>
      <c r="T58" s="0" t="str">
        <f aca="false">IF(OR($D58="",单元查询!$B$3=""),"",IF($D58&lt;&gt;单元查询!$B$3,"",IF(OR(单元查询!$D$3="",$E58&amp;""=单元查询!$D$3&amp;""),IF(ISNUMBER($B58),$B58*10000,0)+ROW(),"")))</f>
        <v/>
      </c>
      <c r="U58" s="0" t="str">
        <f aca="false">IF(OR($B58="",$L58="已完成"),"",IF(ISNUMBER($B58),IF(设置!$B$6&lt;$B58,"",(设置!$B$6-$B58)*100000+ROW()),""))</f>
        <v/>
      </c>
      <c r="V58" s="0" t="str">
        <f aca="false">IF(ISNUMBER($O58),IF($O58&gt;=2,IF(COUNTIFS($D58:$D$2006,$D58,$E58:$E$2006,$E58)=1,ROW(),""),""),"")</f>
        <v/>
      </c>
    </row>
    <row r="59" customFormat="false" ht="15" hidden="false" customHeight="true" outlineLevel="0" collapsed="false">
      <c r="A59" s="13" t="str">
        <f aca="false">IF(AND($B59="",$D59="",$E59="",$F59=""),"",IF(OR($B59="",$D59="",$E59=""),"待补",IF($D59="公共区域","公",IF($D59="商铺","S",SUBSTITUTE($D59,"栋","")))&amp;"-"&amp;$E59&amp;"-"&amp;TEXT(MONTH($B59),"00")&amp;TEXT(DAY($B59),"00")&amp;IF(ISNUMBER($O59),IF($O59&gt;1,"-"&amp;TEXT($O59,"00"),""),"")))</f>
        <v>8-2704-0502</v>
      </c>
      <c r="B59" s="14" t="n">
        <v>45779</v>
      </c>
      <c r="C59" s="10" t="s">
        <v>34</v>
      </c>
      <c r="D59" s="15" t="s">
        <v>35</v>
      </c>
      <c r="E59" s="15" t="s">
        <v>234</v>
      </c>
      <c r="F59" s="16" t="s">
        <v>235</v>
      </c>
      <c r="G59" s="10" t="s">
        <v>38</v>
      </c>
      <c r="H59" s="10" t="s">
        <v>39</v>
      </c>
      <c r="I59" s="10" t="s">
        <v>40</v>
      </c>
      <c r="J59" s="15" t="s">
        <v>236</v>
      </c>
      <c r="K59" s="10"/>
      <c r="L59" s="10" t="s">
        <v>43</v>
      </c>
      <c r="M59" s="14"/>
      <c r="N59" s="17" t="str">
        <f aca="false">IF($B59="","",IF($L59="已完成",IF($M59="","",$M59-$B59),IF(设置!$B$6&lt;$B59,"",IF((设置!$B$6-$B59)&gt;=设置!$B$5,"超期"&amp;(设置!$B$6-$B59)&amp;"天","已等"&amp;(设置!$B$6-$B59)&amp;"天"))))</f>
        <v/>
      </c>
      <c r="O59" s="18" t="n">
        <f aca="false">IF(OR($D59="",$E59=""),"",COUNTIFS($D$7:$D59,$D59,$E$7:$E59,$E59))</f>
        <v>1</v>
      </c>
      <c r="P59" s="16" t="s">
        <v>237</v>
      </c>
      <c r="Q59" s="19"/>
      <c r="R59" s="10" t="s">
        <v>45</v>
      </c>
      <c r="S59" s="16"/>
      <c r="T59" s="0" t="str">
        <f aca="false">IF(OR($D59="",单元查询!$B$3=""),"",IF($D59&lt;&gt;单元查询!$B$3,"",IF(OR(单元查询!$D$3="",$E59&amp;""=单元查询!$D$3&amp;""),IF(ISNUMBER($B59),$B59*10000,0)+ROW(),"")))</f>
        <v/>
      </c>
      <c r="U59" s="0" t="str">
        <f aca="false">IF(OR($B59="",$L59="已完成"),"",IF(ISNUMBER($B59),IF(设置!$B$6&lt;$B59,"",(设置!$B$6-$B59)*100000+ROW()),""))</f>
        <v/>
      </c>
      <c r="V59" s="0" t="str">
        <f aca="false">IF(ISNUMBER($O59),IF($O59&gt;=2,IF(COUNTIFS($D59:$D$2006,$D59,$E59:$E$2006,$E59)=1,ROW(),""),""),"")</f>
        <v/>
      </c>
    </row>
    <row r="60" customFormat="false" ht="15" hidden="false" customHeight="true" outlineLevel="0" collapsed="false">
      <c r="A60" s="13" t="str">
        <f aca="false">IF(AND($B60="",$D60="",$E60="",$F60=""),"",IF(OR($B60="",$D60="",$E60=""),"待补",IF($D60="公共区域","公",IF($D60="商铺","S",SUBSTITUTE($D60,"栋","")))&amp;"-"&amp;$E60&amp;"-"&amp;TEXT(MONTH($B60),"00")&amp;TEXT(DAY($B60),"00")&amp;IF(ISNUMBER($O60),IF($O60&gt;1,"-"&amp;TEXT($O60,"00"),""),"")))</f>
        <v>2-702-0502</v>
      </c>
      <c r="B60" s="14" t="n">
        <v>45779</v>
      </c>
      <c r="C60" s="10" t="s">
        <v>34</v>
      </c>
      <c r="D60" s="15" t="s">
        <v>129</v>
      </c>
      <c r="E60" s="15" t="s">
        <v>238</v>
      </c>
      <c r="F60" s="16" t="s">
        <v>239</v>
      </c>
      <c r="G60" s="10" t="s">
        <v>62</v>
      </c>
      <c r="H60" s="10" t="s">
        <v>49</v>
      </c>
      <c r="I60" s="10"/>
      <c r="J60" s="15" t="s">
        <v>218</v>
      </c>
      <c r="K60" s="10"/>
      <c r="L60" s="10" t="s">
        <v>43</v>
      </c>
      <c r="M60" s="14"/>
      <c r="N60" s="17" t="str">
        <f aca="false">IF($B60="","",IF($L60="已完成",IF($M60="","",$M60-$B60),IF(设置!$B$6&lt;$B60,"",IF((设置!$B$6-$B60)&gt;=设置!$B$5,"超期"&amp;(设置!$B$6-$B60)&amp;"天","已等"&amp;(设置!$B$6-$B60)&amp;"天"))))</f>
        <v/>
      </c>
      <c r="O60" s="18" t="n">
        <f aca="false">IF(OR($D60="",$E60=""),"",COUNTIFS($D$7:$D60,$D60,$E$7:$E60,$E60))</f>
        <v>1</v>
      </c>
      <c r="P60" s="16"/>
      <c r="Q60" s="19"/>
      <c r="R60" s="10" t="s">
        <v>45</v>
      </c>
      <c r="S60" s="16"/>
      <c r="T60" s="0" t="str">
        <f aca="false">IF(OR($D60="",单元查询!$B$3=""),"",IF($D60&lt;&gt;单元查询!$B$3,"",IF(OR(单元查询!$D$3="",$E60&amp;""=单元查询!$D$3&amp;""),IF(ISNUMBER($B60),$B60*10000,0)+ROW(),"")))</f>
        <v/>
      </c>
      <c r="U60" s="0" t="str">
        <f aca="false">IF(OR($B60="",$L60="已完成"),"",IF(ISNUMBER($B60),IF(设置!$B$6&lt;$B60,"",(设置!$B$6-$B60)*100000+ROW()),""))</f>
        <v/>
      </c>
      <c r="V60" s="0" t="str">
        <f aca="false">IF(ISNUMBER($O60),IF($O60&gt;=2,IF(COUNTIFS($D60:$D$2006,$D60,$E60:$E$2006,$E60)=1,ROW(),""),""),"")</f>
        <v/>
      </c>
    </row>
    <row r="61" customFormat="false" ht="29.25" hidden="false" customHeight="true" outlineLevel="0" collapsed="false">
      <c r="A61" s="13" t="str">
        <f aca="false">IF(AND($B61="",$D61="",$E61="",$F61=""),"",IF(OR($B61="",$D61="",$E61=""),"待补",IF($D61="公共区域","公",IF($D61="商铺","S",SUBSTITUTE($D61,"栋","")))&amp;"-"&amp;$E61&amp;"-"&amp;TEXT(MONTH($B61),"00")&amp;TEXT(DAY($B61),"00")&amp;IF(ISNUMBER($O61),IF($O61&gt;1,"-"&amp;TEXT($O61,"00"),""),"")))</f>
        <v>7-1301-0502</v>
      </c>
      <c r="B61" s="14" t="n">
        <v>45779</v>
      </c>
      <c r="C61" s="10" t="s">
        <v>34</v>
      </c>
      <c r="D61" s="15" t="s">
        <v>59</v>
      </c>
      <c r="E61" s="15" t="s">
        <v>240</v>
      </c>
      <c r="F61" s="16" t="s">
        <v>241</v>
      </c>
      <c r="G61" s="10" t="s">
        <v>78</v>
      </c>
      <c r="H61" s="10" t="s">
        <v>40</v>
      </c>
      <c r="I61" s="10"/>
      <c r="J61" s="15" t="s">
        <v>184</v>
      </c>
      <c r="K61" s="10" t="s">
        <v>42</v>
      </c>
      <c r="L61" s="10" t="s">
        <v>51</v>
      </c>
      <c r="M61" s="14"/>
      <c r="N61" s="17" t="str">
        <f aca="false">IF($B61="","",IF($L61="已完成",IF($M61="","",$M61-$B61),IF(设置!$B$6&lt;$B61,"",IF((设置!$B$6-$B61)&gt;=设置!$B$5,"超期"&amp;(设置!$B$6-$B61)&amp;"天","已等"&amp;(设置!$B$6-$B61)&amp;"天"))))</f>
        <v>超期5天</v>
      </c>
      <c r="O61" s="18" t="n">
        <f aca="false">IF(OR($D61="",$E61=""),"",COUNTIFS($D$7:$D61,$D61,$E$7:$E61,$E61))</f>
        <v>1</v>
      </c>
      <c r="P61" s="16" t="s">
        <v>242</v>
      </c>
      <c r="Q61" s="19"/>
      <c r="R61" s="10"/>
      <c r="S61" s="16"/>
      <c r="T61" s="0" t="str">
        <f aca="false">IF(OR($D61="",单元查询!$B$3=""),"",IF($D61&lt;&gt;单元查询!$B$3,"",IF(OR(单元查询!$D$3="",$E61&amp;""=单元查询!$D$3&amp;""),IF(ISNUMBER($B61),$B61*10000,0)+ROW(),"")))</f>
        <v/>
      </c>
      <c r="U61" s="0" t="n">
        <f aca="false">IF(OR($B61="",$L61="已完成"),"",IF(ISNUMBER($B61),IF(设置!$B$6&lt;$B61,"",(设置!$B$6-$B61)*100000+ROW()),""))</f>
        <v>500061</v>
      </c>
      <c r="V61" s="0" t="str">
        <f aca="false">IF(ISNUMBER($O61),IF($O61&gt;=2,IF(COUNTIFS($D61:$D$2006,$D61,$E61:$E$2006,$E61)=1,ROW(),""),""),"")</f>
        <v/>
      </c>
    </row>
    <row r="62" customFormat="false" ht="15" hidden="false" customHeight="true" outlineLevel="0" collapsed="false">
      <c r="A62" s="13" t="str">
        <f aca="false">IF(AND($B62="",$D62="",$E62="",$F62=""),"",IF(OR($B62="",$D62="",$E62=""),"待补",IF($D62="公共区域","公",IF($D62="商铺","S",SUBSTITUTE($D62,"栋","")))&amp;"-"&amp;$E62&amp;"-"&amp;TEXT(MONTH($B62),"00")&amp;TEXT(DAY($B62),"00")&amp;IF(ISNUMBER($O62),IF($O62&gt;1,"-"&amp;TEXT($O62,"00"),""),"")))</f>
        <v>公-946车位-0502</v>
      </c>
      <c r="B62" s="14" t="n">
        <v>45779</v>
      </c>
      <c r="C62" s="10" t="s">
        <v>149</v>
      </c>
      <c r="D62" s="10" t="s">
        <v>152</v>
      </c>
      <c r="E62" s="15" t="s">
        <v>243</v>
      </c>
      <c r="F62" s="16" t="s">
        <v>244</v>
      </c>
      <c r="G62" s="10" t="s">
        <v>108</v>
      </c>
      <c r="H62" s="10" t="s">
        <v>39</v>
      </c>
      <c r="I62" s="10"/>
      <c r="J62" s="15" t="s">
        <v>201</v>
      </c>
      <c r="K62" s="10"/>
      <c r="L62" s="10" t="s">
        <v>43</v>
      </c>
      <c r="M62" s="14"/>
      <c r="N62" s="17" t="str">
        <f aca="false">IF($B62="","",IF($L62="已完成",IF($M62="","",$M62-$B62),IF(设置!$B$6&lt;$B62,"",IF((设置!$B$6-$B62)&gt;=设置!$B$5,"超期"&amp;(设置!$B$6-$B62)&amp;"天","已等"&amp;(设置!$B$6-$B62)&amp;"天"))))</f>
        <v/>
      </c>
      <c r="O62" s="18" t="n">
        <f aca="false">IF(OR($D62="",$E62=""),"",COUNTIFS($D$7:$D62,$D62,$E$7:$E62,$E62))</f>
        <v>1</v>
      </c>
      <c r="P62" s="16"/>
      <c r="Q62" s="19"/>
      <c r="R62" s="10"/>
      <c r="S62" s="16"/>
      <c r="T62" s="0" t="str">
        <f aca="false">IF(OR($D62="",单元查询!$B$3=""),"",IF($D62&lt;&gt;单元查询!$B$3,"",IF(OR(单元查询!$D$3="",$E62&amp;""=单元查询!$D$3&amp;""),IF(ISNUMBER($B62),$B62*10000,0)+ROW(),"")))</f>
        <v/>
      </c>
      <c r="U62" s="0" t="str">
        <f aca="false">IF(OR($B62="",$L62="已完成"),"",IF(ISNUMBER($B62),IF(设置!$B$6&lt;$B62,"",(设置!$B$6-$B62)*100000+ROW()),""))</f>
        <v/>
      </c>
      <c r="V62" s="0" t="str">
        <f aca="false">IF(ISNUMBER($O62),IF($O62&gt;=2,IF(COUNTIFS($D62:$D$2006,$D62,$E62:$E$2006,$E62)=1,ROW(),""),""),"")</f>
        <v/>
      </c>
    </row>
    <row r="63" customFormat="false" ht="15" hidden="false" customHeight="true" outlineLevel="0" collapsed="false">
      <c r="A63" s="13" t="str">
        <f aca="false">IF(AND($B63="",$D63="",$E63="",$F63=""),"",IF(OR($B63="",$D63="",$E63=""),"待补",IF($D63="公共区域","公",IF($D63="商铺","S",SUBSTITUTE($D63,"栋","")))&amp;"-"&amp;$E63&amp;"-"&amp;TEXT(MONTH($B63),"00")&amp;TEXT(DAY($B63),"00")&amp;IF(ISNUMBER($O63),IF($O63&gt;1,"-"&amp;TEXT($O63,"00"),""),"")))</f>
        <v>11-负一-0502</v>
      </c>
      <c r="B63" s="14" t="n">
        <v>45779</v>
      </c>
      <c r="C63" s="10" t="s">
        <v>149</v>
      </c>
      <c r="D63" s="15" t="s">
        <v>113</v>
      </c>
      <c r="E63" s="10" t="s">
        <v>245</v>
      </c>
      <c r="F63" s="16" t="s">
        <v>246</v>
      </c>
      <c r="G63" s="10" t="s">
        <v>62</v>
      </c>
      <c r="H63" s="10" t="s">
        <v>39</v>
      </c>
      <c r="I63" s="10"/>
      <c r="J63" s="15" t="s">
        <v>201</v>
      </c>
      <c r="K63" s="10"/>
      <c r="L63" s="10" t="s">
        <v>43</v>
      </c>
      <c r="M63" s="14"/>
      <c r="N63" s="17" t="str">
        <f aca="false">IF($B63="","",IF($L63="已完成",IF($M63="","",$M63-$B63),IF(设置!$B$6&lt;$B63,"",IF((设置!$B$6-$B63)&gt;=设置!$B$5,"超期"&amp;(设置!$B$6-$B63)&amp;"天","已等"&amp;(设置!$B$6-$B63)&amp;"天"))))</f>
        <v/>
      </c>
      <c r="O63" s="18" t="n">
        <f aca="false">IF(OR($D63="",$E63=""),"",COUNTIFS($D$7:$D63,$D63,$E$7:$E63,$E63))</f>
        <v>1</v>
      </c>
      <c r="P63" s="16"/>
      <c r="Q63" s="19"/>
      <c r="R63" s="10"/>
      <c r="S63" s="16"/>
      <c r="T63" s="0" t="str">
        <f aca="false">IF(OR($D63="",单元查询!$B$3=""),"",IF($D63&lt;&gt;单元查询!$B$3,"",IF(OR(单元查询!$D$3="",$E63&amp;""=单元查询!$D$3&amp;""),IF(ISNUMBER($B63),$B63*10000,0)+ROW(),"")))</f>
        <v/>
      </c>
      <c r="U63" s="0" t="str">
        <f aca="false">IF(OR($B63="",$L63="已完成"),"",IF(ISNUMBER($B63),IF(设置!$B$6&lt;$B63,"",(设置!$B$6-$B63)*100000+ROW()),""))</f>
        <v/>
      </c>
      <c r="V63" s="0" t="str">
        <f aca="false">IF(ISNUMBER($O63),IF($O63&gt;=2,IF(COUNTIFS($D63:$D$2006,$D63,$E63:$E$2006,$E63)=1,ROW(),""),""),"")</f>
        <v/>
      </c>
    </row>
    <row r="64" customFormat="false" ht="15" hidden="false" customHeight="true" outlineLevel="0" collapsed="false">
      <c r="A64" s="13" t="str">
        <f aca="false">IF(AND($B64="",$D64="",$E64="",$F64=""),"",IF(OR($B64="",$D64="",$E64=""),"待补",IF($D64="公共区域","公",IF($D64="商铺","S",SUBSTITUTE($D64,"栋","")))&amp;"-"&amp;$E64&amp;"-"&amp;TEXT(MONTH($B64),"00")&amp;TEXT(DAY($B64),"00")&amp;IF(ISNUMBER($O64),IF($O64&gt;1,"-"&amp;TEXT($O64,"00"),""),"")))</f>
        <v>10-1楼-0502</v>
      </c>
      <c r="B64" s="14" t="n">
        <v>45779</v>
      </c>
      <c r="C64" s="10" t="s">
        <v>149</v>
      </c>
      <c r="D64" s="15" t="s">
        <v>95</v>
      </c>
      <c r="E64" s="15" t="s">
        <v>172</v>
      </c>
      <c r="F64" s="16" t="s">
        <v>247</v>
      </c>
      <c r="G64" s="10" t="s">
        <v>108</v>
      </c>
      <c r="H64" s="10" t="s">
        <v>39</v>
      </c>
      <c r="I64" s="10"/>
      <c r="J64" s="15" t="s">
        <v>201</v>
      </c>
      <c r="K64" s="10"/>
      <c r="L64" s="10" t="s">
        <v>43</v>
      </c>
      <c r="M64" s="14"/>
      <c r="N64" s="17" t="str">
        <f aca="false">IF($B64="","",IF($L64="已完成",IF($M64="","",$M64-$B64),IF(设置!$B$6&lt;$B64,"",IF((设置!$B$6-$B64)&gt;=设置!$B$5,"超期"&amp;(设置!$B$6-$B64)&amp;"天","已等"&amp;(设置!$B$6-$B64)&amp;"天"))))</f>
        <v/>
      </c>
      <c r="O64" s="18" t="n">
        <f aca="false">IF(OR($D64="",$E64=""),"",COUNTIFS($D$7:$D64,$D64,$E$7:$E64,$E64))</f>
        <v>1</v>
      </c>
      <c r="P64" s="16" t="s">
        <v>248</v>
      </c>
      <c r="Q64" s="19"/>
      <c r="R64" s="10"/>
      <c r="S64" s="16"/>
      <c r="T64" s="0" t="str">
        <f aca="false">IF(OR($D64="",单元查询!$B$3=""),"",IF($D64&lt;&gt;单元查询!$B$3,"",IF(OR(单元查询!$D$3="",$E64&amp;""=单元查询!$D$3&amp;""),IF(ISNUMBER($B64),$B64*10000,0)+ROW(),"")))</f>
        <v/>
      </c>
      <c r="U64" s="0" t="str">
        <f aca="false">IF(OR($B64="",$L64="已完成"),"",IF(ISNUMBER($B64),IF(设置!$B$6&lt;$B64,"",(设置!$B$6-$B64)*100000+ROW()),""))</f>
        <v/>
      </c>
      <c r="V64" s="0" t="str">
        <f aca="false">IF(ISNUMBER($O64),IF($O64&gt;=2,IF(COUNTIFS($D64:$D$2006,$D64,$E64:$E$2006,$E64)=1,ROW(),""),""),"")</f>
        <v/>
      </c>
    </row>
    <row r="65" customFormat="false" ht="15" hidden="false" customHeight="true" outlineLevel="0" collapsed="false">
      <c r="A65" s="13" t="str">
        <f aca="false">IF(AND($B65="",$D65="",$E65="",$F65=""),"",IF(OR($B65="",$D65="",$E65=""),"待补",IF($D65="公共区域","公",IF($D65="商铺","S",SUBSTITUTE($D65,"栋","")))&amp;"-"&amp;$E65&amp;"-"&amp;TEXT(MONTH($B65),"00")&amp;TEXT(DAY($B65),"00")&amp;IF(ISNUMBER($O65),IF($O65&gt;1,"-"&amp;TEXT($O65,"00"),""),"")))</f>
        <v>10-大堂-0502</v>
      </c>
      <c r="B65" s="14" t="n">
        <v>45779</v>
      </c>
      <c r="C65" s="10" t="s">
        <v>149</v>
      </c>
      <c r="D65" s="15" t="s">
        <v>95</v>
      </c>
      <c r="E65" s="10" t="s">
        <v>178</v>
      </c>
      <c r="F65" s="16" t="s">
        <v>249</v>
      </c>
      <c r="G65" s="10" t="s">
        <v>160</v>
      </c>
      <c r="H65" s="10" t="s">
        <v>39</v>
      </c>
      <c r="I65" s="10"/>
      <c r="J65" s="15" t="s">
        <v>201</v>
      </c>
      <c r="K65" s="10"/>
      <c r="L65" s="10" t="s">
        <v>43</v>
      </c>
      <c r="M65" s="14"/>
      <c r="N65" s="17" t="str">
        <f aca="false">IF($B65="","",IF($L65="已完成",IF($M65="","",$M65-$B65),IF(设置!$B$6&lt;$B65,"",IF((设置!$B$6-$B65)&gt;=设置!$B$5,"超期"&amp;(设置!$B$6-$B65)&amp;"天","已等"&amp;(设置!$B$6-$B65)&amp;"天"))))</f>
        <v/>
      </c>
      <c r="O65" s="18" t="n">
        <f aca="false">IF(OR($D65="",$E65=""),"",COUNTIFS($D$7:$D65,$D65,$E$7:$E65,$E65))</f>
        <v>1</v>
      </c>
      <c r="P65" s="16"/>
      <c r="Q65" s="19"/>
      <c r="R65" s="10"/>
      <c r="S65" s="16"/>
      <c r="T65" s="0" t="str">
        <f aca="false">IF(OR($D65="",单元查询!$B$3=""),"",IF($D65&lt;&gt;单元查询!$B$3,"",IF(OR(单元查询!$D$3="",$E65&amp;""=单元查询!$D$3&amp;""),IF(ISNUMBER($B65),$B65*10000,0)+ROW(),"")))</f>
        <v/>
      </c>
      <c r="U65" s="0" t="str">
        <f aca="false">IF(OR($B65="",$L65="已完成"),"",IF(ISNUMBER($B65),IF(设置!$B$6&lt;$B65,"",(设置!$B$6-$B65)*100000+ROW()),""))</f>
        <v/>
      </c>
      <c r="V65" s="0" t="str">
        <f aca="false">IF(ISNUMBER($O65),IF($O65&gt;=2,IF(COUNTIFS($D65:$D$2006,$D65,$E65:$E$2006,$E65)=1,ROW(),""),""),"")</f>
        <v/>
      </c>
    </row>
    <row r="66" customFormat="false" ht="15" hidden="false" customHeight="true" outlineLevel="0" collapsed="false">
      <c r="A66" s="13" t="str">
        <f aca="false">IF(AND($B66="",$D66="",$E66="",$F66=""),"",IF(OR($B66="",$D66="",$E66=""),"待补",IF($D66="公共区域","公",IF($D66="商铺","S",SUBSTITUTE($D66,"栋","")))&amp;"-"&amp;$E66&amp;"-"&amp;TEXT(MONTH($B66),"00")&amp;TEXT(DAY($B66),"00")&amp;IF(ISNUMBER($O66),IF($O66&gt;1,"-"&amp;TEXT($O66,"00"),""),"")))</f>
        <v>公-919车位-0502</v>
      </c>
      <c r="B66" s="14" t="n">
        <v>45779</v>
      </c>
      <c r="C66" s="10" t="s">
        <v>149</v>
      </c>
      <c r="D66" s="10" t="s">
        <v>152</v>
      </c>
      <c r="E66" s="15" t="s">
        <v>250</v>
      </c>
      <c r="F66" s="16" t="s">
        <v>251</v>
      </c>
      <c r="G66" s="10" t="s">
        <v>108</v>
      </c>
      <c r="H66" s="10" t="s">
        <v>39</v>
      </c>
      <c r="I66" s="10"/>
      <c r="J66" s="15" t="s">
        <v>201</v>
      </c>
      <c r="K66" s="10"/>
      <c r="L66" s="10" t="s">
        <v>43</v>
      </c>
      <c r="M66" s="14"/>
      <c r="N66" s="17" t="str">
        <f aca="false">IF($B66="","",IF($L66="已完成",IF($M66="","",$M66-$B66),IF(设置!$B$6&lt;$B66,"",IF((设置!$B$6-$B66)&gt;=设置!$B$5,"超期"&amp;(设置!$B$6-$B66)&amp;"天","已等"&amp;(设置!$B$6-$B66)&amp;"天"))))</f>
        <v/>
      </c>
      <c r="O66" s="18" t="n">
        <f aca="false">IF(OR($D66="",$E66=""),"",COUNTIFS($D$7:$D66,$D66,$E$7:$E66,$E66))</f>
        <v>1</v>
      </c>
      <c r="P66" s="16"/>
      <c r="Q66" s="19"/>
      <c r="R66" s="10"/>
      <c r="S66" s="16"/>
      <c r="T66" s="0" t="str">
        <f aca="false">IF(OR($D66="",单元查询!$B$3=""),"",IF($D66&lt;&gt;单元查询!$B$3,"",IF(OR(单元查询!$D$3="",$E66&amp;""=单元查询!$D$3&amp;""),IF(ISNUMBER($B66),$B66*10000,0)+ROW(),"")))</f>
        <v/>
      </c>
      <c r="U66" s="0" t="str">
        <f aca="false">IF(OR($B66="",$L66="已完成"),"",IF(ISNUMBER($B66),IF(设置!$B$6&lt;$B66,"",(设置!$B$6-$B66)*100000+ROW()),""))</f>
        <v/>
      </c>
      <c r="V66" s="0" t="str">
        <f aca="false">IF(ISNUMBER($O66),IF($O66&gt;=2,IF(COUNTIFS($D66:$D$2006,$D66,$E66:$E$2006,$E66)=1,ROW(),""),""),"")</f>
        <v/>
      </c>
    </row>
    <row r="67" customFormat="false" ht="15" hidden="false" customHeight="true" outlineLevel="0" collapsed="false">
      <c r="A67" s="13" t="str">
        <f aca="false">IF(AND($B67="",$D67="",$E67="",$F67=""),"",IF(OR($B67="",$D67="",$E67=""),"待补",IF($D67="公共区域","公",IF($D67="商铺","S",SUBSTITUTE($D67,"栋","")))&amp;"-"&amp;$E67&amp;"-"&amp;TEXT(MONTH($B67),"00")&amp;TEXT(DAY($B67),"00")&amp;IF(ISNUMBER($O67),IF($O67&gt;1,"-"&amp;TEXT($O67,"00"),""),"")))</f>
        <v>11-602-0503</v>
      </c>
      <c r="B67" s="14" t="n">
        <v>45780</v>
      </c>
      <c r="C67" s="10" t="s">
        <v>34</v>
      </c>
      <c r="D67" s="15" t="s">
        <v>113</v>
      </c>
      <c r="E67" s="15" t="s">
        <v>252</v>
      </c>
      <c r="F67" s="16" t="s">
        <v>253</v>
      </c>
      <c r="G67" s="10" t="s">
        <v>62</v>
      </c>
      <c r="H67" s="10" t="s">
        <v>39</v>
      </c>
      <c r="I67" s="10"/>
      <c r="J67" s="15" t="s">
        <v>254</v>
      </c>
      <c r="K67" s="10"/>
      <c r="L67" s="10" t="s">
        <v>43</v>
      </c>
      <c r="M67" s="14"/>
      <c r="N67" s="17" t="str">
        <f aca="false">IF($B67="","",IF($L67="已完成",IF($M67="","",$M67-$B67),IF(设置!$B$6&lt;$B67,"",IF((设置!$B$6-$B67)&gt;=设置!$B$5,"超期"&amp;(设置!$B$6-$B67)&amp;"天","已等"&amp;(设置!$B$6-$B67)&amp;"天"))))</f>
        <v/>
      </c>
      <c r="O67" s="18" t="n">
        <f aca="false">IF(OR($D67="",$E67=""),"",COUNTIFS($D$7:$D67,$D67,$E$7:$E67,$E67))</f>
        <v>1</v>
      </c>
      <c r="P67" s="16"/>
      <c r="Q67" s="19"/>
      <c r="R67" s="10" t="s">
        <v>45</v>
      </c>
      <c r="S67" s="16"/>
      <c r="T67" s="0" t="str">
        <f aca="false">IF(OR($D67="",单元查询!$B$3=""),"",IF($D67&lt;&gt;单元查询!$B$3,"",IF(OR(单元查询!$D$3="",$E67&amp;""=单元查询!$D$3&amp;""),IF(ISNUMBER($B67),$B67*10000,0)+ROW(),"")))</f>
        <v/>
      </c>
      <c r="U67" s="0" t="str">
        <f aca="false">IF(OR($B67="",$L67="已完成"),"",IF(ISNUMBER($B67),IF(设置!$B$6&lt;$B67,"",(设置!$B$6-$B67)*100000+ROW()),""))</f>
        <v/>
      </c>
      <c r="V67" s="0" t="str">
        <f aca="false">IF(ISNUMBER($O67),IF($O67&gt;=2,IF(COUNTIFS($D67:$D$2006,$D67,$E67:$E$2006,$E67)=1,ROW(),""),""),"")</f>
        <v/>
      </c>
    </row>
    <row r="68" customFormat="false" ht="15" hidden="false" customHeight="true" outlineLevel="0" collapsed="false">
      <c r="A68" s="13" t="str">
        <f aca="false">IF(AND($B68="",$D68="",$E68="",$F68=""),"",IF(OR($B68="",$D68="",$E68=""),"待补",IF($D68="公共区域","公",IF($D68="商铺","S",SUBSTITUTE($D68,"栋","")))&amp;"-"&amp;$E68&amp;"-"&amp;TEXT(MONTH($B68),"00")&amp;TEXT(DAY($B68),"00")&amp;IF(ISNUMBER($O68),IF($O68&gt;1,"-"&amp;TEXT($O68,"00"),""),"")))</f>
        <v>6-1904-0503</v>
      </c>
      <c r="B68" s="14" t="n">
        <v>45780</v>
      </c>
      <c r="C68" s="10" t="s">
        <v>34</v>
      </c>
      <c r="D68" s="15" t="s">
        <v>46</v>
      </c>
      <c r="E68" s="15" t="s">
        <v>255</v>
      </c>
      <c r="F68" s="16" t="s">
        <v>256</v>
      </c>
      <c r="G68" s="10" t="s">
        <v>62</v>
      </c>
      <c r="H68" s="10" t="s">
        <v>40</v>
      </c>
      <c r="I68" s="10"/>
      <c r="J68" s="15" t="s">
        <v>257</v>
      </c>
      <c r="K68" s="10"/>
      <c r="L68" s="10" t="s">
        <v>43</v>
      </c>
      <c r="M68" s="14"/>
      <c r="N68" s="17" t="str">
        <f aca="false">IF($B68="","",IF($L68="已完成",IF($M68="","",$M68-$B68),IF(设置!$B$6&lt;$B68,"",IF((设置!$B$6-$B68)&gt;=设置!$B$5,"超期"&amp;(设置!$B$6-$B68)&amp;"天","已等"&amp;(设置!$B$6-$B68)&amp;"天"))))</f>
        <v/>
      </c>
      <c r="O68" s="18" t="n">
        <f aca="false">IF(OR($D68="",$E68=""),"",COUNTIFS($D$7:$D68,$D68,$E$7:$E68,$E68))</f>
        <v>1</v>
      </c>
      <c r="P68" s="16"/>
      <c r="Q68" s="19"/>
      <c r="R68" s="10" t="s">
        <v>45</v>
      </c>
      <c r="S68" s="16" t="s">
        <v>258</v>
      </c>
      <c r="T68" s="0" t="n">
        <f aca="false">IF(OR($D68="",单元查询!$B$3=""),"",IF($D68&lt;&gt;单元查询!$B$3,"",IF(OR(单元查询!$D$3="",$E68&amp;""=单元查询!$D$3&amp;""),IF(ISNUMBER($B68),$B68*10000,0)+ROW(),"")))</f>
        <v>457800068</v>
      </c>
      <c r="U68" s="0" t="str">
        <f aca="false">IF(OR($B68="",$L68="已完成"),"",IF(ISNUMBER($B68),IF(设置!$B$6&lt;$B68,"",(设置!$B$6-$B68)*100000+ROW()),""))</f>
        <v/>
      </c>
      <c r="V68" s="0" t="str">
        <f aca="false">IF(ISNUMBER($O68),IF($O68&gt;=2,IF(COUNTIFS($D68:$D$2006,$D68,$E68:$E$2006,$E68)=1,ROW(),""),""),"")</f>
        <v/>
      </c>
    </row>
    <row r="69" customFormat="false" ht="15" hidden="false" customHeight="true" outlineLevel="0" collapsed="false">
      <c r="A69" s="13" t="str">
        <f aca="false">IF(AND($B69="",$D69="",$E69="",$F69=""),"",IF(OR($B69="",$D69="",$E69=""),"待补",IF($D69="公共区域","公",IF($D69="商铺","S",SUBSTITUTE($D69,"栋","")))&amp;"-"&amp;$E69&amp;"-"&amp;TEXT(MONTH($B69),"00")&amp;TEXT(DAY($B69),"00")&amp;IF(ISNUMBER($O69),IF($O69&gt;1,"-"&amp;TEXT($O69,"00"),""),"")))</f>
        <v>1-1301-0503</v>
      </c>
      <c r="B69" s="14" t="n">
        <v>45780</v>
      </c>
      <c r="C69" s="10" t="s">
        <v>34</v>
      </c>
      <c r="D69" s="15" t="s">
        <v>102</v>
      </c>
      <c r="E69" s="15" t="s">
        <v>240</v>
      </c>
      <c r="F69" s="16" t="s">
        <v>259</v>
      </c>
      <c r="G69" s="10" t="s">
        <v>108</v>
      </c>
      <c r="H69" s="10" t="s">
        <v>39</v>
      </c>
      <c r="I69" s="10"/>
      <c r="J69" s="15" t="s">
        <v>254</v>
      </c>
      <c r="K69" s="10"/>
      <c r="L69" s="10" t="s">
        <v>43</v>
      </c>
      <c r="M69" s="14"/>
      <c r="N69" s="17" t="str">
        <f aca="false">IF($B69="","",IF($L69="已完成",IF($M69="","",$M69-$B69),IF(设置!$B$6&lt;$B69,"",IF((设置!$B$6-$B69)&gt;=设置!$B$5,"超期"&amp;(设置!$B$6-$B69)&amp;"天","已等"&amp;(设置!$B$6-$B69)&amp;"天"))))</f>
        <v/>
      </c>
      <c r="O69" s="18" t="n">
        <f aca="false">IF(OR($D69="",$E69=""),"",COUNTIFS($D$7:$D69,$D69,$E$7:$E69,$E69))</f>
        <v>1</v>
      </c>
      <c r="P69" s="16"/>
      <c r="Q69" s="19"/>
      <c r="R69" s="10" t="s">
        <v>45</v>
      </c>
      <c r="S69" s="16"/>
      <c r="T69" s="0" t="str">
        <f aca="false">IF(OR($D69="",单元查询!$B$3=""),"",IF($D69&lt;&gt;单元查询!$B$3,"",IF(OR(单元查询!$D$3="",$E69&amp;""=单元查询!$D$3&amp;""),IF(ISNUMBER($B69),$B69*10000,0)+ROW(),"")))</f>
        <v/>
      </c>
      <c r="U69" s="0" t="str">
        <f aca="false">IF(OR($B69="",$L69="已完成"),"",IF(ISNUMBER($B69),IF(设置!$B$6&lt;$B69,"",(设置!$B$6-$B69)*100000+ROW()),""))</f>
        <v/>
      </c>
      <c r="V69" s="0" t="str">
        <f aca="false">IF(ISNUMBER($O69),IF($O69&gt;=2,IF(COUNTIFS($D69:$D$2006,$D69,$E69:$E$2006,$E69)=1,ROW(),""),""),"")</f>
        <v/>
      </c>
    </row>
    <row r="70" customFormat="false" ht="15" hidden="false" customHeight="true" outlineLevel="0" collapsed="false">
      <c r="A70" s="13" t="str">
        <f aca="false">IF(AND($B70="",$D70="",$E70="",$F70=""),"",IF(OR($B70="",$D70="",$E70=""),"待补",IF($D70="公共区域","公",IF($D70="商铺","S",SUBSTITUTE($D70,"栋","")))&amp;"-"&amp;$E70&amp;"-"&amp;TEXT(MONTH($B70),"00")&amp;TEXT(DAY($B70),"00")&amp;IF(ISNUMBER($O70),IF($O70&gt;1,"-"&amp;TEXT($O70,"00"),""),"")))</f>
        <v>6-2402-0503</v>
      </c>
      <c r="B70" s="14" t="n">
        <v>45780</v>
      </c>
      <c r="C70" s="10" t="s">
        <v>34</v>
      </c>
      <c r="D70" s="15" t="s">
        <v>46</v>
      </c>
      <c r="E70" s="15" t="s">
        <v>260</v>
      </c>
      <c r="F70" s="16" t="s">
        <v>261</v>
      </c>
      <c r="G70" s="10" t="s">
        <v>62</v>
      </c>
      <c r="H70" s="10" t="s">
        <v>39</v>
      </c>
      <c r="I70" s="10"/>
      <c r="J70" s="15" t="s">
        <v>254</v>
      </c>
      <c r="K70" s="10"/>
      <c r="L70" s="10" t="s">
        <v>43</v>
      </c>
      <c r="M70" s="14"/>
      <c r="N70" s="17" t="str">
        <f aca="false">IF($B70="","",IF($L70="已完成",IF($M70="","",$M70-$B70),IF(设置!$B$6&lt;$B70,"",IF((设置!$B$6-$B70)&gt;=设置!$B$5,"超期"&amp;(设置!$B$6-$B70)&amp;"天","已等"&amp;(设置!$B$6-$B70)&amp;"天"))))</f>
        <v/>
      </c>
      <c r="O70" s="18" t="n">
        <f aca="false">IF(OR($D70="",$E70=""),"",COUNTIFS($D$7:$D70,$D70,$E$7:$E70,$E70))</f>
        <v>1</v>
      </c>
      <c r="P70" s="16"/>
      <c r="Q70" s="19"/>
      <c r="R70" s="10" t="s">
        <v>45</v>
      </c>
      <c r="S70" s="16"/>
      <c r="T70" s="0" t="n">
        <f aca="false">IF(OR($D70="",单元查询!$B$3=""),"",IF($D70&lt;&gt;单元查询!$B$3,"",IF(OR(单元查询!$D$3="",$E70&amp;""=单元查询!$D$3&amp;""),IF(ISNUMBER($B70),$B70*10000,0)+ROW(),"")))</f>
        <v>457800070</v>
      </c>
      <c r="U70" s="0" t="str">
        <f aca="false">IF(OR($B70="",$L70="已完成"),"",IF(ISNUMBER($B70),IF(设置!$B$6&lt;$B70,"",(设置!$B$6-$B70)*100000+ROW()),""))</f>
        <v/>
      </c>
      <c r="V70" s="0" t="str">
        <f aca="false">IF(ISNUMBER($O70),IF($O70&gt;=2,IF(COUNTIFS($D70:$D$2006,$D70,$E70:$E$2006,$E70)=1,ROW(),""),""),"")</f>
        <v/>
      </c>
    </row>
    <row r="71" customFormat="false" ht="15" hidden="false" customHeight="true" outlineLevel="0" collapsed="false">
      <c r="A71" s="13" t="str">
        <f aca="false">IF(AND($B71="",$D71="",$E71="",$F71=""),"",IF(OR($B71="",$D71="",$E71=""),"待补",IF($D71="公共区域","公",IF($D71="商铺","S",SUBSTITUTE($D71,"栋","")))&amp;"-"&amp;$E71&amp;"-"&amp;TEXT(MONTH($B71),"00")&amp;TEXT(DAY($B71),"00")&amp;IF(ISNUMBER($O71),IF($O71&gt;1,"-"&amp;TEXT($O71,"00"),""),"")))</f>
        <v>9-2203-0503</v>
      </c>
      <c r="B71" s="14" t="n">
        <v>45780</v>
      </c>
      <c r="C71" s="10" t="s">
        <v>34</v>
      </c>
      <c r="D71" s="15" t="s">
        <v>98</v>
      </c>
      <c r="E71" s="15" t="s">
        <v>262</v>
      </c>
      <c r="F71" s="16" t="s">
        <v>263</v>
      </c>
      <c r="G71" s="10" t="s">
        <v>120</v>
      </c>
      <c r="H71" s="10" t="s">
        <v>40</v>
      </c>
      <c r="I71" s="10"/>
      <c r="J71" s="15" t="s">
        <v>264</v>
      </c>
      <c r="K71" s="10"/>
      <c r="L71" s="10" t="s">
        <v>43</v>
      </c>
      <c r="M71" s="14"/>
      <c r="N71" s="17" t="str">
        <f aca="false">IF($B71="","",IF($L71="已完成",IF($M71="","",$M71-$B71),IF(设置!$B$6&lt;$B71,"",IF((设置!$B$6-$B71)&gt;=设置!$B$5,"超期"&amp;(设置!$B$6-$B71)&amp;"天","已等"&amp;(设置!$B$6-$B71)&amp;"天"))))</f>
        <v/>
      </c>
      <c r="O71" s="18" t="n">
        <f aca="false">IF(OR($D71="",$E71=""),"",COUNTIFS($D$7:$D71,$D71,$E$7:$E71,$E71))</f>
        <v>1</v>
      </c>
      <c r="P71" s="16" t="s">
        <v>265</v>
      </c>
      <c r="Q71" s="19"/>
      <c r="R71" s="10" t="s">
        <v>45</v>
      </c>
      <c r="S71" s="16"/>
      <c r="T71" s="0" t="str">
        <f aca="false">IF(OR($D71="",单元查询!$B$3=""),"",IF($D71&lt;&gt;单元查询!$B$3,"",IF(OR(单元查询!$D$3="",$E71&amp;""=单元查询!$D$3&amp;""),IF(ISNUMBER($B71),$B71*10000,0)+ROW(),"")))</f>
        <v/>
      </c>
      <c r="U71" s="0" t="str">
        <f aca="false">IF(OR($B71="",$L71="已完成"),"",IF(ISNUMBER($B71),IF(设置!$B$6&lt;$B71,"",(设置!$B$6-$B71)*100000+ROW()),""))</f>
        <v/>
      </c>
      <c r="V71" s="0" t="str">
        <f aca="false">IF(ISNUMBER($O71),IF($O71&gt;=2,IF(COUNTIFS($D71:$D$2006,$D71,$E71:$E$2006,$E71)=1,ROW(),""),""),"")</f>
        <v/>
      </c>
    </row>
    <row r="72" customFormat="false" ht="15" hidden="false" customHeight="true" outlineLevel="0" collapsed="false">
      <c r="A72" s="13" t="str">
        <f aca="false">IF(AND($B72="",$D72="",$E72="",$F72=""),"",IF(OR($B72="",$D72="",$E72=""),"待补",IF($D72="公共区域","公",IF($D72="商铺","S",SUBSTITUTE($D72,"栋","")))&amp;"-"&amp;$E72&amp;"-"&amp;TEXT(MONTH($B72),"00")&amp;TEXT(DAY($B72),"00")&amp;IF(ISNUMBER($O72),IF($O72&gt;1,"-"&amp;TEXT($O72,"00"),""),"")))</f>
        <v>4-2903-0503</v>
      </c>
      <c r="B72" s="14" t="n">
        <v>45780</v>
      </c>
      <c r="C72" s="10" t="s">
        <v>34</v>
      </c>
      <c r="D72" s="15" t="s">
        <v>133</v>
      </c>
      <c r="E72" s="15" t="s">
        <v>266</v>
      </c>
      <c r="F72" s="16" t="s">
        <v>267</v>
      </c>
      <c r="G72" s="10" t="s">
        <v>108</v>
      </c>
      <c r="H72" s="10" t="s">
        <v>49</v>
      </c>
      <c r="I72" s="10"/>
      <c r="J72" s="15" t="s">
        <v>268</v>
      </c>
      <c r="K72" s="10" t="s">
        <v>79</v>
      </c>
      <c r="L72" s="10" t="s">
        <v>43</v>
      </c>
      <c r="M72" s="14"/>
      <c r="N72" s="17" t="str">
        <f aca="false">IF($B72="","",IF($L72="已完成",IF($M72="","",$M72-$B72),IF(设置!$B$6&lt;$B72,"",IF((设置!$B$6-$B72)&gt;=设置!$B$5,"超期"&amp;(设置!$B$6-$B72)&amp;"天","已等"&amp;(设置!$B$6-$B72)&amp;"天"))))</f>
        <v/>
      </c>
      <c r="O72" s="18" t="n">
        <f aca="false">IF(OR($D72="",$E72=""),"",COUNTIFS($D$7:$D72,$D72,$E$7:$E72,$E72))</f>
        <v>1</v>
      </c>
      <c r="P72" s="16" t="s">
        <v>269</v>
      </c>
      <c r="Q72" s="19"/>
      <c r="R72" s="10" t="s">
        <v>45</v>
      </c>
      <c r="S72" s="16" t="s">
        <v>270</v>
      </c>
      <c r="T72" s="0" t="str">
        <f aca="false">IF(OR($D72="",单元查询!$B$3=""),"",IF($D72&lt;&gt;单元查询!$B$3,"",IF(OR(单元查询!$D$3="",$E72&amp;""=单元查询!$D$3&amp;""),IF(ISNUMBER($B72),$B72*10000,0)+ROW(),"")))</f>
        <v/>
      </c>
      <c r="U72" s="0" t="str">
        <f aca="false">IF(OR($B72="",$L72="已完成"),"",IF(ISNUMBER($B72),IF(设置!$B$6&lt;$B72,"",(设置!$B$6-$B72)*100000+ROW()),""))</f>
        <v/>
      </c>
      <c r="V72" s="0" t="str">
        <f aca="false">IF(ISNUMBER($O72),IF($O72&gt;=2,IF(COUNTIFS($D72:$D$2006,$D72,$E72:$E$2006,$E72)=1,ROW(),""),""),"")</f>
        <v/>
      </c>
    </row>
    <row r="73" customFormat="false" ht="15" hidden="false" customHeight="true" outlineLevel="0" collapsed="false">
      <c r="A73" s="13" t="str">
        <f aca="false">IF(AND($B73="",$D73="",$E73="",$F73=""),"",IF(OR($B73="",$D73="",$E73=""),"待补",IF($D73="公共区域","公",IF($D73="商铺","S",SUBSTITUTE($D73,"栋","")))&amp;"-"&amp;$E73&amp;"-"&amp;TEXT(MONTH($B73),"00")&amp;TEXT(DAY($B73),"00")&amp;IF(ISNUMBER($O73),IF($O73&gt;1,"-"&amp;TEXT($O73,"00"),""),"")))</f>
        <v>10-1501-0503</v>
      </c>
      <c r="B73" s="14" t="n">
        <v>45780</v>
      </c>
      <c r="C73" s="10" t="s">
        <v>34</v>
      </c>
      <c r="D73" s="15" t="s">
        <v>95</v>
      </c>
      <c r="E73" s="15" t="s">
        <v>110</v>
      </c>
      <c r="F73" s="16" t="s">
        <v>271</v>
      </c>
      <c r="G73" s="10" t="s">
        <v>62</v>
      </c>
      <c r="H73" s="10" t="s">
        <v>40</v>
      </c>
      <c r="I73" s="10"/>
      <c r="J73" s="15" t="s">
        <v>272</v>
      </c>
      <c r="K73" s="10"/>
      <c r="L73" s="10" t="s">
        <v>43</v>
      </c>
      <c r="M73" s="14"/>
      <c r="N73" s="17" t="str">
        <f aca="false">IF($B73="","",IF($L73="已完成",IF($M73="","",$M73-$B73),IF(设置!$B$6&lt;$B73,"",IF((设置!$B$6-$B73)&gt;=设置!$B$5,"超期"&amp;(设置!$B$6-$B73)&amp;"天","已等"&amp;(设置!$B$6-$B73)&amp;"天"))))</f>
        <v/>
      </c>
      <c r="O73" s="18" t="n">
        <f aca="false">IF(OR($D73="",$E73=""),"",COUNTIFS($D$7:$D73,$D73,$E$7:$E73,$E73))</f>
        <v>1</v>
      </c>
      <c r="P73" s="16"/>
      <c r="Q73" s="19"/>
      <c r="R73" s="10" t="s">
        <v>65</v>
      </c>
      <c r="S73" s="16"/>
      <c r="T73" s="0" t="str">
        <f aca="false">IF(OR($D73="",单元查询!$B$3=""),"",IF($D73&lt;&gt;单元查询!$B$3,"",IF(OR(单元查询!$D$3="",$E73&amp;""=单元查询!$D$3&amp;""),IF(ISNUMBER($B73),$B73*10000,0)+ROW(),"")))</f>
        <v/>
      </c>
      <c r="U73" s="0" t="str">
        <f aca="false">IF(OR($B73="",$L73="已完成"),"",IF(ISNUMBER($B73),IF(设置!$B$6&lt;$B73,"",(设置!$B$6-$B73)*100000+ROW()),""))</f>
        <v/>
      </c>
      <c r="V73" s="0" t="str">
        <f aca="false">IF(ISNUMBER($O73),IF($O73&gt;=2,IF(COUNTIFS($D73:$D$2006,$D73,$E73:$E$2006,$E73)=1,ROW(),""),""),"")</f>
        <v/>
      </c>
    </row>
    <row r="74" customFormat="false" ht="15" hidden="false" customHeight="true" outlineLevel="0" collapsed="false">
      <c r="A74" s="13" t="str">
        <f aca="false">IF(AND($B74="",$D74="",$E74="",$F74=""),"",IF(OR($B74="",$D74="",$E74=""),"待补",IF($D74="公共区域","公",IF($D74="商铺","S",SUBSTITUTE($D74,"栋","")))&amp;"-"&amp;$E74&amp;"-"&amp;TEXT(MONTH($B74),"00")&amp;TEXT(DAY($B74),"00")&amp;IF(ISNUMBER($O74),IF($O74&gt;1,"-"&amp;TEXT($O74,"00"),""),"")))</f>
        <v>5-204-0503</v>
      </c>
      <c r="B74" s="14" t="n">
        <v>45780</v>
      </c>
      <c r="C74" s="10" t="s">
        <v>34</v>
      </c>
      <c r="D74" s="15" t="s">
        <v>53</v>
      </c>
      <c r="E74" s="15" t="s">
        <v>273</v>
      </c>
      <c r="F74" s="16" t="s">
        <v>274</v>
      </c>
      <c r="G74" s="10" t="s">
        <v>120</v>
      </c>
      <c r="H74" s="10" t="s">
        <v>39</v>
      </c>
      <c r="I74" s="10"/>
      <c r="J74" s="15" t="s">
        <v>275</v>
      </c>
      <c r="K74" s="10" t="s">
        <v>42</v>
      </c>
      <c r="L74" s="10" t="s">
        <v>43</v>
      </c>
      <c r="M74" s="14"/>
      <c r="N74" s="17" t="str">
        <f aca="false">IF($B74="","",IF($L74="已完成",IF($M74="","",$M74-$B74),IF(设置!$B$6&lt;$B74,"",IF((设置!$B$6-$B74)&gt;=设置!$B$5,"超期"&amp;(设置!$B$6-$B74)&amp;"天","已等"&amp;(设置!$B$6-$B74)&amp;"天"))))</f>
        <v/>
      </c>
      <c r="O74" s="18" t="n">
        <f aca="false">IF(OR($D74="",$E74=""),"",COUNTIFS($D$7:$D74,$D74,$E$7:$E74,$E74))</f>
        <v>1</v>
      </c>
      <c r="P74" s="16" t="s">
        <v>276</v>
      </c>
      <c r="Q74" s="19"/>
      <c r="R74" s="10" t="s">
        <v>45</v>
      </c>
      <c r="S74" s="16"/>
      <c r="T74" s="0" t="str">
        <f aca="false">IF(OR($D74="",单元查询!$B$3=""),"",IF($D74&lt;&gt;单元查询!$B$3,"",IF(OR(单元查询!$D$3="",$E74&amp;""=单元查询!$D$3&amp;""),IF(ISNUMBER($B74),$B74*10000,0)+ROW(),"")))</f>
        <v/>
      </c>
      <c r="U74" s="0" t="str">
        <f aca="false">IF(OR($B74="",$L74="已完成"),"",IF(ISNUMBER($B74),IF(设置!$B$6&lt;$B74,"",(设置!$B$6-$B74)*100000+ROW()),""))</f>
        <v/>
      </c>
      <c r="V74" s="0" t="str">
        <f aca="false">IF(ISNUMBER($O74),IF($O74&gt;=2,IF(COUNTIFS($D74:$D$2006,$D74,$E74:$E$2006,$E74)=1,ROW(),""),""),"")</f>
        <v/>
      </c>
    </row>
    <row r="75" customFormat="false" ht="15" hidden="false" customHeight="true" outlineLevel="0" collapsed="false">
      <c r="A75" s="13" t="str">
        <f aca="false">IF(AND($B75="",$D75="",$E75="",$F75=""),"",IF(OR($B75="",$D75="",$E75=""),"待补",IF($D75="公共区域","公",IF($D75="商铺","S",SUBSTITUTE($D75,"栋","")))&amp;"-"&amp;$E75&amp;"-"&amp;TEXT(MONTH($B75),"00")&amp;TEXT(DAY($B75),"00")&amp;IF(ISNUMBER($O75),IF($O75&gt;1,"-"&amp;TEXT($O75,"00"),""),"")))</f>
        <v>11-2504-0503</v>
      </c>
      <c r="B75" s="14" t="n">
        <v>45780</v>
      </c>
      <c r="C75" s="10" t="s">
        <v>34</v>
      </c>
      <c r="D75" s="15" t="s">
        <v>113</v>
      </c>
      <c r="E75" s="15" t="s">
        <v>47</v>
      </c>
      <c r="F75" s="16" t="s">
        <v>277</v>
      </c>
      <c r="G75" s="10" t="s">
        <v>38</v>
      </c>
      <c r="H75" s="10" t="s">
        <v>156</v>
      </c>
      <c r="I75" s="10"/>
      <c r="J75" s="15" t="s">
        <v>278</v>
      </c>
      <c r="K75" s="10"/>
      <c r="L75" s="10" t="s">
        <v>43</v>
      </c>
      <c r="M75" s="14"/>
      <c r="N75" s="17" t="str">
        <f aca="false">IF($B75="","",IF($L75="已完成",IF($M75="","",$M75-$B75),IF(设置!$B$6&lt;$B75,"",IF((设置!$B$6-$B75)&gt;=设置!$B$5,"超期"&amp;(设置!$B$6-$B75)&amp;"天","已等"&amp;(设置!$B$6-$B75)&amp;"天"))))</f>
        <v/>
      </c>
      <c r="O75" s="18" t="n">
        <f aca="false">IF(OR($D75="",$E75=""),"",COUNTIFS($D$7:$D75,$D75,$E$7:$E75,$E75))</f>
        <v>1</v>
      </c>
      <c r="P75" s="16" t="s">
        <v>279</v>
      </c>
      <c r="Q75" s="19"/>
      <c r="R75" s="10" t="s">
        <v>45</v>
      </c>
      <c r="S75" s="16"/>
      <c r="T75" s="0" t="str">
        <f aca="false">IF(OR($D75="",单元查询!$B$3=""),"",IF($D75&lt;&gt;单元查询!$B$3,"",IF(OR(单元查询!$D$3="",$E75&amp;""=单元查询!$D$3&amp;""),IF(ISNUMBER($B75),$B75*10000,0)+ROW(),"")))</f>
        <v/>
      </c>
      <c r="U75" s="0" t="str">
        <f aca="false">IF(OR($B75="",$L75="已完成"),"",IF(ISNUMBER($B75),IF(设置!$B$6&lt;$B75,"",(设置!$B$6-$B75)*100000+ROW()),""))</f>
        <v/>
      </c>
      <c r="V75" s="0" t="str">
        <f aca="false">IF(ISNUMBER($O75),IF($O75&gt;=2,IF(COUNTIFS($D75:$D$2006,$D75,$E75:$E$2006,$E75)=1,ROW(),""),""),"")</f>
        <v/>
      </c>
    </row>
    <row r="76" customFormat="false" ht="15" hidden="false" customHeight="true" outlineLevel="0" collapsed="false">
      <c r="A76" s="13" t="str">
        <f aca="false">IF(AND($B76="",$D76="",$E76="",$F76=""),"",IF(OR($B76="",$D76="",$E76=""),"待补",IF($D76="公共区域","公",IF($D76="商铺","S",SUBSTITUTE($D76,"栋","")))&amp;"-"&amp;$E76&amp;"-"&amp;TEXT(MONTH($B76),"00")&amp;TEXT(DAY($B76),"00")&amp;IF(ISNUMBER($O76),IF($O76&gt;1,"-"&amp;TEXT($O76,"00"),""),"")))</f>
        <v>11-大门-0503</v>
      </c>
      <c r="B76" s="14" t="n">
        <v>45780</v>
      </c>
      <c r="C76" s="10" t="s">
        <v>149</v>
      </c>
      <c r="D76" s="15" t="s">
        <v>113</v>
      </c>
      <c r="E76" s="10" t="s">
        <v>280</v>
      </c>
      <c r="F76" s="16" t="s">
        <v>281</v>
      </c>
      <c r="G76" s="10" t="s">
        <v>62</v>
      </c>
      <c r="H76" s="10" t="s">
        <v>156</v>
      </c>
      <c r="I76" s="10" t="s">
        <v>39</v>
      </c>
      <c r="J76" s="15" t="s">
        <v>268</v>
      </c>
      <c r="K76" s="10"/>
      <c r="L76" s="10" t="s">
        <v>43</v>
      </c>
      <c r="M76" s="14"/>
      <c r="N76" s="17" t="str">
        <f aca="false">IF($B76="","",IF($L76="已完成",IF($M76="","",$M76-$B76),IF(设置!$B$6&lt;$B76,"",IF((设置!$B$6-$B76)&gt;=设置!$B$5,"超期"&amp;(设置!$B$6-$B76)&amp;"天","已等"&amp;(设置!$B$6-$B76)&amp;"天"))))</f>
        <v/>
      </c>
      <c r="O76" s="18" t="n">
        <f aca="false">IF(OR($D76="",$E76=""),"",COUNTIFS($D$7:$D76,$D76,$E$7:$E76,$E76))</f>
        <v>1</v>
      </c>
      <c r="P76" s="16"/>
      <c r="Q76" s="19"/>
      <c r="R76" s="10"/>
      <c r="S76" s="16"/>
      <c r="T76" s="0" t="str">
        <f aca="false">IF(OR($D76="",单元查询!$B$3=""),"",IF($D76&lt;&gt;单元查询!$B$3,"",IF(OR(单元查询!$D$3="",$E76&amp;""=单元查询!$D$3&amp;""),IF(ISNUMBER($B76),$B76*10000,0)+ROW(),"")))</f>
        <v/>
      </c>
      <c r="U76" s="0" t="str">
        <f aca="false">IF(OR($B76="",$L76="已完成"),"",IF(ISNUMBER($B76),IF(设置!$B$6&lt;$B76,"",(设置!$B$6-$B76)*100000+ROW()),""))</f>
        <v/>
      </c>
      <c r="V76" s="0" t="str">
        <f aca="false">IF(ISNUMBER($O76),IF($O76&gt;=2,IF(COUNTIFS($D76:$D$2006,$D76,$E76:$E$2006,$E76)=1,ROW(),""),""),"")</f>
        <v/>
      </c>
    </row>
    <row r="77" customFormat="false" ht="29.25" hidden="false" customHeight="true" outlineLevel="0" collapsed="false">
      <c r="A77" s="13" t="str">
        <f aca="false">IF(AND($B77="",$D77="",$E77="",$F77=""),"",IF(OR($B77="",$D77="",$E77=""),"待补",IF($D77="公共区域","公",IF($D77="商铺","S",SUBSTITUTE($D77,"栋","")))&amp;"-"&amp;$E77&amp;"-"&amp;TEXT(MONTH($B77),"00")&amp;TEXT(DAY($B77),"00")&amp;IF(ISNUMBER($O77),IF($O77&gt;1,"-"&amp;TEXT($O77,"00"),""),"")))</f>
        <v>7-1304-0503</v>
      </c>
      <c r="B77" s="14" t="n">
        <v>45780</v>
      </c>
      <c r="C77" s="10" t="s">
        <v>34</v>
      </c>
      <c r="D77" s="15" t="s">
        <v>59</v>
      </c>
      <c r="E77" s="15" t="s">
        <v>282</v>
      </c>
      <c r="F77" s="16" t="s">
        <v>283</v>
      </c>
      <c r="G77" s="10" t="s">
        <v>56</v>
      </c>
      <c r="H77" s="10" t="s">
        <v>39</v>
      </c>
      <c r="I77" s="10"/>
      <c r="J77" s="15" t="s">
        <v>254</v>
      </c>
      <c r="K77" s="10"/>
      <c r="L77" s="10" t="s">
        <v>43</v>
      </c>
      <c r="M77" s="14"/>
      <c r="N77" s="17" t="str">
        <f aca="false">IF($B77="","",IF($L77="已完成",IF($M77="","",$M77-$B77),IF(设置!$B$6&lt;$B77,"",IF((设置!$B$6-$B77)&gt;=设置!$B$5,"超期"&amp;(设置!$B$6-$B77)&amp;"天","已等"&amp;(设置!$B$6-$B77)&amp;"天"))))</f>
        <v/>
      </c>
      <c r="O77" s="18" t="n">
        <f aca="false">IF(OR($D77="",$E77=""),"",COUNTIFS($D$7:$D77,$D77,$E$7:$E77,$E77))</f>
        <v>1</v>
      </c>
      <c r="P77" s="16" t="s">
        <v>284</v>
      </c>
      <c r="Q77" s="19"/>
      <c r="R77" s="10" t="s">
        <v>45</v>
      </c>
      <c r="S77" s="16"/>
      <c r="T77" s="0" t="str">
        <f aca="false">IF(OR($D77="",单元查询!$B$3=""),"",IF($D77&lt;&gt;单元查询!$B$3,"",IF(OR(单元查询!$D$3="",$E77&amp;""=单元查询!$D$3&amp;""),IF(ISNUMBER($B77),$B77*10000,0)+ROW(),"")))</f>
        <v/>
      </c>
      <c r="U77" s="0" t="str">
        <f aca="false">IF(OR($B77="",$L77="已完成"),"",IF(ISNUMBER($B77),IF(设置!$B$6&lt;$B77,"",(设置!$B$6-$B77)*100000+ROW()),""))</f>
        <v/>
      </c>
      <c r="V77" s="0" t="str">
        <f aca="false">IF(ISNUMBER($O77),IF($O77&gt;=2,IF(COUNTIFS($D77:$D$2006,$D77,$E77:$E$2006,$E77)=1,ROW(),""),""),"")</f>
        <v/>
      </c>
    </row>
    <row r="78" customFormat="false" ht="29.25" hidden="false" customHeight="true" outlineLevel="0" collapsed="false">
      <c r="A78" s="13" t="str">
        <f aca="false">IF(AND($B78="",$D78="",$E78="",$F78=""),"",IF(OR($B78="",$D78="",$E78=""),"待补",IF($D78="公共区域","公",IF($D78="商铺","S",SUBSTITUTE($D78,"栋","")))&amp;"-"&amp;$E78&amp;"-"&amp;TEXT(MONTH($B78),"00")&amp;TEXT(DAY($B78),"00")&amp;IF(ISNUMBER($O78),IF($O78&gt;1,"-"&amp;TEXT($O78,"00"),""),"")))</f>
        <v>7-3002-0503</v>
      </c>
      <c r="B78" s="14" t="n">
        <v>45780</v>
      </c>
      <c r="C78" s="10" t="s">
        <v>34</v>
      </c>
      <c r="D78" s="15" t="s">
        <v>59</v>
      </c>
      <c r="E78" s="15" t="s">
        <v>285</v>
      </c>
      <c r="F78" s="16" t="s">
        <v>286</v>
      </c>
      <c r="G78" s="10" t="s">
        <v>108</v>
      </c>
      <c r="H78" s="10" t="s">
        <v>39</v>
      </c>
      <c r="I78" s="10"/>
      <c r="J78" s="15" t="s">
        <v>254</v>
      </c>
      <c r="K78" s="10"/>
      <c r="L78" s="10" t="s">
        <v>51</v>
      </c>
      <c r="M78" s="14"/>
      <c r="N78" s="17" t="str">
        <f aca="false">IF($B78="","",IF($L78="已完成",IF($M78="","",$M78-$B78),IF(设置!$B$6&lt;$B78,"",IF((设置!$B$6-$B78)&gt;=设置!$B$5,"超期"&amp;(设置!$B$6-$B78)&amp;"天","已等"&amp;(设置!$B$6-$B78)&amp;"天"))))</f>
        <v>超期4天</v>
      </c>
      <c r="O78" s="18" t="n">
        <f aca="false">IF(OR($D78="",$E78=""),"",COUNTIFS($D$7:$D78,$D78,$E$7:$E78,$E78))</f>
        <v>1</v>
      </c>
      <c r="P78" s="16" t="s">
        <v>287</v>
      </c>
      <c r="Q78" s="19"/>
      <c r="R78" s="10" t="s">
        <v>45</v>
      </c>
      <c r="S78" s="16"/>
      <c r="T78" s="0" t="str">
        <f aca="false">IF(OR($D78="",单元查询!$B$3=""),"",IF($D78&lt;&gt;单元查询!$B$3,"",IF(OR(单元查询!$D$3="",$E78&amp;""=单元查询!$D$3&amp;""),IF(ISNUMBER($B78),$B78*10000,0)+ROW(),"")))</f>
        <v/>
      </c>
      <c r="U78" s="0" t="n">
        <f aca="false">IF(OR($B78="",$L78="已完成"),"",IF(ISNUMBER($B78),IF(设置!$B$6&lt;$B78,"",(设置!$B$6-$B78)*100000+ROW()),""))</f>
        <v>400078</v>
      </c>
      <c r="V78" s="0" t="str">
        <f aca="false">IF(ISNUMBER($O78),IF($O78&gt;=2,IF(COUNTIFS($D78:$D$2006,$D78,$E78:$E$2006,$E78)=1,ROW(),""),""),"")</f>
        <v/>
      </c>
    </row>
    <row r="79" customFormat="false" ht="15" hidden="false" customHeight="true" outlineLevel="0" collapsed="false">
      <c r="A79" s="13" t="str">
        <f aca="false">IF(AND($B79="",$D79="",$E79="",$F79=""),"",IF(OR($B79="",$D79="",$E79=""),"待补",IF($D79="公共区域","公",IF($D79="商铺","S",SUBSTITUTE($D79,"栋","")))&amp;"-"&amp;$E79&amp;"-"&amp;TEXT(MONTH($B79),"00")&amp;TEXT(DAY($B79),"00")&amp;IF(ISNUMBER($O79),IF($O79&gt;1,"-"&amp;TEXT($O79,"00"),""),"")))</f>
        <v>4-1104-0503</v>
      </c>
      <c r="B79" s="14" t="n">
        <v>45780</v>
      </c>
      <c r="C79" s="10" t="s">
        <v>34</v>
      </c>
      <c r="D79" s="15" t="s">
        <v>133</v>
      </c>
      <c r="E79" s="15" t="s">
        <v>288</v>
      </c>
      <c r="F79" s="16" t="s">
        <v>289</v>
      </c>
      <c r="G79" s="10" t="s">
        <v>62</v>
      </c>
      <c r="H79" s="10" t="s">
        <v>40</v>
      </c>
      <c r="I79" s="10"/>
      <c r="J79" s="15" t="s">
        <v>254</v>
      </c>
      <c r="K79" s="10" t="s">
        <v>42</v>
      </c>
      <c r="L79" s="10" t="s">
        <v>43</v>
      </c>
      <c r="M79" s="14"/>
      <c r="N79" s="17" t="str">
        <f aca="false">IF($B79="","",IF($L79="已完成",IF($M79="","",$M79-$B79),IF(设置!$B$6&lt;$B79,"",IF((设置!$B$6-$B79)&gt;=设置!$B$5,"超期"&amp;(设置!$B$6-$B79)&amp;"天","已等"&amp;(设置!$B$6-$B79)&amp;"天"))))</f>
        <v/>
      </c>
      <c r="O79" s="18" t="n">
        <f aca="false">IF(OR($D79="",$E79=""),"",COUNTIFS($D$7:$D79,$D79,$E$7:$E79,$E79))</f>
        <v>1</v>
      </c>
      <c r="P79" s="16"/>
      <c r="Q79" s="19"/>
      <c r="R79" s="10" t="s">
        <v>45</v>
      </c>
      <c r="S79" s="16"/>
      <c r="T79" s="0" t="str">
        <f aca="false">IF(OR($D79="",单元查询!$B$3=""),"",IF($D79&lt;&gt;单元查询!$B$3,"",IF(OR(单元查询!$D$3="",$E79&amp;""=单元查询!$D$3&amp;""),IF(ISNUMBER($B79),$B79*10000,0)+ROW(),"")))</f>
        <v/>
      </c>
      <c r="U79" s="0" t="str">
        <f aca="false">IF(OR($B79="",$L79="已完成"),"",IF(ISNUMBER($B79),IF(设置!$B$6&lt;$B79,"",(设置!$B$6-$B79)*100000+ROW()),""))</f>
        <v/>
      </c>
      <c r="V79" s="0" t="str">
        <f aca="false">IF(ISNUMBER($O79),IF($O79&gt;=2,IF(COUNTIFS($D79:$D$2006,$D79,$E79:$E$2006,$E79)=1,ROW(),""),""),"")</f>
        <v/>
      </c>
    </row>
    <row r="80" customFormat="false" ht="15" hidden="false" customHeight="true" outlineLevel="0" collapsed="false">
      <c r="A80" s="13" t="str">
        <f aca="false">IF(AND($B80="",$D80="",$E80="",$F80=""),"",IF(OR($B80="",$D80="",$E80=""),"待补",IF($D80="公共区域","公",IF($D80="商铺","S",SUBSTITUTE($D80,"栋","")))&amp;"-"&amp;$E80&amp;"-"&amp;TEXT(MONTH($B80),"00")&amp;TEXT(DAY($B80),"00")&amp;IF(ISNUMBER($O80),IF($O80&gt;1,"-"&amp;TEXT($O80,"00"),""),"")))</f>
        <v>6-504-0503</v>
      </c>
      <c r="B80" s="14" t="n">
        <v>45780</v>
      </c>
      <c r="C80" s="10" t="s">
        <v>34</v>
      </c>
      <c r="D80" s="15" t="s">
        <v>46</v>
      </c>
      <c r="E80" s="15" t="s">
        <v>86</v>
      </c>
      <c r="F80" s="16" t="s">
        <v>290</v>
      </c>
      <c r="G80" s="10" t="s">
        <v>62</v>
      </c>
      <c r="H80" s="10" t="s">
        <v>49</v>
      </c>
      <c r="I80" s="10"/>
      <c r="J80" s="15" t="s">
        <v>254</v>
      </c>
      <c r="K80" s="10"/>
      <c r="L80" s="10" t="s">
        <v>43</v>
      </c>
      <c r="M80" s="14"/>
      <c r="N80" s="17" t="str">
        <f aca="false">IF($B80="","",IF($L80="已完成",IF($M80="","",$M80-$B80),IF(设置!$B$6&lt;$B80,"",IF((设置!$B$6-$B80)&gt;=设置!$B$5,"超期"&amp;(设置!$B$6-$B80)&amp;"天","已等"&amp;(设置!$B$6-$B80)&amp;"天"))))</f>
        <v/>
      </c>
      <c r="O80" s="18" t="n">
        <f aca="false">IF(OR($D80="",$E80=""),"",COUNTIFS($D$7:$D80,$D80,$E$7:$E80,$E80))</f>
        <v>1</v>
      </c>
      <c r="P80" s="16"/>
      <c r="Q80" s="19"/>
      <c r="R80" s="10" t="s">
        <v>45</v>
      </c>
      <c r="S80" s="16" t="s">
        <v>291</v>
      </c>
      <c r="T80" s="0" t="n">
        <f aca="false">IF(OR($D80="",单元查询!$B$3=""),"",IF($D80&lt;&gt;单元查询!$B$3,"",IF(OR(单元查询!$D$3="",$E80&amp;""=单元查询!$D$3&amp;""),IF(ISNUMBER($B80),$B80*10000,0)+ROW(),"")))</f>
        <v>457800080</v>
      </c>
      <c r="U80" s="0" t="str">
        <f aca="false">IF(OR($B80="",$L80="已完成"),"",IF(ISNUMBER($B80),IF(设置!$B$6&lt;$B80,"",(设置!$B$6-$B80)*100000+ROW()),""))</f>
        <v/>
      </c>
      <c r="V80" s="0" t="str">
        <f aca="false">IF(ISNUMBER($O80),IF($O80&gt;=2,IF(COUNTIFS($D80:$D$2006,$D80,$E80:$E$2006,$E80)=1,ROW(),""),""),"")</f>
        <v/>
      </c>
    </row>
    <row r="81" customFormat="false" ht="15" hidden="false" customHeight="true" outlineLevel="0" collapsed="false">
      <c r="A81" s="13" t="str">
        <f aca="false">IF(AND($B81="",$D81="",$E81="",$F81=""),"",IF(OR($B81="",$D81="",$E81=""),"待补",IF($D81="公共区域","公",IF($D81="商铺","S",SUBSTITUTE($D81,"栋","")))&amp;"-"&amp;$E81&amp;"-"&amp;TEXT(MONTH($B81),"00")&amp;TEXT(DAY($B81),"00")&amp;IF(ISNUMBER($O81),IF($O81&gt;1,"-"&amp;TEXT($O81,"00"),""),"")))</f>
        <v>7-2304-0503</v>
      </c>
      <c r="B81" s="14" t="n">
        <v>45780</v>
      </c>
      <c r="C81" s="10" t="s">
        <v>34</v>
      </c>
      <c r="D81" s="15" t="s">
        <v>59</v>
      </c>
      <c r="E81" s="15" t="s">
        <v>292</v>
      </c>
      <c r="F81" s="16" t="s">
        <v>293</v>
      </c>
      <c r="G81" s="10" t="s">
        <v>62</v>
      </c>
      <c r="H81" s="10" t="s">
        <v>40</v>
      </c>
      <c r="I81" s="10"/>
      <c r="J81" s="15" t="s">
        <v>254</v>
      </c>
      <c r="K81" s="10" t="s">
        <v>79</v>
      </c>
      <c r="L81" s="10" t="s">
        <v>43</v>
      </c>
      <c r="M81" s="14"/>
      <c r="N81" s="17" t="str">
        <f aca="false">IF($B81="","",IF($L81="已完成",IF($M81="","",$M81-$B81),IF(设置!$B$6&lt;$B81,"",IF((设置!$B$6-$B81)&gt;=设置!$B$5,"超期"&amp;(设置!$B$6-$B81)&amp;"天","已等"&amp;(设置!$B$6-$B81)&amp;"天"))))</f>
        <v/>
      </c>
      <c r="O81" s="18" t="n">
        <f aca="false">IF(OR($D81="",$E81=""),"",COUNTIFS($D$7:$D81,$D81,$E$7:$E81,$E81))</f>
        <v>1</v>
      </c>
      <c r="P81" s="16"/>
      <c r="Q81" s="19"/>
      <c r="R81" s="10" t="s">
        <v>45</v>
      </c>
      <c r="S81" s="16"/>
      <c r="T81" s="0" t="str">
        <f aca="false">IF(OR($D81="",单元查询!$B$3=""),"",IF($D81&lt;&gt;单元查询!$B$3,"",IF(OR(单元查询!$D$3="",$E81&amp;""=单元查询!$D$3&amp;""),IF(ISNUMBER($B81),$B81*10000,0)+ROW(),"")))</f>
        <v/>
      </c>
      <c r="U81" s="0" t="str">
        <f aca="false">IF(OR($B81="",$L81="已完成"),"",IF(ISNUMBER($B81),IF(设置!$B$6&lt;$B81,"",(设置!$B$6-$B81)*100000+ROW()),""))</f>
        <v/>
      </c>
      <c r="V81" s="0" t="str">
        <f aca="false">IF(ISNUMBER($O81),IF($O81&gt;=2,IF(COUNTIFS($D81:$D$2006,$D81,$E81:$E$2006,$E81)=1,ROW(),""),""),"")</f>
        <v/>
      </c>
    </row>
    <row r="82" customFormat="false" ht="15" hidden="false" customHeight="true" outlineLevel="0" collapsed="false">
      <c r="A82" s="13" t="str">
        <f aca="false">IF(AND($B82="",$D82="",$E82="",$F82=""),"",IF(OR($B82="",$D82="",$E82=""),"待补",IF($D82="公共区域","公",IF($D82="商铺","S",SUBSTITUTE($D82,"栋","")))&amp;"-"&amp;$E82&amp;"-"&amp;TEXT(MONTH($B82),"00")&amp;TEXT(DAY($B82),"00")&amp;IF(ISNUMBER($O82),IF($O82&gt;1,"-"&amp;TEXT($O82,"00"),""),"")))</f>
        <v>6-1102-0503</v>
      </c>
      <c r="B82" s="14" t="n">
        <v>45780</v>
      </c>
      <c r="C82" s="10" t="s">
        <v>34</v>
      </c>
      <c r="D82" s="15" t="s">
        <v>46</v>
      </c>
      <c r="E82" s="15" t="s">
        <v>207</v>
      </c>
      <c r="F82" s="16" t="s">
        <v>294</v>
      </c>
      <c r="G82" s="10" t="s">
        <v>78</v>
      </c>
      <c r="H82" s="10" t="s">
        <v>157</v>
      </c>
      <c r="I82" s="10"/>
      <c r="J82" s="15" t="s">
        <v>254</v>
      </c>
      <c r="K82" s="10"/>
      <c r="L82" s="10" t="s">
        <v>43</v>
      </c>
      <c r="M82" s="14"/>
      <c r="N82" s="17" t="str">
        <f aca="false">IF($B82="","",IF($L82="已完成",IF($M82="","",$M82-$B82),IF(设置!$B$6&lt;$B82,"",IF((设置!$B$6-$B82)&gt;=设置!$B$5,"超期"&amp;(设置!$B$6-$B82)&amp;"天","已等"&amp;(设置!$B$6-$B82)&amp;"天"))))</f>
        <v/>
      </c>
      <c r="O82" s="18" t="n">
        <f aca="false">IF(OR($D82="",$E82=""),"",COUNTIFS($D$7:$D82,$D82,$E$7:$E82,$E82))</f>
        <v>1</v>
      </c>
      <c r="P82" s="16"/>
      <c r="Q82" s="19"/>
      <c r="R82" s="10" t="s">
        <v>45</v>
      </c>
      <c r="S82" s="16"/>
      <c r="T82" s="0" t="n">
        <f aca="false">IF(OR($D82="",单元查询!$B$3=""),"",IF($D82&lt;&gt;单元查询!$B$3,"",IF(OR(单元查询!$D$3="",$E82&amp;""=单元查询!$D$3&amp;""),IF(ISNUMBER($B82),$B82*10000,0)+ROW(),"")))</f>
        <v>457800082</v>
      </c>
      <c r="U82" s="0" t="str">
        <f aca="false">IF(OR($B82="",$L82="已完成"),"",IF(ISNUMBER($B82),IF(设置!$B$6&lt;$B82,"",(设置!$B$6-$B82)*100000+ROW()),""))</f>
        <v/>
      </c>
      <c r="V82" s="0" t="str">
        <f aca="false">IF(ISNUMBER($O82),IF($O82&gt;=2,IF(COUNTIFS($D82:$D$2006,$D82,$E82:$E$2006,$E82)=1,ROW(),""),""),"")</f>
        <v/>
      </c>
    </row>
    <row r="83" customFormat="false" ht="15" hidden="false" customHeight="true" outlineLevel="0" collapsed="false">
      <c r="A83" s="13" t="str">
        <f aca="false">IF(AND($B83="",$D83="",$E83="",$F83=""),"",IF(OR($B83="",$D83="",$E83=""),"待补",IF($D83="公共区域","公",IF($D83="商铺","S",SUBSTITUTE($D83,"栋","")))&amp;"-"&amp;$E83&amp;"-"&amp;TEXT(MONTH($B83),"00")&amp;TEXT(DAY($B83),"00")&amp;IF(ISNUMBER($O83),IF($O83&gt;1,"-"&amp;TEXT($O83,"00"),""),"")))</f>
        <v>6-1503-0503</v>
      </c>
      <c r="B83" s="14" t="n">
        <v>45780</v>
      </c>
      <c r="C83" s="10" t="s">
        <v>34</v>
      </c>
      <c r="D83" s="15" t="s">
        <v>46</v>
      </c>
      <c r="E83" s="15" t="s">
        <v>295</v>
      </c>
      <c r="F83" s="16" t="s">
        <v>296</v>
      </c>
      <c r="G83" s="10" t="s">
        <v>78</v>
      </c>
      <c r="H83" s="10" t="s">
        <v>39</v>
      </c>
      <c r="I83" s="10"/>
      <c r="J83" s="15" t="s">
        <v>254</v>
      </c>
      <c r="K83" s="10"/>
      <c r="L83" s="10" t="s">
        <v>43</v>
      </c>
      <c r="M83" s="14"/>
      <c r="N83" s="17" t="str">
        <f aca="false">IF($B83="","",IF($L83="已完成",IF($M83="","",$M83-$B83),IF(设置!$B$6&lt;$B83,"",IF((设置!$B$6-$B83)&gt;=设置!$B$5,"超期"&amp;(设置!$B$6-$B83)&amp;"天","已等"&amp;(设置!$B$6-$B83)&amp;"天"))))</f>
        <v/>
      </c>
      <c r="O83" s="18" t="n">
        <f aca="false">IF(OR($D83="",$E83=""),"",COUNTIFS($D$7:$D83,$D83,$E$7:$E83,$E83))</f>
        <v>1</v>
      </c>
      <c r="P83" s="16"/>
      <c r="Q83" s="19"/>
      <c r="R83" s="10" t="s">
        <v>45</v>
      </c>
      <c r="S83" s="16"/>
      <c r="T83" s="0" t="n">
        <f aca="false">IF(OR($D83="",单元查询!$B$3=""),"",IF($D83&lt;&gt;单元查询!$B$3,"",IF(OR(单元查询!$D$3="",$E83&amp;""=单元查询!$D$3&amp;""),IF(ISNUMBER($B83),$B83*10000,0)+ROW(),"")))</f>
        <v>457800083</v>
      </c>
      <c r="U83" s="0" t="str">
        <f aca="false">IF(OR($B83="",$L83="已完成"),"",IF(ISNUMBER($B83),IF(设置!$B$6&lt;$B83,"",(设置!$B$6-$B83)*100000+ROW()),""))</f>
        <v/>
      </c>
      <c r="V83" s="0" t="str">
        <f aca="false">IF(ISNUMBER($O83),IF($O83&gt;=2,IF(COUNTIFS($D83:$D$2006,$D83,$E83:$E$2006,$E83)=1,ROW(),""),""),"")</f>
        <v/>
      </c>
    </row>
    <row r="84" customFormat="false" ht="15" hidden="false" customHeight="true" outlineLevel="0" collapsed="false">
      <c r="A84" s="13" t="str">
        <f aca="false">IF(AND($B84="",$D84="",$E84="",$F84=""),"",IF(OR($B84="",$D84="",$E84=""),"待补",IF($D84="公共区域","公",IF($D84="商铺","S",SUBSTITUTE($D84,"栋","")))&amp;"-"&amp;$E84&amp;"-"&amp;TEXT(MONTH($B84),"00")&amp;TEXT(DAY($B84),"00")&amp;IF(ISNUMBER($O84),IF($O84&gt;1,"-"&amp;TEXT($O84,"00"),""),"")))</f>
        <v>9-3301-0503</v>
      </c>
      <c r="B84" s="14" t="n">
        <v>45780</v>
      </c>
      <c r="C84" s="10" t="s">
        <v>34</v>
      </c>
      <c r="D84" s="15" t="s">
        <v>98</v>
      </c>
      <c r="E84" s="15" t="s">
        <v>297</v>
      </c>
      <c r="F84" s="16" t="s">
        <v>298</v>
      </c>
      <c r="G84" s="10" t="s">
        <v>108</v>
      </c>
      <c r="H84" s="10" t="s">
        <v>49</v>
      </c>
      <c r="I84" s="10"/>
      <c r="J84" s="15" t="s">
        <v>254</v>
      </c>
      <c r="K84" s="10"/>
      <c r="L84" s="10" t="s">
        <v>43</v>
      </c>
      <c r="M84" s="14"/>
      <c r="N84" s="17" t="str">
        <f aca="false">IF($B84="","",IF($L84="已完成",IF($M84="","",$M84-$B84),IF(设置!$B$6&lt;$B84,"",IF((设置!$B$6-$B84)&gt;=设置!$B$5,"超期"&amp;(设置!$B$6-$B84)&amp;"天","已等"&amp;(设置!$B$6-$B84)&amp;"天"))))</f>
        <v/>
      </c>
      <c r="O84" s="18" t="n">
        <f aca="false">IF(OR($D84="",$E84=""),"",COUNTIFS($D$7:$D84,$D84,$E$7:$E84,$E84))</f>
        <v>1</v>
      </c>
      <c r="P84" s="16" t="s">
        <v>299</v>
      </c>
      <c r="Q84" s="19"/>
      <c r="R84" s="10" t="s">
        <v>45</v>
      </c>
      <c r="S84" s="16"/>
      <c r="T84" s="0" t="str">
        <f aca="false">IF(OR($D84="",单元查询!$B$3=""),"",IF($D84&lt;&gt;单元查询!$B$3,"",IF(OR(单元查询!$D$3="",$E84&amp;""=单元查询!$D$3&amp;""),IF(ISNUMBER($B84),$B84*10000,0)+ROW(),"")))</f>
        <v/>
      </c>
      <c r="U84" s="0" t="str">
        <f aca="false">IF(OR($B84="",$L84="已完成"),"",IF(ISNUMBER($B84),IF(设置!$B$6&lt;$B84,"",(设置!$B$6-$B84)*100000+ROW()),""))</f>
        <v/>
      </c>
      <c r="V84" s="0" t="str">
        <f aca="false">IF(ISNUMBER($O84),IF($O84&gt;=2,IF(COUNTIFS($D84:$D$2006,$D84,$E84:$E$2006,$E84)=1,ROW(),""),""),"")</f>
        <v/>
      </c>
    </row>
    <row r="85" customFormat="false" ht="15" hidden="false" customHeight="true" outlineLevel="0" collapsed="false">
      <c r="A85" s="13" t="str">
        <f aca="false">IF(AND($B85="",$D85="",$E85="",$F85=""),"",IF(OR($B85="",$D85="",$E85=""),"待补",IF($D85="公共区域","公",IF($D85="商铺","S",SUBSTITUTE($D85,"栋","")))&amp;"-"&amp;$E85&amp;"-"&amp;TEXT(MONTH($B85),"00")&amp;TEXT(DAY($B85),"00")&amp;IF(ISNUMBER($O85),IF($O85&gt;1,"-"&amp;TEXT($O85,"00"),""),"")))</f>
        <v>9-3204-0503</v>
      </c>
      <c r="B85" s="14" t="n">
        <v>45780</v>
      </c>
      <c r="C85" s="10" t="s">
        <v>34</v>
      </c>
      <c r="D85" s="15" t="s">
        <v>98</v>
      </c>
      <c r="E85" s="15" t="s">
        <v>300</v>
      </c>
      <c r="F85" s="16" t="s">
        <v>301</v>
      </c>
      <c r="G85" s="10" t="s">
        <v>108</v>
      </c>
      <c r="H85" s="10" t="s">
        <v>40</v>
      </c>
      <c r="I85" s="10"/>
      <c r="J85" s="15" t="s">
        <v>272</v>
      </c>
      <c r="K85" s="10"/>
      <c r="L85" s="10" t="s">
        <v>43</v>
      </c>
      <c r="M85" s="14"/>
      <c r="N85" s="17" t="str">
        <f aca="false">IF($B85="","",IF($L85="已完成",IF($M85="","",$M85-$B85),IF(设置!$B$6&lt;$B85,"",IF((设置!$B$6-$B85)&gt;=设置!$B$5,"超期"&amp;(设置!$B$6-$B85)&amp;"天","已等"&amp;(设置!$B$6-$B85)&amp;"天"))))</f>
        <v/>
      </c>
      <c r="O85" s="18" t="n">
        <f aca="false">IF(OR($D85="",$E85=""),"",COUNTIFS($D$7:$D85,$D85,$E$7:$E85,$E85))</f>
        <v>1</v>
      </c>
      <c r="P85" s="16"/>
      <c r="Q85" s="19"/>
      <c r="R85" s="10" t="s">
        <v>45</v>
      </c>
      <c r="S85" s="16" t="s">
        <v>302</v>
      </c>
      <c r="T85" s="0" t="str">
        <f aca="false">IF(OR($D85="",单元查询!$B$3=""),"",IF($D85&lt;&gt;单元查询!$B$3,"",IF(OR(单元查询!$D$3="",$E85&amp;""=单元查询!$D$3&amp;""),IF(ISNUMBER($B85),$B85*10000,0)+ROW(),"")))</f>
        <v/>
      </c>
      <c r="U85" s="0" t="str">
        <f aca="false">IF(OR($B85="",$L85="已完成"),"",IF(ISNUMBER($B85),IF(设置!$B$6&lt;$B85,"",(设置!$B$6-$B85)*100000+ROW()),""))</f>
        <v/>
      </c>
      <c r="V85" s="0" t="str">
        <f aca="false">IF(ISNUMBER($O85),IF($O85&gt;=2,IF(COUNTIFS($D85:$D$2006,$D85,$E85:$E$2006,$E85)=1,ROW(),""),""),"")</f>
        <v/>
      </c>
    </row>
    <row r="86" customFormat="false" ht="15" hidden="false" customHeight="true" outlineLevel="0" collapsed="false">
      <c r="A86" s="13" t="str">
        <f aca="false">IF(AND($B86="",$D86="",$E86="",$F86=""),"",IF(OR($B86="",$D86="",$E86=""),"待补",IF($D86="公共区域","公",IF($D86="商铺","S",SUBSTITUTE($D86,"栋","")))&amp;"-"&amp;$E86&amp;"-"&amp;TEXT(MONTH($B86),"00")&amp;TEXT(DAY($B86),"00")&amp;IF(ISNUMBER($O86),IF($O86&gt;1,"-"&amp;TEXT($O86,"00"),""),"")))</f>
        <v>9-303-0503</v>
      </c>
      <c r="B86" s="14" t="n">
        <v>45780</v>
      </c>
      <c r="C86" s="10" t="s">
        <v>34</v>
      </c>
      <c r="D86" s="15" t="s">
        <v>98</v>
      </c>
      <c r="E86" s="15" t="s">
        <v>303</v>
      </c>
      <c r="F86" s="16" t="s">
        <v>304</v>
      </c>
      <c r="G86" s="10" t="s">
        <v>108</v>
      </c>
      <c r="H86" s="10" t="s">
        <v>39</v>
      </c>
      <c r="I86" s="10"/>
      <c r="J86" s="15" t="s">
        <v>257</v>
      </c>
      <c r="K86" s="10"/>
      <c r="L86" s="10" t="s">
        <v>43</v>
      </c>
      <c r="M86" s="14"/>
      <c r="N86" s="17" t="str">
        <f aca="false">IF($B86="","",IF($L86="已完成",IF($M86="","",$M86-$B86),IF(设置!$B$6&lt;$B86,"",IF((设置!$B$6-$B86)&gt;=设置!$B$5,"超期"&amp;(设置!$B$6-$B86)&amp;"天","已等"&amp;(设置!$B$6-$B86)&amp;"天"))))</f>
        <v/>
      </c>
      <c r="O86" s="18" t="n">
        <f aca="false">IF(OR($D86="",$E86=""),"",COUNTIFS($D$7:$D86,$D86,$E$7:$E86,$E86))</f>
        <v>1</v>
      </c>
      <c r="P86" s="16"/>
      <c r="Q86" s="19"/>
      <c r="R86" s="10" t="s">
        <v>45</v>
      </c>
      <c r="S86" s="16"/>
      <c r="T86" s="0" t="str">
        <f aca="false">IF(OR($D86="",单元查询!$B$3=""),"",IF($D86&lt;&gt;单元查询!$B$3,"",IF(OR(单元查询!$D$3="",$E86&amp;""=单元查询!$D$3&amp;""),IF(ISNUMBER($B86),$B86*10000,0)+ROW(),"")))</f>
        <v/>
      </c>
      <c r="U86" s="0" t="str">
        <f aca="false">IF(OR($B86="",$L86="已完成"),"",IF(ISNUMBER($B86),IF(设置!$B$6&lt;$B86,"",(设置!$B$6-$B86)*100000+ROW()),""))</f>
        <v/>
      </c>
      <c r="V86" s="0" t="str">
        <f aca="false">IF(ISNUMBER($O86),IF($O86&gt;=2,IF(COUNTIFS($D86:$D$2006,$D86,$E86:$E$2006,$E86)=1,ROW(),""),""),"")</f>
        <v/>
      </c>
    </row>
    <row r="87" customFormat="false" ht="15" hidden="false" customHeight="true" outlineLevel="0" collapsed="false">
      <c r="A87" s="13" t="str">
        <f aca="false">IF(AND($B87="",$D87="",$E87="",$F87=""),"",IF(OR($B87="",$D87="",$E87=""),"待补",IF($D87="公共区域","公",IF($D87="商铺","S",SUBSTITUTE($D87,"栋","")))&amp;"-"&amp;$E87&amp;"-"&amp;TEXT(MONTH($B87),"00")&amp;TEXT(DAY($B87),"00")&amp;IF(ISNUMBER($O87),IF($O87&gt;1,"-"&amp;TEXT($O87,"00"),""),"")))</f>
        <v>S-124-0503</v>
      </c>
      <c r="B87" s="14" t="n">
        <v>45780</v>
      </c>
      <c r="C87" s="10" t="s">
        <v>34</v>
      </c>
      <c r="D87" s="10" t="s">
        <v>305</v>
      </c>
      <c r="E87" s="15" t="s">
        <v>306</v>
      </c>
      <c r="F87" s="16" t="s">
        <v>307</v>
      </c>
      <c r="G87" s="10" t="s">
        <v>200</v>
      </c>
      <c r="H87" s="10" t="s">
        <v>157</v>
      </c>
      <c r="I87" s="10"/>
      <c r="J87" s="15" t="s">
        <v>257</v>
      </c>
      <c r="K87" s="10"/>
      <c r="L87" s="10" t="s">
        <v>43</v>
      </c>
      <c r="M87" s="14"/>
      <c r="N87" s="17" t="str">
        <f aca="false">IF($B87="","",IF($L87="已完成",IF($M87="","",$M87-$B87),IF(设置!$B$6&lt;$B87,"",IF((设置!$B$6-$B87)&gt;=设置!$B$5,"超期"&amp;(设置!$B$6-$B87)&amp;"天","已等"&amp;(设置!$B$6-$B87)&amp;"天"))))</f>
        <v/>
      </c>
      <c r="O87" s="18" t="n">
        <f aca="false">IF(OR($D87="",$E87=""),"",COUNTIFS($D$7:$D87,$D87,$E$7:$E87,$E87))</f>
        <v>1</v>
      </c>
      <c r="P87" s="16"/>
      <c r="Q87" s="19"/>
      <c r="R87" s="10" t="s">
        <v>45</v>
      </c>
      <c r="S87" s="16"/>
      <c r="T87" s="0" t="str">
        <f aca="false">IF(OR($D87="",单元查询!$B$3=""),"",IF($D87&lt;&gt;单元查询!$B$3,"",IF(OR(单元查询!$D$3="",$E87&amp;""=单元查询!$D$3&amp;""),IF(ISNUMBER($B87),$B87*10000,0)+ROW(),"")))</f>
        <v/>
      </c>
      <c r="U87" s="0" t="str">
        <f aca="false">IF(OR($B87="",$L87="已完成"),"",IF(ISNUMBER($B87),IF(设置!$B$6&lt;$B87,"",(设置!$B$6-$B87)*100000+ROW()),""))</f>
        <v/>
      </c>
      <c r="V87" s="0" t="str">
        <f aca="false">IF(ISNUMBER($O87),IF($O87&gt;=2,IF(COUNTIFS($D87:$D$2006,$D87,$E87:$E$2006,$E87)=1,ROW(),""),""),"")</f>
        <v/>
      </c>
    </row>
    <row r="88" customFormat="false" ht="15" hidden="false" customHeight="true" outlineLevel="0" collapsed="false">
      <c r="A88" s="13" t="str">
        <f aca="false">IF(AND($B88="",$D88="",$E88="",$F88=""),"",IF(OR($B88="",$D88="",$E88=""),"待补",IF($D88="公共区域","公",IF($D88="商铺","S",SUBSTITUTE($D88,"栋","")))&amp;"-"&amp;$E88&amp;"-"&amp;TEXT(MONTH($B88),"00")&amp;TEXT(DAY($B88),"00")&amp;IF(ISNUMBER($O88),IF($O88&gt;1,"-"&amp;TEXT($O88,"00"),""),"")))</f>
        <v>7-1402-0503</v>
      </c>
      <c r="B88" s="14" t="n">
        <v>45780</v>
      </c>
      <c r="C88" s="10" t="s">
        <v>34</v>
      </c>
      <c r="D88" s="15" t="s">
        <v>59</v>
      </c>
      <c r="E88" s="15" t="s">
        <v>114</v>
      </c>
      <c r="F88" s="16" t="s">
        <v>308</v>
      </c>
      <c r="G88" s="10" t="s">
        <v>62</v>
      </c>
      <c r="H88" s="10" t="s">
        <v>39</v>
      </c>
      <c r="I88" s="10"/>
      <c r="J88" s="15" t="s">
        <v>257</v>
      </c>
      <c r="K88" s="10"/>
      <c r="L88" s="10" t="s">
        <v>43</v>
      </c>
      <c r="M88" s="14"/>
      <c r="N88" s="17" t="str">
        <f aca="false">IF($B88="","",IF($L88="已完成",IF($M88="","",$M88-$B88),IF(设置!$B$6&lt;$B88,"",IF((设置!$B$6-$B88)&gt;=设置!$B$5,"超期"&amp;(设置!$B$6-$B88)&amp;"天","已等"&amp;(设置!$B$6-$B88)&amp;"天"))))</f>
        <v/>
      </c>
      <c r="O88" s="18" t="n">
        <f aca="false">IF(OR($D88="",$E88=""),"",COUNTIFS($D$7:$D88,$D88,$E$7:$E88,$E88))</f>
        <v>1</v>
      </c>
      <c r="P88" s="16"/>
      <c r="Q88" s="19"/>
      <c r="R88" s="10" t="s">
        <v>45</v>
      </c>
      <c r="S88" s="16"/>
      <c r="T88" s="0" t="str">
        <f aca="false">IF(OR($D88="",单元查询!$B$3=""),"",IF($D88&lt;&gt;单元查询!$B$3,"",IF(OR(单元查询!$D$3="",$E88&amp;""=单元查询!$D$3&amp;""),IF(ISNUMBER($B88),$B88*10000,0)+ROW(),"")))</f>
        <v/>
      </c>
      <c r="U88" s="0" t="str">
        <f aca="false">IF(OR($B88="",$L88="已完成"),"",IF(ISNUMBER($B88),IF(设置!$B$6&lt;$B88,"",(设置!$B$6-$B88)*100000+ROW()),""))</f>
        <v/>
      </c>
      <c r="V88" s="0" t="str">
        <f aca="false">IF(ISNUMBER($O88),IF($O88&gt;=2,IF(COUNTIFS($D88:$D$2006,$D88,$E88:$E$2006,$E88)=1,ROW(),""),""),"")</f>
        <v/>
      </c>
    </row>
    <row r="89" customFormat="false" ht="15" hidden="false" customHeight="true" outlineLevel="0" collapsed="false">
      <c r="A89" s="13" t="str">
        <f aca="false">IF(AND($B89="",$D89="",$E89="",$F89=""),"",IF(OR($B89="",$D89="",$E89=""),"待补",IF($D89="公共区域","公",IF($D89="商铺","S",SUBSTITUTE($D89,"栋","")))&amp;"-"&amp;$E89&amp;"-"&amp;TEXT(MONTH($B89),"00")&amp;TEXT(DAY($B89),"00")&amp;IF(ISNUMBER($O89),IF($O89&gt;1,"-"&amp;TEXT($O89,"00"),""),"")))</f>
        <v>8-3303-0503</v>
      </c>
      <c r="B89" s="14" t="n">
        <v>45780</v>
      </c>
      <c r="C89" s="10" t="s">
        <v>34</v>
      </c>
      <c r="D89" s="15" t="s">
        <v>35</v>
      </c>
      <c r="E89" s="15" t="s">
        <v>309</v>
      </c>
      <c r="F89" s="16" t="s">
        <v>310</v>
      </c>
      <c r="G89" s="10" t="s">
        <v>62</v>
      </c>
      <c r="H89" s="10" t="s">
        <v>40</v>
      </c>
      <c r="I89" s="10"/>
      <c r="J89" s="15" t="s">
        <v>257</v>
      </c>
      <c r="K89" s="10"/>
      <c r="L89" s="10" t="s">
        <v>43</v>
      </c>
      <c r="M89" s="14"/>
      <c r="N89" s="17" t="str">
        <f aca="false">IF($B89="","",IF($L89="已完成",IF($M89="","",$M89-$B89),IF(设置!$B$6&lt;$B89,"",IF((设置!$B$6-$B89)&gt;=设置!$B$5,"超期"&amp;(设置!$B$6-$B89)&amp;"天","已等"&amp;(设置!$B$6-$B89)&amp;"天"))))</f>
        <v/>
      </c>
      <c r="O89" s="18" t="n">
        <f aca="false">IF(OR($D89="",$E89=""),"",COUNTIFS($D$7:$D89,$D89,$E$7:$E89,$E89))</f>
        <v>1</v>
      </c>
      <c r="P89" s="16"/>
      <c r="Q89" s="19"/>
      <c r="R89" s="10" t="s">
        <v>45</v>
      </c>
      <c r="S89" s="16"/>
      <c r="T89" s="0" t="str">
        <f aca="false">IF(OR($D89="",单元查询!$B$3=""),"",IF($D89&lt;&gt;单元查询!$B$3,"",IF(OR(单元查询!$D$3="",$E89&amp;""=单元查询!$D$3&amp;""),IF(ISNUMBER($B89),$B89*10000,0)+ROW(),"")))</f>
        <v/>
      </c>
      <c r="U89" s="0" t="str">
        <f aca="false">IF(OR($B89="",$L89="已完成"),"",IF(ISNUMBER($B89),IF(设置!$B$6&lt;$B89,"",(设置!$B$6-$B89)*100000+ROW()),""))</f>
        <v/>
      </c>
      <c r="V89" s="0" t="str">
        <f aca="false">IF(ISNUMBER($O89),IF($O89&gt;=2,IF(COUNTIFS($D89:$D$2006,$D89,$E89:$E$2006,$E89)=1,ROW(),""),""),"")</f>
        <v/>
      </c>
    </row>
    <row r="90" customFormat="false" ht="15" hidden="false" customHeight="true" outlineLevel="0" collapsed="false">
      <c r="A90" s="13" t="str">
        <f aca="false">IF(AND($B90="",$D90="",$E90="",$F90=""),"",IF(OR($B90="",$D90="",$E90=""),"待补",IF($D90="公共区域","公",IF($D90="商铺","S",SUBSTITUTE($D90,"栋","")))&amp;"-"&amp;$E90&amp;"-"&amp;TEXT(MONTH($B90),"00")&amp;TEXT(DAY($B90),"00")&amp;IF(ISNUMBER($O90),IF($O90&gt;1,"-"&amp;TEXT($O90,"00"),""),"")))</f>
        <v>7-504-0503</v>
      </c>
      <c r="B90" s="14" t="n">
        <v>45780</v>
      </c>
      <c r="C90" s="10" t="s">
        <v>34</v>
      </c>
      <c r="D90" s="15" t="s">
        <v>59</v>
      </c>
      <c r="E90" s="15" t="s">
        <v>86</v>
      </c>
      <c r="F90" s="16" t="s">
        <v>311</v>
      </c>
      <c r="G90" s="10" t="s">
        <v>62</v>
      </c>
      <c r="H90" s="10" t="s">
        <v>39</v>
      </c>
      <c r="I90" s="10"/>
      <c r="J90" s="15" t="s">
        <v>254</v>
      </c>
      <c r="K90" s="10"/>
      <c r="L90" s="10" t="s">
        <v>43</v>
      </c>
      <c r="M90" s="14"/>
      <c r="N90" s="17" t="str">
        <f aca="false">IF($B90="","",IF($L90="已完成",IF($M90="","",$M90-$B90),IF(设置!$B$6&lt;$B90,"",IF((设置!$B$6-$B90)&gt;=设置!$B$5,"超期"&amp;(设置!$B$6-$B90)&amp;"天","已等"&amp;(设置!$B$6-$B90)&amp;"天"))))</f>
        <v/>
      </c>
      <c r="O90" s="18" t="n">
        <f aca="false">IF(OR($D90="",$E90=""),"",COUNTIFS($D$7:$D90,$D90,$E$7:$E90,$E90))</f>
        <v>1</v>
      </c>
      <c r="P90" s="16"/>
      <c r="Q90" s="19"/>
      <c r="R90" s="10" t="s">
        <v>45</v>
      </c>
      <c r="S90" s="16"/>
      <c r="T90" s="0" t="str">
        <f aca="false">IF(OR($D90="",单元查询!$B$3=""),"",IF($D90&lt;&gt;单元查询!$B$3,"",IF(OR(单元查询!$D$3="",$E90&amp;""=单元查询!$D$3&amp;""),IF(ISNUMBER($B90),$B90*10000,0)+ROW(),"")))</f>
        <v/>
      </c>
      <c r="U90" s="0" t="str">
        <f aca="false">IF(OR($B90="",$L90="已完成"),"",IF(ISNUMBER($B90),IF(设置!$B$6&lt;$B90,"",(设置!$B$6-$B90)*100000+ROW()),""))</f>
        <v/>
      </c>
      <c r="V90" s="0" t="str">
        <f aca="false">IF(ISNUMBER($O90),IF($O90&gt;=2,IF(COUNTIFS($D90:$D$2006,$D90,$E90:$E$2006,$E90)=1,ROW(),""),""),"")</f>
        <v/>
      </c>
    </row>
    <row r="91" customFormat="false" ht="15" hidden="false" customHeight="true" outlineLevel="0" collapsed="false">
      <c r="A91" s="13" t="str">
        <f aca="false">IF(AND($B91="",$D91="",$E91="",$F91=""),"",IF(OR($B91="",$D91="",$E91=""),"待补",IF($D91="公共区域","公",IF($D91="商铺","S",SUBSTITUTE($D91,"栋","")))&amp;"-"&amp;$E91&amp;"-"&amp;TEXT(MONTH($B91),"00")&amp;TEXT(DAY($B91),"00")&amp;IF(ISNUMBER($O91),IF($O91&gt;1,"-"&amp;TEXT($O91,"00"),""),"")))</f>
        <v>3-2102-0503</v>
      </c>
      <c r="B91" s="14" t="n">
        <v>45780</v>
      </c>
      <c r="C91" s="10" t="s">
        <v>34</v>
      </c>
      <c r="D91" s="15" t="s">
        <v>126</v>
      </c>
      <c r="E91" s="15" t="s">
        <v>312</v>
      </c>
      <c r="F91" s="16" t="s">
        <v>313</v>
      </c>
      <c r="G91" s="10" t="s">
        <v>108</v>
      </c>
      <c r="H91" s="10" t="s">
        <v>40</v>
      </c>
      <c r="I91" s="10"/>
      <c r="J91" s="15" t="s">
        <v>254</v>
      </c>
      <c r="K91" s="10"/>
      <c r="L91" s="10" t="s">
        <v>43</v>
      </c>
      <c r="M91" s="14"/>
      <c r="N91" s="17" t="str">
        <f aca="false">IF($B91="","",IF($L91="已完成",IF($M91="","",$M91-$B91),IF(设置!$B$6&lt;$B91,"",IF((设置!$B$6-$B91)&gt;=设置!$B$5,"超期"&amp;(设置!$B$6-$B91)&amp;"天","已等"&amp;(设置!$B$6-$B91)&amp;"天"))))</f>
        <v/>
      </c>
      <c r="O91" s="18" t="n">
        <f aca="false">IF(OR($D91="",$E91=""),"",COUNTIFS($D$7:$D91,$D91,$E$7:$E91,$E91))</f>
        <v>1</v>
      </c>
      <c r="P91" s="16" t="s">
        <v>314</v>
      </c>
      <c r="Q91" s="19"/>
      <c r="R91" s="10" t="s">
        <v>45</v>
      </c>
      <c r="S91" s="16"/>
      <c r="T91" s="0" t="str">
        <f aca="false">IF(OR($D91="",单元查询!$B$3=""),"",IF($D91&lt;&gt;单元查询!$B$3,"",IF(OR(单元查询!$D$3="",$E91&amp;""=单元查询!$D$3&amp;""),IF(ISNUMBER($B91),$B91*10000,0)+ROW(),"")))</f>
        <v/>
      </c>
      <c r="U91" s="0" t="str">
        <f aca="false">IF(OR($B91="",$L91="已完成"),"",IF(ISNUMBER($B91),IF(设置!$B$6&lt;$B91,"",(设置!$B$6-$B91)*100000+ROW()),""))</f>
        <v/>
      </c>
      <c r="V91" s="0" t="str">
        <f aca="false">IF(ISNUMBER($O91),IF($O91&gt;=2,IF(COUNTIFS($D91:$D$2006,$D91,$E91:$E$2006,$E91)=1,ROW(),""),""),"")</f>
        <v/>
      </c>
    </row>
    <row r="92" customFormat="false" ht="15" hidden="false" customHeight="true" outlineLevel="0" collapsed="false">
      <c r="A92" s="13" t="str">
        <f aca="false">IF(AND($B92="",$D92="",$E92="",$F92=""),"",IF(OR($B92="",$D92="",$E92=""),"待补",IF($D92="公共区域","公",IF($D92="商铺","S",SUBSTITUTE($D92,"栋","")))&amp;"-"&amp;$E92&amp;"-"&amp;TEXT(MONTH($B92),"00")&amp;TEXT(DAY($B92),"00")&amp;IF(ISNUMBER($O92),IF($O92&gt;1,"-"&amp;TEXT($O92,"00"),""),"")))</f>
        <v>8-2203-0503</v>
      </c>
      <c r="B92" s="14" t="n">
        <v>45780</v>
      </c>
      <c r="C92" s="10" t="s">
        <v>34</v>
      </c>
      <c r="D92" s="15" t="s">
        <v>35</v>
      </c>
      <c r="E92" s="15" t="s">
        <v>262</v>
      </c>
      <c r="F92" s="16" t="s">
        <v>315</v>
      </c>
      <c r="G92" s="10" t="s">
        <v>62</v>
      </c>
      <c r="H92" s="10" t="s">
        <v>157</v>
      </c>
      <c r="I92" s="10"/>
      <c r="J92" s="15" t="s">
        <v>316</v>
      </c>
      <c r="K92" s="10"/>
      <c r="L92" s="10" t="s">
        <v>43</v>
      </c>
      <c r="M92" s="14"/>
      <c r="N92" s="17" t="str">
        <f aca="false">IF($B92="","",IF($L92="已完成",IF($M92="","",$M92-$B92),IF(设置!$B$6&lt;$B92,"",IF((设置!$B$6-$B92)&gt;=设置!$B$5,"超期"&amp;(设置!$B$6-$B92)&amp;"天","已等"&amp;(设置!$B$6-$B92)&amp;"天"))))</f>
        <v/>
      </c>
      <c r="O92" s="18" t="n">
        <f aca="false">IF(OR($D92="",$E92=""),"",COUNTIFS($D$7:$D92,$D92,$E$7:$E92,$E92))</f>
        <v>1</v>
      </c>
      <c r="P92" s="16"/>
      <c r="Q92" s="19"/>
      <c r="R92" s="10" t="s">
        <v>45</v>
      </c>
      <c r="S92" s="16"/>
      <c r="T92" s="0" t="str">
        <f aca="false">IF(OR($D92="",单元查询!$B$3=""),"",IF($D92&lt;&gt;单元查询!$B$3,"",IF(OR(单元查询!$D$3="",$E92&amp;""=单元查询!$D$3&amp;""),IF(ISNUMBER($B92),$B92*10000,0)+ROW(),"")))</f>
        <v/>
      </c>
      <c r="U92" s="0" t="str">
        <f aca="false">IF(OR($B92="",$L92="已完成"),"",IF(ISNUMBER($B92),IF(设置!$B$6&lt;$B92,"",(设置!$B$6-$B92)*100000+ROW()),""))</f>
        <v/>
      </c>
      <c r="V92" s="0" t="str">
        <f aca="false">IF(ISNUMBER($O92),IF($O92&gt;=2,IF(COUNTIFS($D92:$D$2006,$D92,$E92:$E$2006,$E92)=1,ROW(),""),""),"")</f>
        <v/>
      </c>
    </row>
    <row r="93" customFormat="false" ht="15" hidden="false" customHeight="true" outlineLevel="0" collapsed="false">
      <c r="A93" s="13" t="str">
        <f aca="false">IF(AND($B93="",$D93="",$E93="",$F93=""),"",IF(OR($B93="",$D93="",$E93=""),"待补",IF($D93="公共区域","公",IF($D93="商铺","S",SUBSTITUTE($D93,"栋","")))&amp;"-"&amp;$E93&amp;"-"&amp;TEXT(MONTH($B93),"00")&amp;TEXT(DAY($B93),"00")&amp;IF(ISNUMBER($O93),IF($O93&gt;1,"-"&amp;TEXT($O93,"00"),""),"")))</f>
        <v>2-1202-0503</v>
      </c>
      <c r="B93" s="14" t="n">
        <v>45780</v>
      </c>
      <c r="C93" s="10" t="s">
        <v>34</v>
      </c>
      <c r="D93" s="15" t="s">
        <v>129</v>
      </c>
      <c r="E93" s="15" t="s">
        <v>317</v>
      </c>
      <c r="F93" s="16" t="s">
        <v>318</v>
      </c>
      <c r="G93" s="10" t="s">
        <v>120</v>
      </c>
      <c r="H93" s="10" t="s">
        <v>39</v>
      </c>
      <c r="I93" s="10"/>
      <c r="J93" s="15" t="s">
        <v>272</v>
      </c>
      <c r="K93" s="10" t="s">
        <v>42</v>
      </c>
      <c r="L93" s="10" t="s">
        <v>43</v>
      </c>
      <c r="M93" s="14"/>
      <c r="N93" s="17" t="str">
        <f aca="false">IF($B93="","",IF($L93="已完成",IF($M93="","",$M93-$B93),IF(设置!$B$6&lt;$B93,"",IF((设置!$B$6-$B93)&gt;=设置!$B$5,"超期"&amp;(设置!$B$6-$B93)&amp;"天","已等"&amp;(设置!$B$6-$B93)&amp;"天"))))</f>
        <v/>
      </c>
      <c r="O93" s="18" t="n">
        <f aca="false">IF(OR($D93="",$E93=""),"",COUNTIFS($D$7:$D93,$D93,$E$7:$E93,$E93))</f>
        <v>1</v>
      </c>
      <c r="P93" s="16" t="s">
        <v>319</v>
      </c>
      <c r="Q93" s="19"/>
      <c r="R93" s="10" t="s">
        <v>45</v>
      </c>
      <c r="S93" s="16"/>
      <c r="T93" s="0" t="str">
        <f aca="false">IF(OR($D93="",单元查询!$B$3=""),"",IF($D93&lt;&gt;单元查询!$B$3,"",IF(OR(单元查询!$D$3="",$E93&amp;""=单元查询!$D$3&amp;""),IF(ISNUMBER($B93),$B93*10000,0)+ROW(),"")))</f>
        <v/>
      </c>
      <c r="U93" s="0" t="str">
        <f aca="false">IF(OR($B93="",$L93="已完成"),"",IF(ISNUMBER($B93),IF(设置!$B$6&lt;$B93,"",(设置!$B$6-$B93)*100000+ROW()),""))</f>
        <v/>
      </c>
      <c r="V93" s="0" t="str">
        <f aca="false">IF(ISNUMBER($O93),IF($O93&gt;=2,IF(COUNTIFS($D93:$D$2006,$D93,$E93:$E$2006,$E93)=1,ROW(),""),""),"")</f>
        <v/>
      </c>
    </row>
    <row r="94" customFormat="false" ht="15" hidden="false" customHeight="true" outlineLevel="0" collapsed="false">
      <c r="A94" s="13" t="str">
        <f aca="false">IF(AND($B94="",$D94="",$E94="",$F94=""),"",IF(OR($B94="",$D94="",$E94=""),"待补",IF($D94="公共区域","公",IF($D94="商铺","S",SUBSTITUTE($D94,"栋","")))&amp;"-"&amp;$E94&amp;"-"&amp;TEXT(MONTH($B94),"00")&amp;TEXT(DAY($B94),"00")&amp;IF(ISNUMBER($O94),IF($O94&gt;1,"-"&amp;TEXT($O94,"00"),""),"")))</f>
        <v>10-1003-0503</v>
      </c>
      <c r="B94" s="14" t="n">
        <v>45780</v>
      </c>
      <c r="C94" s="10" t="s">
        <v>34</v>
      </c>
      <c r="D94" s="15" t="s">
        <v>95</v>
      </c>
      <c r="E94" s="15" t="s">
        <v>320</v>
      </c>
      <c r="F94" s="16" t="s">
        <v>321</v>
      </c>
      <c r="G94" s="10" t="s">
        <v>38</v>
      </c>
      <c r="H94" s="10" t="s">
        <v>40</v>
      </c>
      <c r="I94" s="10"/>
      <c r="J94" s="15" t="s">
        <v>275</v>
      </c>
      <c r="K94" s="10"/>
      <c r="L94" s="10" t="s">
        <v>43</v>
      </c>
      <c r="M94" s="14"/>
      <c r="N94" s="17" t="str">
        <f aca="false">IF($B94="","",IF($L94="已完成",IF($M94="","",$M94-$B94),IF(设置!$B$6&lt;$B94,"",IF((设置!$B$6-$B94)&gt;=设置!$B$5,"超期"&amp;(设置!$B$6-$B94)&amp;"天","已等"&amp;(设置!$B$6-$B94)&amp;"天"))))</f>
        <v/>
      </c>
      <c r="O94" s="18" t="n">
        <f aca="false">IF(OR($D94="",$E94=""),"",COUNTIFS($D$7:$D94,$D94,$E$7:$E94,$E94))</f>
        <v>1</v>
      </c>
      <c r="P94" s="16" t="s">
        <v>322</v>
      </c>
      <c r="Q94" s="19"/>
      <c r="R94" s="10" t="s">
        <v>65</v>
      </c>
      <c r="S94" s="16"/>
      <c r="T94" s="0" t="str">
        <f aca="false">IF(OR($D94="",单元查询!$B$3=""),"",IF($D94&lt;&gt;单元查询!$B$3,"",IF(OR(单元查询!$D$3="",$E94&amp;""=单元查询!$D$3&amp;""),IF(ISNUMBER($B94),$B94*10000,0)+ROW(),"")))</f>
        <v/>
      </c>
      <c r="U94" s="0" t="str">
        <f aca="false">IF(OR($B94="",$L94="已完成"),"",IF(ISNUMBER($B94),IF(设置!$B$6&lt;$B94,"",(设置!$B$6-$B94)*100000+ROW()),""))</f>
        <v/>
      </c>
      <c r="V94" s="0" t="str">
        <f aca="false">IF(ISNUMBER($O94),IF($O94&gt;=2,IF(COUNTIFS($D94:$D$2006,$D94,$E94:$E$2006,$E94)=1,ROW(),""),""),"")</f>
        <v/>
      </c>
    </row>
    <row r="95" customFormat="false" ht="15" hidden="false" customHeight="true" outlineLevel="0" collapsed="false">
      <c r="A95" s="13" t="str">
        <f aca="false">IF(AND($B95="",$D95="",$E95="",$F95=""),"",IF(OR($B95="",$D95="",$E95=""),"待补",IF($D95="公共区域","公",IF($D95="商铺","S",SUBSTITUTE($D95,"栋","")))&amp;"-"&amp;$E95&amp;"-"&amp;TEXT(MONTH($B95),"00")&amp;TEXT(DAY($B95),"00")&amp;IF(ISNUMBER($O95),IF($O95&gt;1,"-"&amp;TEXT($O95,"00"),""),"")))</f>
        <v>6-2802-0503</v>
      </c>
      <c r="B95" s="14" t="n">
        <v>45780</v>
      </c>
      <c r="C95" s="10" t="s">
        <v>34</v>
      </c>
      <c r="D95" s="15" t="s">
        <v>46</v>
      </c>
      <c r="E95" s="15" t="s">
        <v>323</v>
      </c>
      <c r="F95" s="16" t="s">
        <v>324</v>
      </c>
      <c r="G95" s="10" t="s">
        <v>56</v>
      </c>
      <c r="H95" s="10" t="s">
        <v>156</v>
      </c>
      <c r="I95" s="10"/>
      <c r="J95" s="15" t="s">
        <v>325</v>
      </c>
      <c r="K95" s="10" t="s">
        <v>79</v>
      </c>
      <c r="L95" s="10" t="s">
        <v>51</v>
      </c>
      <c r="M95" s="14"/>
      <c r="N95" s="17" t="str">
        <f aca="false">IF($B95="","",IF($L95="已完成",IF($M95="","",$M95-$B95),IF(设置!$B$6&lt;$B95,"",IF((设置!$B$6-$B95)&gt;=设置!$B$5,"超期"&amp;(设置!$B$6-$B95)&amp;"天","已等"&amp;(设置!$B$6-$B95)&amp;"天"))))</f>
        <v>超期4天</v>
      </c>
      <c r="O95" s="18" t="n">
        <f aca="false">IF(OR($D95="",$E95=""),"",COUNTIFS($D$7:$D95,$D95,$E$7:$E95,$E95))</f>
        <v>1</v>
      </c>
      <c r="P95" s="16" t="s">
        <v>326</v>
      </c>
      <c r="Q95" s="19"/>
      <c r="R95" s="10"/>
      <c r="S95" s="16"/>
      <c r="T95" s="0" t="n">
        <f aca="false">IF(OR($D95="",单元查询!$B$3=""),"",IF($D95&lt;&gt;单元查询!$B$3,"",IF(OR(单元查询!$D$3="",$E95&amp;""=单元查询!$D$3&amp;""),IF(ISNUMBER($B95),$B95*10000,0)+ROW(),"")))</f>
        <v>457800095</v>
      </c>
      <c r="U95" s="0" t="n">
        <f aca="false">IF(OR($B95="",$L95="已完成"),"",IF(ISNUMBER($B95),IF(设置!$B$6&lt;$B95,"",(设置!$B$6-$B95)*100000+ROW()),""))</f>
        <v>400095</v>
      </c>
      <c r="V95" s="0" t="str">
        <f aca="false">IF(ISNUMBER($O95),IF($O95&gt;=2,IF(COUNTIFS($D95:$D$2006,$D95,$E95:$E$2006,$E95)=1,ROW(),""),""),"")</f>
        <v/>
      </c>
    </row>
    <row r="96" customFormat="false" ht="15" hidden="false" customHeight="true" outlineLevel="0" collapsed="false">
      <c r="A96" s="13" t="str">
        <f aca="false">IF(AND($B96="",$D96="",$E96="",$F96=""),"",IF(OR($B96="",$D96="",$E96=""),"待补",IF($D96="公共区域","公",IF($D96="商铺","S",SUBSTITUTE($D96,"栋","")))&amp;"-"&amp;$E96&amp;"-"&amp;TEXT(MONTH($B96),"00")&amp;TEXT(DAY($B96),"00")&amp;IF(ISNUMBER($O96),IF($O96&gt;1,"-"&amp;TEXT($O96,"00"),""),"")))</f>
        <v>公-254车位-0503</v>
      </c>
      <c r="B96" s="14" t="n">
        <v>45780</v>
      </c>
      <c r="C96" s="10" t="s">
        <v>149</v>
      </c>
      <c r="D96" s="10" t="s">
        <v>152</v>
      </c>
      <c r="E96" s="15" t="s">
        <v>327</v>
      </c>
      <c r="F96" s="16" t="s">
        <v>328</v>
      </c>
      <c r="G96" s="10" t="s">
        <v>56</v>
      </c>
      <c r="H96" s="10"/>
      <c r="I96" s="10"/>
      <c r="J96" s="15" t="s">
        <v>257</v>
      </c>
      <c r="K96" s="10"/>
      <c r="L96" s="10"/>
      <c r="M96" s="14"/>
      <c r="N96" s="17" t="str">
        <f aca="false">IF($B96="","",IF($L96="已完成",IF($M96="","",$M96-$B96),IF(设置!$B$6&lt;$B96,"",IF((设置!$B$6-$B96)&gt;=设置!$B$5,"超期"&amp;(设置!$B$6-$B96)&amp;"天","已等"&amp;(设置!$B$6-$B96)&amp;"天"))))</f>
        <v>超期4天</v>
      </c>
      <c r="O96" s="18" t="n">
        <f aca="false">IF(OR($D96="",$E96=""),"",COUNTIFS($D$7:$D96,$D96,$E$7:$E96,$E96))</f>
        <v>1</v>
      </c>
      <c r="P96" s="16"/>
      <c r="Q96" s="19"/>
      <c r="R96" s="10"/>
      <c r="S96" s="16"/>
      <c r="T96" s="0" t="str">
        <f aca="false">IF(OR($D96="",单元查询!$B$3=""),"",IF($D96&lt;&gt;单元查询!$B$3,"",IF(OR(单元查询!$D$3="",$E96&amp;""=单元查询!$D$3&amp;""),IF(ISNUMBER($B96),$B96*10000,0)+ROW(),"")))</f>
        <v/>
      </c>
      <c r="U96" s="0" t="n">
        <f aca="false">IF(OR($B96="",$L96="已完成"),"",IF(ISNUMBER($B96),IF(设置!$B$6&lt;$B96,"",(设置!$B$6-$B96)*100000+ROW()),""))</f>
        <v>400096</v>
      </c>
      <c r="V96" s="0" t="str">
        <f aca="false">IF(ISNUMBER($O96),IF($O96&gt;=2,IF(COUNTIFS($D96:$D$2006,$D96,$E96:$E$2006,$E96)=1,ROW(),""),""),"")</f>
        <v/>
      </c>
    </row>
    <row r="97" customFormat="false" ht="15" hidden="false" customHeight="true" outlineLevel="0" collapsed="false">
      <c r="A97" s="13" t="str">
        <f aca="false">IF(AND($B97="",$D97="",$E97="",$F97=""),"",IF(OR($B97="",$D97="",$E97=""),"待补",IF($D97="公共区域","公",IF($D97="商铺","S",SUBSTITUTE($D97,"栋","")))&amp;"-"&amp;$E97&amp;"-"&amp;TEXT(MONTH($B97),"00")&amp;TEXT(DAY($B97),"00")&amp;IF(ISNUMBER($O97),IF($O97&gt;1,"-"&amp;TEXT($O97,"00"),""),"")))</f>
        <v>公-557车位-0503</v>
      </c>
      <c r="B97" s="14" t="n">
        <v>45780</v>
      </c>
      <c r="C97" s="10" t="s">
        <v>149</v>
      </c>
      <c r="D97" s="10" t="s">
        <v>152</v>
      </c>
      <c r="E97" s="15" t="s">
        <v>329</v>
      </c>
      <c r="F97" s="16" t="s">
        <v>330</v>
      </c>
      <c r="G97" s="10" t="s">
        <v>108</v>
      </c>
      <c r="H97" s="10" t="s">
        <v>49</v>
      </c>
      <c r="I97" s="10"/>
      <c r="J97" s="15" t="s">
        <v>254</v>
      </c>
      <c r="K97" s="10"/>
      <c r="L97" s="10" t="s">
        <v>43</v>
      </c>
      <c r="M97" s="14"/>
      <c r="N97" s="17" t="str">
        <f aca="false">IF($B97="","",IF($L97="已完成",IF($M97="","",$M97-$B97),IF(设置!$B$6&lt;$B97,"",IF((设置!$B$6-$B97)&gt;=设置!$B$5,"超期"&amp;(设置!$B$6-$B97)&amp;"天","已等"&amp;(设置!$B$6-$B97)&amp;"天"))))</f>
        <v/>
      </c>
      <c r="O97" s="18" t="n">
        <f aca="false">IF(OR($D97="",$E97=""),"",COUNTIFS($D$7:$D97,$D97,$E$7:$E97,$E97))</f>
        <v>1</v>
      </c>
      <c r="P97" s="16"/>
      <c r="Q97" s="19"/>
      <c r="R97" s="10"/>
      <c r="S97" s="16"/>
      <c r="T97" s="0" t="str">
        <f aca="false">IF(OR($D97="",单元查询!$B$3=""),"",IF($D97&lt;&gt;单元查询!$B$3,"",IF(OR(单元查询!$D$3="",$E97&amp;""=单元查询!$D$3&amp;""),IF(ISNUMBER($B97),$B97*10000,0)+ROW(),"")))</f>
        <v/>
      </c>
      <c r="U97" s="0" t="str">
        <f aca="false">IF(OR($B97="",$L97="已完成"),"",IF(ISNUMBER($B97),IF(设置!$B$6&lt;$B97,"",(设置!$B$6-$B97)*100000+ROW()),""))</f>
        <v/>
      </c>
      <c r="V97" s="0" t="str">
        <f aca="false">IF(ISNUMBER($O97),IF($O97&gt;=2,IF(COUNTIFS($D97:$D$2006,$D97,$E97:$E$2006,$E97)=1,ROW(),""),""),"")</f>
        <v/>
      </c>
    </row>
    <row r="98" customFormat="false" ht="15" hidden="false" customHeight="true" outlineLevel="0" collapsed="false">
      <c r="A98" s="13" t="str">
        <f aca="false">IF(AND($B98="",$D98="",$E98="",$F98=""),"",IF(OR($B98="",$D98="",$E98=""),"待补",IF($D98="公共区域","公",IF($D98="商铺","S",SUBSTITUTE($D98,"栋","")))&amp;"-"&amp;$E98&amp;"-"&amp;TEXT(MONTH($B98),"00")&amp;TEXT(DAY($B98),"00")&amp;IF(ISNUMBER($O98),IF($O98&gt;1,"-"&amp;TEXT($O98,"00"),""),"")))</f>
        <v>5-负一-0503</v>
      </c>
      <c r="B98" s="14" t="n">
        <v>45780</v>
      </c>
      <c r="C98" s="10" t="s">
        <v>149</v>
      </c>
      <c r="D98" s="15" t="s">
        <v>53</v>
      </c>
      <c r="E98" s="10" t="s">
        <v>245</v>
      </c>
      <c r="F98" s="20" t="s">
        <v>331</v>
      </c>
      <c r="G98" s="10" t="s">
        <v>62</v>
      </c>
      <c r="H98" s="10" t="s">
        <v>39</v>
      </c>
      <c r="I98" s="10"/>
      <c r="J98" s="15" t="s">
        <v>254</v>
      </c>
      <c r="K98" s="10"/>
      <c r="L98" s="10" t="s">
        <v>43</v>
      </c>
      <c r="M98" s="14"/>
      <c r="N98" s="17" t="str">
        <f aca="false">IF($B98="","",IF($L98="已完成",IF($M98="","",$M98-$B98),IF(设置!$B$6&lt;$B98,"",IF((设置!$B$6-$B98)&gt;=设置!$B$5,"超期"&amp;(设置!$B$6-$B98)&amp;"天","已等"&amp;(设置!$B$6-$B98)&amp;"天"))))</f>
        <v/>
      </c>
      <c r="O98" s="18" t="n">
        <f aca="false">IF(OR($D98="",$E98=""),"",COUNTIFS($D$7:$D98,$D98,$E$7:$E98,$E98))</f>
        <v>1</v>
      </c>
      <c r="P98" s="16"/>
      <c r="Q98" s="19"/>
      <c r="R98" s="10"/>
      <c r="S98" s="16"/>
      <c r="T98" s="0" t="str">
        <f aca="false">IF(OR($D98="",单元查询!$B$3=""),"",IF($D98&lt;&gt;单元查询!$B$3,"",IF(OR(单元查询!$D$3="",$E98&amp;""=单元查询!$D$3&amp;""),IF(ISNUMBER($B98),$B98*10000,0)+ROW(),"")))</f>
        <v/>
      </c>
      <c r="U98" s="0" t="str">
        <f aca="false">IF(OR($B98="",$L98="已完成"),"",IF(ISNUMBER($B98),IF(设置!$B$6&lt;$B98,"",(设置!$B$6-$B98)*100000+ROW()),""))</f>
        <v/>
      </c>
      <c r="V98" s="0" t="str">
        <f aca="false">IF(ISNUMBER($O98),IF($O98&gt;=2,IF(COUNTIFS($D98:$D$2006,$D98,$E98:$E$2006,$E98)=1,ROW(),""),""),"")</f>
        <v/>
      </c>
    </row>
    <row r="99" customFormat="false" ht="15" hidden="false" customHeight="true" outlineLevel="0" collapsed="false">
      <c r="A99" s="13" t="str">
        <f aca="false">IF(AND($B99="",$D99="",$E99="",$F99=""),"",IF(OR($B99="",$D99="",$E99=""),"待补",IF($D99="公共区域","公",IF($D99="商铺","S",SUBSTITUTE($D99,"栋","")))&amp;"-"&amp;$E99&amp;"-"&amp;TEXT(MONTH($B99),"00")&amp;TEXT(DAY($B99),"00")&amp;IF(ISNUMBER($O99),IF($O99&gt;1,"-"&amp;TEXT($O99,"00"),""),"")))</f>
        <v>3-大堂-0503</v>
      </c>
      <c r="B99" s="14" t="n">
        <v>45780</v>
      </c>
      <c r="C99" s="10" t="s">
        <v>149</v>
      </c>
      <c r="D99" s="15" t="s">
        <v>126</v>
      </c>
      <c r="E99" s="10" t="s">
        <v>178</v>
      </c>
      <c r="F99" s="20" t="s">
        <v>332</v>
      </c>
      <c r="G99" s="10" t="s">
        <v>160</v>
      </c>
      <c r="H99" s="10" t="s">
        <v>39</v>
      </c>
      <c r="I99" s="10"/>
      <c r="J99" s="15" t="s">
        <v>257</v>
      </c>
      <c r="K99" s="10"/>
      <c r="L99" s="10" t="s">
        <v>43</v>
      </c>
      <c r="M99" s="14"/>
      <c r="N99" s="17" t="str">
        <f aca="false">IF($B99="","",IF($L99="已完成",IF($M99="","",$M99-$B99),IF(设置!$B$6&lt;$B99,"",IF((设置!$B$6-$B99)&gt;=设置!$B$5,"超期"&amp;(设置!$B$6-$B99)&amp;"天","已等"&amp;(设置!$B$6-$B99)&amp;"天"))))</f>
        <v/>
      </c>
      <c r="O99" s="18" t="n">
        <f aca="false">IF(OR($D99="",$E99=""),"",COUNTIFS($D$7:$D99,$D99,$E$7:$E99,$E99))</f>
        <v>1</v>
      </c>
      <c r="P99" s="16"/>
      <c r="Q99" s="19"/>
      <c r="R99" s="10"/>
      <c r="S99" s="16"/>
      <c r="T99" s="0" t="str">
        <f aca="false">IF(OR($D99="",单元查询!$B$3=""),"",IF($D99&lt;&gt;单元查询!$B$3,"",IF(OR(单元查询!$D$3="",$E99&amp;""=单元查询!$D$3&amp;""),IF(ISNUMBER($B99),$B99*10000,0)+ROW(),"")))</f>
        <v/>
      </c>
      <c r="U99" s="0" t="str">
        <f aca="false">IF(OR($B99="",$L99="已完成"),"",IF(ISNUMBER($B99),IF(设置!$B$6&lt;$B99,"",(设置!$B$6-$B99)*100000+ROW()),""))</f>
        <v/>
      </c>
      <c r="V99" s="0" t="str">
        <f aca="false">IF(ISNUMBER($O99),IF($O99&gt;=2,IF(COUNTIFS($D99:$D$2006,$D99,$E99:$E$2006,$E99)=1,ROW(),""),""),"")</f>
        <v/>
      </c>
    </row>
    <row r="100" customFormat="false" ht="29.25" hidden="false" customHeight="true" outlineLevel="0" collapsed="false">
      <c r="A100" s="13" t="str">
        <f aca="false">IF(AND($B100="",$D100="",$E100="",$F100=""),"",IF(OR($B100="",$D100="",$E100=""),"待补",IF($D100="公共区域","公",IF($D100="商铺","S",SUBSTITUTE($D100,"栋","")))&amp;"-"&amp;$E100&amp;"-"&amp;TEXT(MONTH($B100),"00")&amp;TEXT(DAY($B100),"00")&amp;IF(ISNUMBER($O100),IF($O100&gt;1,"-"&amp;TEXT($O100,"00"),""),"")))</f>
        <v>8-1704-0504</v>
      </c>
      <c r="B100" s="14" t="n">
        <v>45781</v>
      </c>
      <c r="C100" s="10" t="s">
        <v>34</v>
      </c>
      <c r="D100" s="15" t="s">
        <v>35</v>
      </c>
      <c r="E100" s="15" t="s">
        <v>333</v>
      </c>
      <c r="F100" s="16" t="s">
        <v>334</v>
      </c>
      <c r="G100" s="10" t="s">
        <v>108</v>
      </c>
      <c r="H100" s="10" t="s">
        <v>39</v>
      </c>
      <c r="I100" s="10"/>
      <c r="J100" s="15" t="s">
        <v>335</v>
      </c>
      <c r="K100" s="10"/>
      <c r="L100" s="10" t="s">
        <v>51</v>
      </c>
      <c r="M100" s="14"/>
      <c r="N100" s="17" t="str">
        <f aca="false">IF($B100="","",IF($L100="已完成",IF($M100="","",$M100-$B100),IF(设置!$B$6&lt;$B100,"",IF((设置!$B$6-$B100)&gt;=设置!$B$5,"超期"&amp;(设置!$B$6-$B100)&amp;"天","已等"&amp;(设置!$B$6-$B100)&amp;"天"))))</f>
        <v>超期3天</v>
      </c>
      <c r="O100" s="18" t="n">
        <f aca="false">IF(OR($D100="",$E100=""),"",COUNTIFS($D$7:$D100,$D100,$E$7:$E100,$E100))</f>
        <v>1</v>
      </c>
      <c r="P100" s="16" t="s">
        <v>336</v>
      </c>
      <c r="Q100" s="19"/>
      <c r="R100" s="10"/>
      <c r="S100" s="16"/>
      <c r="T100" s="0" t="str">
        <f aca="false">IF(OR($D100="",单元查询!$B$3=""),"",IF($D100&lt;&gt;单元查询!$B$3,"",IF(OR(单元查询!$D$3="",$E100&amp;""=单元查询!$D$3&amp;""),IF(ISNUMBER($B100),$B100*10000,0)+ROW(),"")))</f>
        <v/>
      </c>
      <c r="U100" s="0" t="n">
        <f aca="false">IF(OR($B100="",$L100="已完成"),"",IF(ISNUMBER($B100),IF(设置!$B$6&lt;$B100,"",(设置!$B$6-$B100)*100000+ROW()),""))</f>
        <v>300100</v>
      </c>
      <c r="V100" s="0" t="str">
        <f aca="false">IF(ISNUMBER($O100),IF($O100&gt;=2,IF(COUNTIFS($D100:$D$2006,$D100,$E100:$E$2006,$E100)=1,ROW(),""),""),"")</f>
        <v/>
      </c>
    </row>
    <row r="101" customFormat="false" ht="29.25" hidden="false" customHeight="true" outlineLevel="0" collapsed="false">
      <c r="A101" s="13" t="str">
        <f aca="false">IF(AND($B101="",$D101="",$E101="",$F101=""),"",IF(OR($B101="",$D101="",$E101=""),"待补",IF($D101="公共区域","公",IF($D101="商铺","S",SUBSTITUTE($D101,"栋","")))&amp;"-"&amp;$E101&amp;"-"&amp;TEXT(MONTH($B101),"00")&amp;TEXT(DAY($B101),"00")&amp;IF(ISNUMBER($O101),IF($O101&gt;1,"-"&amp;TEXT($O101,"00"),""),"")))</f>
        <v>6-402-0504</v>
      </c>
      <c r="B101" s="14" t="n">
        <v>45781</v>
      </c>
      <c r="C101" s="10" t="s">
        <v>34</v>
      </c>
      <c r="D101" s="15" t="s">
        <v>46</v>
      </c>
      <c r="E101" s="15" t="s">
        <v>337</v>
      </c>
      <c r="F101" s="16" t="s">
        <v>338</v>
      </c>
      <c r="G101" s="10" t="s">
        <v>120</v>
      </c>
      <c r="H101" s="10" t="s">
        <v>39</v>
      </c>
      <c r="I101" s="10"/>
      <c r="J101" s="15" t="s">
        <v>335</v>
      </c>
      <c r="K101" s="10"/>
      <c r="L101" s="10" t="s">
        <v>43</v>
      </c>
      <c r="M101" s="14"/>
      <c r="N101" s="17" t="str">
        <f aca="false">IF($B101="","",IF($L101="已完成",IF($M101="","",$M101-$B101),IF(设置!$B$6&lt;$B101,"",IF((设置!$B$6-$B101)&gt;=设置!$B$5,"超期"&amp;(设置!$B$6-$B101)&amp;"天","已等"&amp;(设置!$B$6-$B101)&amp;"天"))))</f>
        <v/>
      </c>
      <c r="O101" s="18" t="n">
        <f aca="false">IF(OR($D101="",$E101=""),"",COUNTIFS($D$7:$D101,$D101,$E$7:$E101,$E101))</f>
        <v>1</v>
      </c>
      <c r="P101" s="16"/>
      <c r="Q101" s="19"/>
      <c r="R101" s="10" t="s">
        <v>45</v>
      </c>
      <c r="S101" s="16" t="s">
        <v>339</v>
      </c>
      <c r="T101" s="0" t="n">
        <f aca="false">IF(OR($D101="",单元查询!$B$3=""),"",IF($D101&lt;&gt;单元查询!$B$3,"",IF(OR(单元查询!$D$3="",$E101&amp;""=单元查询!$D$3&amp;""),IF(ISNUMBER($B101),$B101*10000,0)+ROW(),"")))</f>
        <v>457810101</v>
      </c>
      <c r="U101" s="0" t="str">
        <f aca="false">IF(OR($B101="",$L101="已完成"),"",IF(ISNUMBER($B101),IF(设置!$B$6&lt;$B101,"",(设置!$B$6-$B101)*100000+ROW()),""))</f>
        <v/>
      </c>
      <c r="V101" s="0" t="str">
        <f aca="false">IF(ISNUMBER($O101),IF($O101&gt;=2,IF(COUNTIFS($D101:$D$2006,$D101,$E101:$E$2006,$E101)=1,ROW(),""),""),"")</f>
        <v/>
      </c>
    </row>
    <row r="102" customFormat="false" ht="15" hidden="false" customHeight="true" outlineLevel="0" collapsed="false">
      <c r="A102" s="13" t="str">
        <f aca="false">IF(AND($B102="",$D102="",$E102="",$F102=""),"",IF(OR($B102="",$D102="",$E102=""),"待补",IF($D102="公共区域","公",IF($D102="商铺","S",SUBSTITUTE($D102,"栋","")))&amp;"-"&amp;$E102&amp;"-"&amp;TEXT(MONTH($B102),"00")&amp;TEXT(DAY($B102),"00")&amp;IF(ISNUMBER($O102),IF($O102&gt;1,"-"&amp;TEXT($O102,"00"),""),"")))</f>
        <v>8-3104-0504</v>
      </c>
      <c r="B102" s="14" t="n">
        <v>45781</v>
      </c>
      <c r="C102" s="10" t="s">
        <v>34</v>
      </c>
      <c r="D102" s="15" t="s">
        <v>35</v>
      </c>
      <c r="E102" s="15" t="s">
        <v>134</v>
      </c>
      <c r="F102" s="16" t="s">
        <v>340</v>
      </c>
      <c r="G102" s="10" t="s">
        <v>120</v>
      </c>
      <c r="H102" s="10" t="s">
        <v>39</v>
      </c>
      <c r="I102" s="10"/>
      <c r="J102" s="15" t="s">
        <v>335</v>
      </c>
      <c r="K102" s="10"/>
      <c r="L102" s="10" t="s">
        <v>43</v>
      </c>
      <c r="M102" s="14"/>
      <c r="N102" s="17" t="str">
        <f aca="false">IF($B102="","",IF($L102="已完成",IF($M102="","",$M102-$B102),IF(设置!$B$6&lt;$B102,"",IF((设置!$B$6-$B102)&gt;=设置!$B$5,"超期"&amp;(设置!$B$6-$B102)&amp;"天","已等"&amp;(设置!$B$6-$B102)&amp;"天"))))</f>
        <v/>
      </c>
      <c r="O102" s="18" t="n">
        <f aca="false">IF(OR($D102="",$E102=""),"",COUNTIFS($D$7:$D102,$D102,$E$7:$E102,$E102))</f>
        <v>1</v>
      </c>
      <c r="P102" s="16"/>
      <c r="Q102" s="19"/>
      <c r="R102" s="10" t="s">
        <v>45</v>
      </c>
      <c r="S102" s="16"/>
      <c r="T102" s="0" t="str">
        <f aca="false">IF(OR($D102="",单元查询!$B$3=""),"",IF($D102&lt;&gt;单元查询!$B$3,"",IF(OR(单元查询!$D$3="",$E102&amp;""=单元查询!$D$3&amp;""),IF(ISNUMBER($B102),$B102*10000,0)+ROW(),"")))</f>
        <v/>
      </c>
      <c r="U102" s="0" t="str">
        <f aca="false">IF(OR($B102="",$L102="已完成"),"",IF(ISNUMBER($B102),IF(设置!$B$6&lt;$B102,"",(设置!$B$6-$B102)*100000+ROW()),""))</f>
        <v/>
      </c>
      <c r="V102" s="0" t="str">
        <f aca="false">IF(ISNUMBER($O102),IF($O102&gt;=2,IF(COUNTIFS($D102:$D$2006,$D102,$E102:$E$2006,$E102)=1,ROW(),""),""),"")</f>
        <v/>
      </c>
    </row>
    <row r="103" customFormat="false" ht="15" hidden="false" customHeight="true" outlineLevel="0" collapsed="false">
      <c r="A103" s="13" t="str">
        <f aca="false">IF(AND($B103="",$D103="",$E103="",$F103=""),"",IF(OR($B103="",$D103="",$E103=""),"待补",IF($D103="公共区域","公",IF($D103="商铺","S",SUBSTITUTE($D103,"栋","")))&amp;"-"&amp;$E103&amp;"-"&amp;TEXT(MONTH($B103),"00")&amp;TEXT(DAY($B103),"00")&amp;IF(ISNUMBER($O103),IF($O103&gt;1,"-"&amp;TEXT($O103,"00"),""),"")))</f>
        <v>8-1003-0504</v>
      </c>
      <c r="B103" s="14" t="n">
        <v>45781</v>
      </c>
      <c r="C103" s="10" t="s">
        <v>34</v>
      </c>
      <c r="D103" s="15" t="s">
        <v>35</v>
      </c>
      <c r="E103" s="15" t="s">
        <v>320</v>
      </c>
      <c r="F103" s="16" t="s">
        <v>341</v>
      </c>
      <c r="G103" s="10" t="s">
        <v>38</v>
      </c>
      <c r="H103" s="10" t="s">
        <v>39</v>
      </c>
      <c r="I103" s="10"/>
      <c r="J103" s="15" t="s">
        <v>335</v>
      </c>
      <c r="K103" s="10"/>
      <c r="L103" s="10" t="s">
        <v>43</v>
      </c>
      <c r="M103" s="14"/>
      <c r="N103" s="17" t="str">
        <f aca="false">IF($B103="","",IF($L103="已完成",IF($M103="","",$M103-$B103),IF(设置!$B$6&lt;$B103,"",IF((设置!$B$6-$B103)&gt;=设置!$B$5,"超期"&amp;(设置!$B$6-$B103)&amp;"天","已等"&amp;(设置!$B$6-$B103)&amp;"天"))))</f>
        <v/>
      </c>
      <c r="O103" s="18" t="n">
        <f aca="false">IF(OR($D103="",$E103=""),"",COUNTIFS($D$7:$D103,$D103,$E$7:$E103,$E103))</f>
        <v>1</v>
      </c>
      <c r="P103" s="16"/>
      <c r="Q103" s="19"/>
      <c r="R103" s="10" t="s">
        <v>45</v>
      </c>
      <c r="S103" s="16"/>
      <c r="T103" s="0" t="str">
        <f aca="false">IF(OR($D103="",单元查询!$B$3=""),"",IF($D103&lt;&gt;单元查询!$B$3,"",IF(OR(单元查询!$D$3="",$E103&amp;""=单元查询!$D$3&amp;""),IF(ISNUMBER($B103),$B103*10000,0)+ROW(),"")))</f>
        <v/>
      </c>
      <c r="U103" s="0" t="str">
        <f aca="false">IF(OR($B103="",$L103="已完成"),"",IF(ISNUMBER($B103),IF(设置!$B$6&lt;$B103,"",(设置!$B$6-$B103)*100000+ROW()),""))</f>
        <v/>
      </c>
      <c r="V103" s="0" t="str">
        <f aca="false">IF(ISNUMBER($O103),IF($O103&gt;=2,IF(COUNTIFS($D103:$D$2006,$D103,$E103:$E$2006,$E103)=1,ROW(),""),""),"")</f>
        <v/>
      </c>
    </row>
    <row r="104" customFormat="false" ht="15" hidden="false" customHeight="true" outlineLevel="0" collapsed="false">
      <c r="A104" s="13" t="str">
        <f aca="false">IF(AND($B104="",$D104="",$E104="",$F104=""),"",IF(OR($B104="",$D104="",$E104=""),"待补",IF($D104="公共区域","公",IF($D104="商铺","S",SUBSTITUTE($D104,"栋","")))&amp;"-"&amp;$E104&amp;"-"&amp;TEXT(MONTH($B104),"00")&amp;TEXT(DAY($B104),"00")&amp;IF(ISNUMBER($O104),IF($O104&gt;1,"-"&amp;TEXT($O104,"00"),""),"")))</f>
        <v>1-2002-0504</v>
      </c>
      <c r="B104" s="14" t="n">
        <v>45781</v>
      </c>
      <c r="C104" s="10" t="s">
        <v>34</v>
      </c>
      <c r="D104" s="15" t="s">
        <v>102</v>
      </c>
      <c r="E104" s="15" t="s">
        <v>342</v>
      </c>
      <c r="F104" s="16" t="s">
        <v>343</v>
      </c>
      <c r="G104" s="10" t="s">
        <v>108</v>
      </c>
      <c r="H104" s="10" t="s">
        <v>39</v>
      </c>
      <c r="I104" s="10"/>
      <c r="J104" s="15" t="s">
        <v>344</v>
      </c>
      <c r="K104" s="10"/>
      <c r="L104" s="10" t="s">
        <v>43</v>
      </c>
      <c r="M104" s="14"/>
      <c r="N104" s="17" t="str">
        <f aca="false">IF($B104="","",IF($L104="已完成",IF($M104="","",$M104-$B104),IF(设置!$B$6&lt;$B104,"",IF((设置!$B$6-$B104)&gt;=设置!$B$5,"超期"&amp;(设置!$B$6-$B104)&amp;"天","已等"&amp;(设置!$B$6-$B104)&amp;"天"))))</f>
        <v/>
      </c>
      <c r="O104" s="18" t="n">
        <f aca="false">IF(OR($D104="",$E104=""),"",COUNTIFS($D$7:$D104,$D104,$E$7:$E104,$E104))</f>
        <v>1</v>
      </c>
      <c r="P104" s="16"/>
      <c r="Q104" s="19"/>
      <c r="R104" s="10" t="s">
        <v>45</v>
      </c>
      <c r="S104" s="16"/>
      <c r="T104" s="0" t="str">
        <f aca="false">IF(OR($D104="",单元查询!$B$3=""),"",IF($D104&lt;&gt;单元查询!$B$3,"",IF(OR(单元查询!$D$3="",$E104&amp;""=单元查询!$D$3&amp;""),IF(ISNUMBER($B104),$B104*10000,0)+ROW(),"")))</f>
        <v/>
      </c>
      <c r="U104" s="0" t="str">
        <f aca="false">IF(OR($B104="",$L104="已完成"),"",IF(ISNUMBER($B104),IF(设置!$B$6&lt;$B104,"",(设置!$B$6-$B104)*100000+ROW()),""))</f>
        <v/>
      </c>
      <c r="V104" s="0" t="str">
        <f aca="false">IF(ISNUMBER($O104),IF($O104&gt;=2,IF(COUNTIFS($D104:$D$2006,$D104,$E104:$E$2006,$E104)=1,ROW(),""),""),"")</f>
        <v/>
      </c>
    </row>
    <row r="105" customFormat="false" ht="15" hidden="false" customHeight="true" outlineLevel="0" collapsed="false">
      <c r="A105" s="13" t="str">
        <f aca="false">IF(AND($B105="",$D105="",$E105="",$F105=""),"",IF(OR($B105="",$D105="",$E105=""),"待补",IF($D105="公共区域","公",IF($D105="商铺","S",SUBSTITUTE($D105,"栋","")))&amp;"-"&amp;$E105&amp;"-"&amp;TEXT(MONTH($B105),"00")&amp;TEXT(DAY($B105),"00")&amp;IF(ISNUMBER($O105),IF($O105&gt;1,"-"&amp;TEXT($O105,"00"),""),"")))</f>
        <v>7-1304-0504-02</v>
      </c>
      <c r="B105" s="14" t="n">
        <v>45781</v>
      </c>
      <c r="C105" s="10" t="s">
        <v>34</v>
      </c>
      <c r="D105" s="15" t="s">
        <v>59</v>
      </c>
      <c r="E105" s="15" t="s">
        <v>282</v>
      </c>
      <c r="F105" s="16" t="s">
        <v>345</v>
      </c>
      <c r="G105" s="10" t="s">
        <v>62</v>
      </c>
      <c r="H105" s="10" t="s">
        <v>39</v>
      </c>
      <c r="I105" s="10"/>
      <c r="J105" s="15" t="s">
        <v>346</v>
      </c>
      <c r="K105" s="10"/>
      <c r="L105" s="10" t="s">
        <v>43</v>
      </c>
      <c r="M105" s="14"/>
      <c r="N105" s="17" t="str">
        <f aca="false">IF($B105="","",IF($L105="已完成",IF($M105="","",$M105-$B105),IF(设置!$B$6&lt;$B105,"",IF((设置!$B$6-$B105)&gt;=设置!$B$5,"超期"&amp;(设置!$B$6-$B105)&amp;"天","已等"&amp;(设置!$B$6-$B105)&amp;"天"))))</f>
        <v/>
      </c>
      <c r="O105" s="18" t="n">
        <f aca="false">IF(OR($D105="",$E105=""),"",COUNTIFS($D$7:$D105,$D105,$E$7:$E105,$E105))</f>
        <v>2</v>
      </c>
      <c r="P105" s="16"/>
      <c r="Q105" s="19"/>
      <c r="R105" s="10" t="s">
        <v>45</v>
      </c>
      <c r="S105" s="16"/>
      <c r="T105" s="0" t="str">
        <f aca="false">IF(OR($D105="",单元查询!$B$3=""),"",IF($D105&lt;&gt;单元查询!$B$3,"",IF(OR(单元查询!$D$3="",$E105&amp;""=单元查询!$D$3&amp;""),IF(ISNUMBER($B105),$B105*10000,0)+ROW(),"")))</f>
        <v/>
      </c>
      <c r="U105" s="0" t="str">
        <f aca="false">IF(OR($B105="",$L105="已完成"),"",IF(ISNUMBER($B105),IF(设置!$B$6&lt;$B105,"",(设置!$B$6-$B105)*100000+ROW()),""))</f>
        <v/>
      </c>
      <c r="V105" s="0" t="n">
        <f aca="false">IF(ISNUMBER($O105),IF($O105&gt;=2,IF(COUNTIFS($D105:$D$2006,$D105,$E105:$E$2006,$E105)=1,ROW(),""),""),"")</f>
        <v>105</v>
      </c>
    </row>
    <row r="106" customFormat="false" ht="15" hidden="false" customHeight="true" outlineLevel="0" collapsed="false">
      <c r="A106" s="13" t="str">
        <f aca="false">IF(AND($B106="",$D106="",$E106="",$F106=""),"",IF(OR($B106="",$D106="",$E106=""),"待补",IF($D106="公共区域","公",IF($D106="商铺","S",SUBSTITUTE($D106,"栋","")))&amp;"-"&amp;$E106&amp;"-"&amp;TEXT(MONTH($B106),"00")&amp;TEXT(DAY($B106),"00")&amp;IF(ISNUMBER($O106),IF($O106&gt;1,"-"&amp;TEXT($O106,"00"),""),"")))</f>
        <v>10-3102-0504</v>
      </c>
      <c r="B106" s="14" t="n">
        <v>45781</v>
      </c>
      <c r="C106" s="10" t="s">
        <v>34</v>
      </c>
      <c r="D106" s="15" t="s">
        <v>95</v>
      </c>
      <c r="E106" s="15" t="s">
        <v>347</v>
      </c>
      <c r="F106" s="16" t="s">
        <v>348</v>
      </c>
      <c r="G106" s="10" t="s">
        <v>108</v>
      </c>
      <c r="H106" s="10" t="s">
        <v>40</v>
      </c>
      <c r="I106" s="10"/>
      <c r="J106" s="15" t="s">
        <v>346</v>
      </c>
      <c r="K106" s="10"/>
      <c r="L106" s="10" t="s">
        <v>51</v>
      </c>
      <c r="M106" s="14"/>
      <c r="N106" s="17" t="str">
        <f aca="false">IF($B106="","",IF($L106="已完成",IF($M106="","",$M106-$B106),IF(设置!$B$6&lt;$B106,"",IF((设置!$B$6-$B106)&gt;=设置!$B$5,"超期"&amp;(设置!$B$6-$B106)&amp;"天","已等"&amp;(设置!$B$6-$B106)&amp;"天"))))</f>
        <v>超期3天</v>
      </c>
      <c r="O106" s="18" t="n">
        <f aca="false">IF(OR($D106="",$E106=""),"",COUNTIFS($D$7:$D106,$D106,$E$7:$E106,$E106))</f>
        <v>1</v>
      </c>
      <c r="P106" s="16"/>
      <c r="Q106" s="19"/>
      <c r="R106" s="10"/>
      <c r="S106" s="16"/>
      <c r="T106" s="0" t="str">
        <f aca="false">IF(OR($D106="",单元查询!$B$3=""),"",IF($D106&lt;&gt;单元查询!$B$3,"",IF(OR(单元查询!$D$3="",$E106&amp;""=单元查询!$D$3&amp;""),IF(ISNUMBER($B106),$B106*10000,0)+ROW(),"")))</f>
        <v/>
      </c>
      <c r="U106" s="0" t="n">
        <f aca="false">IF(OR($B106="",$L106="已完成"),"",IF(ISNUMBER($B106),IF(设置!$B$6&lt;$B106,"",(设置!$B$6-$B106)*100000+ROW()),""))</f>
        <v>300106</v>
      </c>
      <c r="V106" s="0" t="str">
        <f aca="false">IF(ISNUMBER($O106),IF($O106&gt;=2,IF(COUNTIFS($D106:$D$2006,$D106,$E106:$E$2006,$E106)=1,ROW(),""),""),"")</f>
        <v/>
      </c>
    </row>
    <row r="107" customFormat="false" ht="15" hidden="false" customHeight="true" outlineLevel="0" collapsed="false">
      <c r="A107" s="13" t="str">
        <f aca="false">IF(AND($B107="",$D107="",$E107="",$F107=""),"",IF(OR($B107="",$D107="",$E107=""),"待补",IF($D107="公共区域","公",IF($D107="商铺","S",SUBSTITUTE($D107,"栋","")))&amp;"-"&amp;$E107&amp;"-"&amp;TEXT(MONTH($B107),"00")&amp;TEXT(DAY($B107),"00")&amp;IF(ISNUMBER($O107),IF($O107&gt;1,"-"&amp;TEXT($O107,"00"),""),"")))</f>
        <v>9-2504-0504</v>
      </c>
      <c r="B107" s="14" t="n">
        <v>45781</v>
      </c>
      <c r="C107" s="10" t="s">
        <v>34</v>
      </c>
      <c r="D107" s="15" t="s">
        <v>98</v>
      </c>
      <c r="E107" s="15" t="s">
        <v>47</v>
      </c>
      <c r="F107" s="16" t="s">
        <v>349</v>
      </c>
      <c r="G107" s="10" t="s">
        <v>120</v>
      </c>
      <c r="H107" s="10" t="s">
        <v>39</v>
      </c>
      <c r="I107" s="10"/>
      <c r="J107" s="15" t="s">
        <v>350</v>
      </c>
      <c r="K107" s="10"/>
      <c r="L107" s="10" t="s">
        <v>43</v>
      </c>
      <c r="M107" s="14"/>
      <c r="N107" s="17" t="str">
        <f aca="false">IF($B107="","",IF($L107="已完成",IF($M107="","",$M107-$B107),IF(设置!$B$6&lt;$B107,"",IF((设置!$B$6-$B107)&gt;=设置!$B$5,"超期"&amp;(设置!$B$6-$B107)&amp;"天","已等"&amp;(设置!$B$6-$B107)&amp;"天"))))</f>
        <v/>
      </c>
      <c r="O107" s="18" t="n">
        <f aca="false">IF(OR($D107="",$E107=""),"",COUNTIFS($D$7:$D107,$D107,$E$7:$E107,$E107))</f>
        <v>1</v>
      </c>
      <c r="P107" s="16"/>
      <c r="Q107" s="19"/>
      <c r="R107" s="10" t="s">
        <v>45</v>
      </c>
      <c r="S107" s="16"/>
      <c r="T107" s="0" t="str">
        <f aca="false">IF(OR($D107="",单元查询!$B$3=""),"",IF($D107&lt;&gt;单元查询!$B$3,"",IF(OR(单元查询!$D$3="",$E107&amp;""=单元查询!$D$3&amp;""),IF(ISNUMBER($B107),$B107*10000,0)+ROW(),"")))</f>
        <v/>
      </c>
      <c r="U107" s="0" t="str">
        <f aca="false">IF(OR($B107="",$L107="已完成"),"",IF(ISNUMBER($B107),IF(设置!$B$6&lt;$B107,"",(设置!$B$6-$B107)*100000+ROW()),""))</f>
        <v/>
      </c>
      <c r="V107" s="0" t="str">
        <f aca="false">IF(ISNUMBER($O107),IF($O107&gt;=2,IF(COUNTIFS($D107:$D$2006,$D107,$E107:$E$2006,$E107)=1,ROW(),""),""),"")</f>
        <v/>
      </c>
    </row>
    <row r="108" customFormat="false" ht="15" hidden="false" customHeight="true" outlineLevel="0" collapsed="false">
      <c r="A108" s="13" t="str">
        <f aca="false">IF(AND($B108="",$D108="",$E108="",$F108=""),"",IF(OR($B108="",$D108="",$E108=""),"待补",IF($D108="公共区域","公",IF($D108="商铺","S",SUBSTITUTE($D108,"栋","")))&amp;"-"&amp;$E108&amp;"-"&amp;TEXT(MONTH($B108),"00")&amp;TEXT(DAY($B108),"00")&amp;IF(ISNUMBER($O108),IF($O108&gt;1,"-"&amp;TEXT($O108,"00"),""),"")))</f>
        <v>10-1101-0504</v>
      </c>
      <c r="B108" s="14" t="n">
        <v>45781</v>
      </c>
      <c r="C108" s="10" t="s">
        <v>34</v>
      </c>
      <c r="D108" s="15" t="s">
        <v>95</v>
      </c>
      <c r="E108" s="15" t="s">
        <v>351</v>
      </c>
      <c r="F108" s="16" t="s">
        <v>352</v>
      </c>
      <c r="G108" s="10" t="s">
        <v>78</v>
      </c>
      <c r="H108" s="10" t="s">
        <v>39</v>
      </c>
      <c r="I108" s="10"/>
      <c r="J108" s="15" t="s">
        <v>346</v>
      </c>
      <c r="K108" s="10"/>
      <c r="L108" s="10" t="s">
        <v>43</v>
      </c>
      <c r="M108" s="14"/>
      <c r="N108" s="17" t="str">
        <f aca="false">IF($B108="","",IF($L108="已完成",IF($M108="","",$M108-$B108),IF(设置!$B$6&lt;$B108,"",IF((设置!$B$6-$B108)&gt;=设置!$B$5,"超期"&amp;(设置!$B$6-$B108)&amp;"天","已等"&amp;(设置!$B$6-$B108)&amp;"天"))))</f>
        <v/>
      </c>
      <c r="O108" s="18" t="n">
        <f aca="false">IF(OR($D108="",$E108=""),"",COUNTIFS($D$7:$D108,$D108,$E$7:$E108,$E108))</f>
        <v>1</v>
      </c>
      <c r="P108" s="16" t="s">
        <v>353</v>
      </c>
      <c r="Q108" s="19"/>
      <c r="R108" s="10" t="s">
        <v>45</v>
      </c>
      <c r="S108" s="16"/>
      <c r="T108" s="0" t="str">
        <f aca="false">IF(OR($D108="",单元查询!$B$3=""),"",IF($D108&lt;&gt;单元查询!$B$3,"",IF(OR(单元查询!$D$3="",$E108&amp;""=单元查询!$D$3&amp;""),IF(ISNUMBER($B108),$B108*10000,0)+ROW(),"")))</f>
        <v/>
      </c>
      <c r="U108" s="0" t="str">
        <f aca="false">IF(OR($B108="",$L108="已完成"),"",IF(ISNUMBER($B108),IF(设置!$B$6&lt;$B108,"",(设置!$B$6-$B108)*100000+ROW()),""))</f>
        <v/>
      </c>
      <c r="V108" s="0" t="str">
        <f aca="false">IF(ISNUMBER($O108),IF($O108&gt;=2,IF(COUNTIFS($D108:$D$2006,$D108,$E108:$E$2006,$E108)=1,ROW(),""),""),"")</f>
        <v/>
      </c>
    </row>
    <row r="109" customFormat="false" ht="15" hidden="false" customHeight="true" outlineLevel="0" collapsed="false">
      <c r="A109" s="13" t="str">
        <f aca="false">IF(AND($B109="",$D109="",$E109="",$F109=""),"",IF(OR($B109="",$D109="",$E109=""),"待补",IF($D109="公共区域","公",IF($D109="商铺","S",SUBSTITUTE($D109,"栋","")))&amp;"-"&amp;$E109&amp;"-"&amp;TEXT(MONTH($B109),"00")&amp;TEXT(DAY($B109),"00")&amp;IF(ISNUMBER($O109),IF($O109&gt;1,"-"&amp;TEXT($O109,"00"),""),"")))</f>
        <v>1-804-0504</v>
      </c>
      <c r="B109" s="14" t="n">
        <v>45781</v>
      </c>
      <c r="C109" s="10" t="s">
        <v>34</v>
      </c>
      <c r="D109" s="15" t="s">
        <v>102</v>
      </c>
      <c r="E109" s="15" t="s">
        <v>354</v>
      </c>
      <c r="F109" s="16" t="s">
        <v>355</v>
      </c>
      <c r="G109" s="10" t="s">
        <v>78</v>
      </c>
      <c r="H109" s="10" t="s">
        <v>356</v>
      </c>
      <c r="I109" s="10"/>
      <c r="J109" s="15" t="s">
        <v>357</v>
      </c>
      <c r="K109" s="10"/>
      <c r="L109" s="10" t="s">
        <v>43</v>
      </c>
      <c r="M109" s="14"/>
      <c r="N109" s="17" t="str">
        <f aca="false">IF($B109="","",IF($L109="已完成",IF($M109="","",$M109-$B109),IF(设置!$B$6&lt;$B109,"",IF((设置!$B$6-$B109)&gt;=设置!$B$5,"超期"&amp;(设置!$B$6-$B109)&amp;"天","已等"&amp;(设置!$B$6-$B109)&amp;"天"))))</f>
        <v/>
      </c>
      <c r="O109" s="18" t="n">
        <f aca="false">IF(OR($D109="",$E109=""),"",COUNTIFS($D$7:$D109,$D109,$E$7:$E109,$E109))</f>
        <v>1</v>
      </c>
      <c r="P109" s="16"/>
      <c r="Q109" s="19"/>
      <c r="R109" s="10" t="s">
        <v>45</v>
      </c>
      <c r="S109" s="16"/>
      <c r="T109" s="0" t="str">
        <f aca="false">IF(OR($D109="",单元查询!$B$3=""),"",IF($D109&lt;&gt;单元查询!$B$3,"",IF(OR(单元查询!$D$3="",$E109&amp;""=单元查询!$D$3&amp;""),IF(ISNUMBER($B109),$B109*10000,0)+ROW(),"")))</f>
        <v/>
      </c>
      <c r="U109" s="0" t="str">
        <f aca="false">IF(OR($B109="",$L109="已完成"),"",IF(ISNUMBER($B109),IF(设置!$B$6&lt;$B109,"",(设置!$B$6-$B109)*100000+ROW()),""))</f>
        <v/>
      </c>
      <c r="V109" s="0" t="str">
        <f aca="false">IF(ISNUMBER($O109),IF($O109&gt;=2,IF(COUNTIFS($D109:$D$2006,$D109,$E109:$E$2006,$E109)=1,ROW(),""),""),"")</f>
        <v/>
      </c>
    </row>
    <row r="110" customFormat="false" ht="15" hidden="false" customHeight="true" outlineLevel="0" collapsed="false">
      <c r="A110" s="13" t="str">
        <f aca="false">IF(AND($B110="",$D110="",$E110="",$F110=""),"",IF(OR($B110="",$D110="",$E110=""),"待补",IF($D110="公共区域","公",IF($D110="商铺","S",SUBSTITUTE($D110,"栋","")))&amp;"-"&amp;$E110&amp;"-"&amp;TEXT(MONTH($B110),"00")&amp;TEXT(DAY($B110),"00")&amp;IF(ISNUMBER($O110),IF($O110&gt;1,"-"&amp;TEXT($O110,"00"),""),"")))</f>
        <v>1-202-0504</v>
      </c>
      <c r="B110" s="14" t="n">
        <v>45781</v>
      </c>
      <c r="C110" s="10" t="s">
        <v>34</v>
      </c>
      <c r="D110" s="15" t="s">
        <v>102</v>
      </c>
      <c r="E110" s="15" t="s">
        <v>358</v>
      </c>
      <c r="F110" s="16" t="s">
        <v>359</v>
      </c>
      <c r="G110" s="10" t="s">
        <v>188</v>
      </c>
      <c r="H110" s="10" t="s">
        <v>39</v>
      </c>
      <c r="I110" s="10"/>
      <c r="J110" s="15" t="s">
        <v>360</v>
      </c>
      <c r="K110" s="10"/>
      <c r="L110" s="10" t="s">
        <v>43</v>
      </c>
      <c r="M110" s="14"/>
      <c r="N110" s="17" t="str">
        <f aca="false">IF($B110="","",IF($L110="已完成",IF($M110="","",$M110-$B110),IF(设置!$B$6&lt;$B110,"",IF((设置!$B$6-$B110)&gt;=设置!$B$5,"超期"&amp;(设置!$B$6-$B110)&amp;"天","已等"&amp;(设置!$B$6-$B110)&amp;"天"))))</f>
        <v/>
      </c>
      <c r="O110" s="18" t="n">
        <f aca="false">IF(OR($D110="",$E110=""),"",COUNTIFS($D$7:$D110,$D110,$E$7:$E110,$E110))</f>
        <v>1</v>
      </c>
      <c r="P110" s="16" t="s">
        <v>361</v>
      </c>
      <c r="Q110" s="19"/>
      <c r="R110" s="10" t="s">
        <v>45</v>
      </c>
      <c r="S110" s="16"/>
      <c r="T110" s="0" t="str">
        <f aca="false">IF(OR($D110="",单元查询!$B$3=""),"",IF($D110&lt;&gt;单元查询!$B$3,"",IF(OR(单元查询!$D$3="",$E110&amp;""=单元查询!$D$3&amp;""),IF(ISNUMBER($B110),$B110*10000,0)+ROW(),"")))</f>
        <v/>
      </c>
      <c r="U110" s="0" t="str">
        <f aca="false">IF(OR($B110="",$L110="已完成"),"",IF(ISNUMBER($B110),IF(设置!$B$6&lt;$B110,"",(设置!$B$6-$B110)*100000+ROW()),""))</f>
        <v/>
      </c>
      <c r="V110" s="0" t="str">
        <f aca="false">IF(ISNUMBER($O110),IF($O110&gt;=2,IF(COUNTIFS($D110:$D$2006,$D110,$E110:$E$2006,$E110)=1,ROW(),""),""),"")</f>
        <v/>
      </c>
    </row>
    <row r="111" customFormat="false" ht="15" hidden="false" customHeight="true" outlineLevel="0" collapsed="false">
      <c r="A111" s="13" t="str">
        <f aca="false">IF(AND($B111="",$D111="",$E111="",$F111=""),"",IF(OR($B111="",$D111="",$E111=""),"待补",IF($D111="公共区域","公",IF($D111="商铺","S",SUBSTITUTE($D111,"栋","")))&amp;"-"&amp;$E111&amp;"-"&amp;TEXT(MONTH($B111),"00")&amp;TEXT(DAY($B111),"00")&amp;IF(ISNUMBER($O111),IF($O111&gt;1,"-"&amp;TEXT($O111,"00"),""),"")))</f>
        <v>9-1502-0504</v>
      </c>
      <c r="B111" s="14" t="n">
        <v>45781</v>
      </c>
      <c r="C111" s="10" t="s">
        <v>34</v>
      </c>
      <c r="D111" s="15" t="s">
        <v>98</v>
      </c>
      <c r="E111" s="15" t="s">
        <v>362</v>
      </c>
      <c r="F111" s="16" t="s">
        <v>363</v>
      </c>
      <c r="G111" s="10" t="s">
        <v>120</v>
      </c>
      <c r="H111" s="10" t="s">
        <v>39</v>
      </c>
      <c r="I111" s="10"/>
      <c r="J111" s="15" t="s">
        <v>360</v>
      </c>
      <c r="K111" s="10"/>
      <c r="L111" s="10" t="s">
        <v>43</v>
      </c>
      <c r="M111" s="14"/>
      <c r="N111" s="17" t="str">
        <f aca="false">IF($B111="","",IF($L111="已完成",IF($M111="","",$M111-$B111),IF(设置!$B$6&lt;$B111,"",IF((设置!$B$6-$B111)&gt;=设置!$B$5,"超期"&amp;(设置!$B$6-$B111)&amp;"天","已等"&amp;(设置!$B$6-$B111)&amp;"天"))))</f>
        <v/>
      </c>
      <c r="O111" s="18" t="n">
        <f aca="false">IF(OR($D111="",$E111=""),"",COUNTIFS($D$7:$D111,$D111,$E$7:$E111,$E111))</f>
        <v>1</v>
      </c>
      <c r="P111" s="16"/>
      <c r="Q111" s="19"/>
      <c r="R111" s="10" t="s">
        <v>45</v>
      </c>
      <c r="S111" s="16"/>
      <c r="T111" s="0" t="str">
        <f aca="false">IF(OR($D111="",单元查询!$B$3=""),"",IF($D111&lt;&gt;单元查询!$B$3,"",IF(OR(单元查询!$D$3="",$E111&amp;""=单元查询!$D$3&amp;""),IF(ISNUMBER($B111),$B111*10000,0)+ROW(),"")))</f>
        <v/>
      </c>
      <c r="U111" s="0" t="str">
        <f aca="false">IF(OR($B111="",$L111="已完成"),"",IF(ISNUMBER($B111),IF(设置!$B$6&lt;$B111,"",(设置!$B$6-$B111)*100000+ROW()),""))</f>
        <v/>
      </c>
      <c r="V111" s="0" t="str">
        <f aca="false">IF(ISNUMBER($O111),IF($O111&gt;=2,IF(COUNTIFS($D111:$D$2006,$D111,$E111:$E$2006,$E111)=1,ROW(),""),""),"")</f>
        <v/>
      </c>
    </row>
    <row r="112" customFormat="false" ht="15" hidden="false" customHeight="true" outlineLevel="0" collapsed="false">
      <c r="A112" s="13" t="str">
        <f aca="false">IF(AND($B112="",$D112="",$E112="",$F112=""),"",IF(OR($B112="",$D112="",$E112=""),"待补",IF($D112="公共区域","公",IF($D112="商铺","S",SUBSTITUTE($D112,"栋","")))&amp;"-"&amp;$E112&amp;"-"&amp;TEXT(MONTH($B112),"00")&amp;TEXT(DAY($B112),"00")&amp;IF(ISNUMBER($O112),IF($O112&gt;1,"-"&amp;TEXT($O112,"00"),""),"")))</f>
        <v>5-1104-0504</v>
      </c>
      <c r="B112" s="14" t="n">
        <v>45781</v>
      </c>
      <c r="C112" s="10" t="s">
        <v>34</v>
      </c>
      <c r="D112" s="15" t="s">
        <v>53</v>
      </c>
      <c r="E112" s="15" t="s">
        <v>288</v>
      </c>
      <c r="F112" s="16" t="s">
        <v>364</v>
      </c>
      <c r="G112" s="10" t="s">
        <v>62</v>
      </c>
      <c r="H112" s="10" t="s">
        <v>40</v>
      </c>
      <c r="I112" s="10"/>
      <c r="J112" s="15" t="s">
        <v>365</v>
      </c>
      <c r="K112" s="10"/>
      <c r="L112" s="10" t="s">
        <v>43</v>
      </c>
      <c r="M112" s="14"/>
      <c r="N112" s="17" t="str">
        <f aca="false">IF($B112="","",IF($L112="已完成",IF($M112="","",$M112-$B112),IF(设置!$B$6&lt;$B112,"",IF((设置!$B$6-$B112)&gt;=设置!$B$5,"超期"&amp;(设置!$B$6-$B112)&amp;"天","已等"&amp;(设置!$B$6-$B112)&amp;"天"))))</f>
        <v/>
      </c>
      <c r="O112" s="18" t="n">
        <f aca="false">IF(OR($D112="",$E112=""),"",COUNTIFS($D$7:$D112,$D112,$E$7:$E112,$E112))</f>
        <v>1</v>
      </c>
      <c r="P112" s="16"/>
      <c r="Q112" s="19"/>
      <c r="R112" s="10" t="s">
        <v>45</v>
      </c>
      <c r="S112" s="16"/>
      <c r="T112" s="0" t="str">
        <f aca="false">IF(OR($D112="",单元查询!$B$3=""),"",IF($D112&lt;&gt;单元查询!$B$3,"",IF(OR(单元查询!$D$3="",$E112&amp;""=单元查询!$D$3&amp;""),IF(ISNUMBER($B112),$B112*10000,0)+ROW(),"")))</f>
        <v/>
      </c>
      <c r="U112" s="0" t="str">
        <f aca="false">IF(OR($B112="",$L112="已完成"),"",IF(ISNUMBER($B112),IF(设置!$B$6&lt;$B112,"",(设置!$B$6-$B112)*100000+ROW()),""))</f>
        <v/>
      </c>
      <c r="V112" s="0" t="str">
        <f aca="false">IF(ISNUMBER($O112),IF($O112&gt;=2,IF(COUNTIFS($D112:$D$2006,$D112,$E112:$E$2006,$E112)=1,ROW(),""),""),"")</f>
        <v/>
      </c>
    </row>
    <row r="113" customFormat="false" ht="15" hidden="false" customHeight="true" outlineLevel="0" collapsed="false">
      <c r="A113" s="13" t="str">
        <f aca="false">IF(AND($B113="",$D113="",$E113="",$F113=""),"",IF(OR($B113="",$D113="",$E113=""),"待补",IF($D113="公共区域","公",IF($D113="商铺","S",SUBSTITUTE($D113,"栋","")))&amp;"-"&amp;$E113&amp;"-"&amp;TEXT(MONTH($B113),"00")&amp;TEXT(DAY($B113),"00")&amp;IF(ISNUMBER($O113),IF($O113&gt;1,"-"&amp;TEXT($O113,"00"),""),"")))</f>
        <v>11-2904-0504</v>
      </c>
      <c r="B113" s="14" t="n">
        <v>45781</v>
      </c>
      <c r="C113" s="10" t="s">
        <v>34</v>
      </c>
      <c r="D113" s="15" t="s">
        <v>113</v>
      </c>
      <c r="E113" s="15" t="s">
        <v>60</v>
      </c>
      <c r="F113" s="16" t="s">
        <v>366</v>
      </c>
      <c r="G113" s="10" t="s">
        <v>78</v>
      </c>
      <c r="H113" s="10" t="s">
        <v>40</v>
      </c>
      <c r="I113" s="10"/>
      <c r="J113" s="15" t="s">
        <v>367</v>
      </c>
      <c r="K113" s="10" t="s">
        <v>84</v>
      </c>
      <c r="L113" s="10" t="s">
        <v>51</v>
      </c>
      <c r="M113" s="14"/>
      <c r="N113" s="17" t="str">
        <f aca="false">IF($B113="","",IF($L113="已完成",IF($M113="","",$M113-$B113),IF(设置!$B$6&lt;$B113,"",IF((设置!$B$6-$B113)&gt;=设置!$B$5,"超期"&amp;(设置!$B$6-$B113)&amp;"天","已等"&amp;(设置!$B$6-$B113)&amp;"天"))))</f>
        <v>超期3天</v>
      </c>
      <c r="O113" s="18" t="n">
        <f aca="false">IF(OR($D113="",$E113=""),"",COUNTIFS($D$7:$D113,$D113,$E$7:$E113,$E113))</f>
        <v>1</v>
      </c>
      <c r="P113" s="16" t="s">
        <v>368</v>
      </c>
      <c r="Q113" s="19"/>
      <c r="R113" s="10"/>
      <c r="S113" s="16"/>
      <c r="T113" s="0" t="str">
        <f aca="false">IF(OR($D113="",单元查询!$B$3=""),"",IF($D113&lt;&gt;单元查询!$B$3,"",IF(OR(单元查询!$D$3="",$E113&amp;""=单元查询!$D$3&amp;""),IF(ISNUMBER($B113),$B113*10000,0)+ROW(),"")))</f>
        <v/>
      </c>
      <c r="U113" s="0" t="n">
        <f aca="false">IF(OR($B113="",$L113="已完成"),"",IF(ISNUMBER($B113),IF(设置!$B$6&lt;$B113,"",(设置!$B$6-$B113)*100000+ROW()),""))</f>
        <v>300113</v>
      </c>
      <c r="V113" s="0" t="str">
        <f aca="false">IF(ISNUMBER($O113),IF($O113&gt;=2,IF(COUNTIFS($D113:$D$2006,$D113,$E113:$E$2006,$E113)=1,ROW(),""),""),"")</f>
        <v/>
      </c>
    </row>
    <row r="114" customFormat="false" ht="15" hidden="false" customHeight="true" outlineLevel="0" collapsed="false">
      <c r="A114" s="13" t="str">
        <f aca="false">IF(AND($B114="",$D114="",$E114="",$F114=""),"",IF(OR($B114="",$D114="",$E114=""),"待补",IF($D114="公共区域","公",IF($D114="商铺","S",SUBSTITUTE($D114,"栋","")))&amp;"-"&amp;$E114&amp;"-"&amp;TEXT(MONTH($B114),"00")&amp;TEXT(DAY($B114),"00")&amp;IF(ISNUMBER($O114),IF($O114&gt;1,"-"&amp;TEXT($O114,"00"),""),"")))</f>
        <v>4-1603-0504</v>
      </c>
      <c r="B114" s="14" t="n">
        <v>45781</v>
      </c>
      <c r="C114" s="10" t="s">
        <v>34</v>
      </c>
      <c r="D114" s="15" t="s">
        <v>133</v>
      </c>
      <c r="E114" s="15" t="s">
        <v>369</v>
      </c>
      <c r="F114" s="16" t="s">
        <v>370</v>
      </c>
      <c r="G114" s="10" t="s">
        <v>108</v>
      </c>
      <c r="H114" s="10" t="s">
        <v>49</v>
      </c>
      <c r="I114" s="10"/>
      <c r="J114" s="15" t="s">
        <v>371</v>
      </c>
      <c r="K114" s="10"/>
      <c r="L114" s="10" t="s">
        <v>43</v>
      </c>
      <c r="M114" s="14"/>
      <c r="N114" s="17" t="str">
        <f aca="false">IF($B114="","",IF($L114="已完成",IF($M114="","",$M114-$B114),IF(设置!$B$6&lt;$B114,"",IF((设置!$B$6-$B114)&gt;=设置!$B$5,"超期"&amp;(设置!$B$6-$B114)&amp;"天","已等"&amp;(设置!$B$6-$B114)&amp;"天"))))</f>
        <v/>
      </c>
      <c r="O114" s="18" t="n">
        <f aca="false">IF(OR($D114="",$E114=""),"",COUNTIFS($D$7:$D114,$D114,$E$7:$E114,$E114))</f>
        <v>1</v>
      </c>
      <c r="P114" s="16"/>
      <c r="Q114" s="19"/>
      <c r="R114" s="10" t="s">
        <v>45</v>
      </c>
      <c r="S114" s="16" t="s">
        <v>372</v>
      </c>
      <c r="T114" s="0" t="str">
        <f aca="false">IF(OR($D114="",单元查询!$B$3=""),"",IF($D114&lt;&gt;单元查询!$B$3,"",IF(OR(单元查询!$D$3="",$E114&amp;""=单元查询!$D$3&amp;""),IF(ISNUMBER($B114),$B114*10000,0)+ROW(),"")))</f>
        <v/>
      </c>
      <c r="U114" s="0" t="str">
        <f aca="false">IF(OR($B114="",$L114="已完成"),"",IF(ISNUMBER($B114),IF(设置!$B$6&lt;$B114,"",(设置!$B$6-$B114)*100000+ROW()),""))</f>
        <v/>
      </c>
      <c r="V114" s="0" t="str">
        <f aca="false">IF(ISNUMBER($O114),IF($O114&gt;=2,IF(COUNTIFS($D114:$D$2006,$D114,$E114:$E$2006,$E114)=1,ROW(),""),""),"")</f>
        <v/>
      </c>
    </row>
    <row r="115" customFormat="false" ht="15" hidden="false" customHeight="true" outlineLevel="0" collapsed="false">
      <c r="A115" s="13" t="str">
        <f aca="false">IF(AND($B115="",$D115="",$E115="",$F115=""),"",IF(OR($B115="",$D115="",$E115=""),"待补",IF($D115="公共区域","公",IF($D115="商铺","S",SUBSTITUTE($D115,"栋","")))&amp;"-"&amp;$E115&amp;"-"&amp;TEXT(MONTH($B115),"00")&amp;TEXT(DAY($B115),"00")&amp;IF(ISNUMBER($O115),IF($O115&gt;1,"-"&amp;TEXT($O115,"00"),""),"")))</f>
        <v>7-503-0504</v>
      </c>
      <c r="B115" s="14" t="n">
        <v>45781</v>
      </c>
      <c r="C115" s="10" t="s">
        <v>34</v>
      </c>
      <c r="D115" s="15" t="s">
        <v>59</v>
      </c>
      <c r="E115" s="15" t="s">
        <v>54</v>
      </c>
      <c r="F115" s="16" t="s">
        <v>373</v>
      </c>
      <c r="G115" s="10" t="s">
        <v>62</v>
      </c>
      <c r="H115" s="10" t="s">
        <v>39</v>
      </c>
      <c r="I115" s="10"/>
      <c r="J115" s="15" t="s">
        <v>374</v>
      </c>
      <c r="K115" s="10"/>
      <c r="L115" s="10" t="s">
        <v>43</v>
      </c>
      <c r="M115" s="14"/>
      <c r="N115" s="17" t="str">
        <f aca="false">IF($B115="","",IF($L115="已完成",IF($M115="","",$M115-$B115),IF(设置!$B$6&lt;$B115,"",IF((设置!$B$6-$B115)&gt;=设置!$B$5,"超期"&amp;(设置!$B$6-$B115)&amp;"天","已等"&amp;(设置!$B$6-$B115)&amp;"天"))))</f>
        <v/>
      </c>
      <c r="O115" s="18" t="n">
        <f aca="false">IF(OR($D115="",$E115=""),"",COUNTIFS($D$7:$D115,$D115,$E$7:$E115,$E115))</f>
        <v>1</v>
      </c>
      <c r="P115" s="16"/>
      <c r="Q115" s="19"/>
      <c r="R115" s="10" t="s">
        <v>45</v>
      </c>
      <c r="S115" s="16"/>
      <c r="T115" s="0" t="str">
        <f aca="false">IF(OR($D115="",单元查询!$B$3=""),"",IF($D115&lt;&gt;单元查询!$B$3,"",IF(OR(单元查询!$D$3="",$E115&amp;""=单元查询!$D$3&amp;""),IF(ISNUMBER($B115),$B115*10000,0)+ROW(),"")))</f>
        <v/>
      </c>
      <c r="U115" s="0" t="str">
        <f aca="false">IF(OR($B115="",$L115="已完成"),"",IF(ISNUMBER($B115),IF(设置!$B$6&lt;$B115,"",(设置!$B$6-$B115)*100000+ROW()),""))</f>
        <v/>
      </c>
      <c r="V115" s="0" t="str">
        <f aca="false">IF(ISNUMBER($O115),IF($O115&gt;=2,IF(COUNTIFS($D115:$D$2006,$D115,$E115:$E$2006,$E115)=1,ROW(),""),""),"")</f>
        <v/>
      </c>
    </row>
    <row r="116" customFormat="false" ht="15" hidden="false" customHeight="true" outlineLevel="0" collapsed="false">
      <c r="A116" s="13" t="str">
        <f aca="false">IF(AND($B116="",$D116="",$E116="",$F116=""),"",IF(OR($B116="",$D116="",$E116=""),"待补",IF($D116="公共区域","公",IF($D116="商铺","S",SUBSTITUTE($D116,"栋","")))&amp;"-"&amp;$E116&amp;"-"&amp;TEXT(MONTH($B116),"00")&amp;TEXT(DAY($B116),"00")&amp;IF(ISNUMBER($O116),IF($O116&gt;1,"-"&amp;TEXT($O116,"00"),""),"")))</f>
        <v>5-货梯-0504</v>
      </c>
      <c r="B116" s="14" t="n">
        <v>45781</v>
      </c>
      <c r="C116" s="10" t="s">
        <v>149</v>
      </c>
      <c r="D116" s="15" t="s">
        <v>53</v>
      </c>
      <c r="E116" s="10" t="s">
        <v>161</v>
      </c>
      <c r="F116" s="20" t="s">
        <v>375</v>
      </c>
      <c r="G116" s="10" t="s">
        <v>38</v>
      </c>
      <c r="H116" s="10"/>
      <c r="I116" s="10"/>
      <c r="J116" s="15" t="s">
        <v>335</v>
      </c>
      <c r="K116" s="10"/>
      <c r="L116" s="10"/>
      <c r="M116" s="14"/>
      <c r="N116" s="17" t="str">
        <f aca="false">IF($B116="","",IF($L116="已完成",IF($M116="","",$M116-$B116),IF(设置!$B$6&lt;$B116,"",IF((设置!$B$6-$B116)&gt;=设置!$B$5,"超期"&amp;(设置!$B$6-$B116)&amp;"天","已等"&amp;(设置!$B$6-$B116)&amp;"天"))))</f>
        <v>超期3天</v>
      </c>
      <c r="O116" s="18" t="n">
        <f aca="false">IF(OR($D116="",$E116=""),"",COUNTIFS($D$7:$D116,$D116,$E$7:$E116,$E116))</f>
        <v>1</v>
      </c>
      <c r="P116" s="16"/>
      <c r="Q116" s="19"/>
      <c r="R116" s="10"/>
      <c r="S116" s="16"/>
      <c r="T116" s="0" t="str">
        <f aca="false">IF(OR($D116="",单元查询!$B$3=""),"",IF($D116&lt;&gt;单元查询!$B$3,"",IF(OR(单元查询!$D$3="",$E116&amp;""=单元查询!$D$3&amp;""),IF(ISNUMBER($B116),$B116*10000,0)+ROW(),"")))</f>
        <v/>
      </c>
      <c r="U116" s="0" t="n">
        <f aca="false">IF(OR($B116="",$L116="已完成"),"",IF(ISNUMBER($B116),IF(设置!$B$6&lt;$B116,"",(设置!$B$6-$B116)*100000+ROW()),""))</f>
        <v>300116</v>
      </c>
      <c r="V116" s="0" t="str">
        <f aca="false">IF(ISNUMBER($O116),IF($O116&gt;=2,IF(COUNTIFS($D116:$D$2006,$D116,$E116:$E$2006,$E116)=1,ROW(),""),""),"")</f>
        <v/>
      </c>
    </row>
    <row r="117" customFormat="false" ht="15" hidden="false" customHeight="true" outlineLevel="0" collapsed="false">
      <c r="A117" s="13" t="str">
        <f aca="false">IF(AND($B117="",$D117="",$E117="",$F117=""),"",IF(OR($B117="",$D117="",$E117=""),"待补",IF($D117="公共区域","公",IF($D117="商铺","S",SUBSTITUTE($D117,"栋","")))&amp;"-"&amp;$E117&amp;"-"&amp;TEXT(MONTH($B117),"00")&amp;TEXT(DAY($B117),"00")&amp;IF(ISNUMBER($O117),IF($O117&gt;1,"-"&amp;TEXT($O117,"00"),""),"")))</f>
        <v>5-2601-0505</v>
      </c>
      <c r="B117" s="14" t="n">
        <v>45782</v>
      </c>
      <c r="C117" s="10" t="s">
        <v>34</v>
      </c>
      <c r="D117" s="15" t="s">
        <v>53</v>
      </c>
      <c r="E117" s="15" t="s">
        <v>376</v>
      </c>
      <c r="F117" s="16" t="s">
        <v>377</v>
      </c>
      <c r="G117" s="10" t="s">
        <v>108</v>
      </c>
      <c r="H117" s="10" t="s">
        <v>39</v>
      </c>
      <c r="I117" s="10"/>
      <c r="J117" s="15" t="s">
        <v>378</v>
      </c>
      <c r="K117" s="10"/>
      <c r="L117" s="10" t="s">
        <v>43</v>
      </c>
      <c r="M117" s="14"/>
      <c r="N117" s="17" t="str">
        <f aca="false">IF($B117="","",IF($L117="已完成",IF($M117="","",$M117-$B117),IF(设置!$B$6&lt;$B117,"",IF((设置!$B$6-$B117)&gt;=设置!$B$5,"超期"&amp;(设置!$B$6-$B117)&amp;"天","已等"&amp;(设置!$B$6-$B117)&amp;"天"))))</f>
        <v/>
      </c>
      <c r="O117" s="18" t="n">
        <f aca="false">IF(OR($D117="",$E117=""),"",COUNTIFS($D$7:$D117,$D117,$E$7:$E117,$E117))</f>
        <v>1</v>
      </c>
      <c r="P117" s="16"/>
      <c r="Q117" s="19"/>
      <c r="R117" s="10" t="s">
        <v>45</v>
      </c>
      <c r="S117" s="16"/>
      <c r="T117" s="0" t="str">
        <f aca="false">IF(OR($D117="",单元查询!$B$3=""),"",IF($D117&lt;&gt;单元查询!$B$3,"",IF(OR(单元查询!$D$3="",$E117&amp;""=单元查询!$D$3&amp;""),IF(ISNUMBER($B117),$B117*10000,0)+ROW(),"")))</f>
        <v/>
      </c>
      <c r="U117" s="0" t="str">
        <f aca="false">IF(OR($B117="",$L117="已完成"),"",IF(ISNUMBER($B117),IF(设置!$B$6&lt;$B117,"",(设置!$B$6-$B117)*100000+ROW()),""))</f>
        <v/>
      </c>
      <c r="V117" s="0" t="str">
        <f aca="false">IF(ISNUMBER($O117),IF($O117&gt;=2,IF(COUNTIFS($D117:$D$2006,$D117,$E117:$E$2006,$E117)=1,ROW(),""),""),"")</f>
        <v/>
      </c>
    </row>
    <row r="118" customFormat="false" ht="15" hidden="false" customHeight="true" outlineLevel="0" collapsed="false">
      <c r="A118" s="13" t="str">
        <f aca="false">IF(AND($B118="",$D118="",$E118="",$F118=""),"",IF(OR($B118="",$D118="",$E118=""),"待补",IF($D118="公共区域","公",IF($D118="商铺","S",SUBSTITUTE($D118,"栋","")))&amp;"-"&amp;$E118&amp;"-"&amp;TEXT(MONTH($B118),"00")&amp;TEXT(DAY($B118),"00")&amp;IF(ISNUMBER($O118),IF($O118&gt;1,"-"&amp;TEXT($O118,"00"),""),"")))</f>
        <v>8-1603-0505</v>
      </c>
      <c r="B118" s="14" t="n">
        <v>45782</v>
      </c>
      <c r="C118" s="10" t="s">
        <v>34</v>
      </c>
      <c r="D118" s="15" t="s">
        <v>35</v>
      </c>
      <c r="E118" s="15" t="s">
        <v>369</v>
      </c>
      <c r="F118" s="16" t="s">
        <v>379</v>
      </c>
      <c r="G118" s="10" t="s">
        <v>78</v>
      </c>
      <c r="H118" s="10" t="s">
        <v>40</v>
      </c>
      <c r="I118" s="10"/>
      <c r="J118" s="15" t="s">
        <v>378</v>
      </c>
      <c r="K118" s="10"/>
      <c r="L118" s="10" t="s">
        <v>43</v>
      </c>
      <c r="M118" s="14"/>
      <c r="N118" s="17" t="str">
        <f aca="false">IF($B118="","",IF($L118="已完成",IF($M118="","",$M118-$B118),IF(设置!$B$6&lt;$B118,"",IF((设置!$B$6-$B118)&gt;=设置!$B$5,"超期"&amp;(设置!$B$6-$B118)&amp;"天","已等"&amp;(设置!$B$6-$B118)&amp;"天"))))</f>
        <v/>
      </c>
      <c r="O118" s="18" t="n">
        <f aca="false">IF(OR($D118="",$E118=""),"",COUNTIFS($D$7:$D118,$D118,$E$7:$E118,$E118))</f>
        <v>1</v>
      </c>
      <c r="P118" s="16" t="s">
        <v>380</v>
      </c>
      <c r="Q118" s="19"/>
      <c r="R118" s="10" t="s">
        <v>45</v>
      </c>
      <c r="S118" s="16"/>
      <c r="T118" s="0" t="str">
        <f aca="false">IF(OR($D118="",单元查询!$B$3=""),"",IF($D118&lt;&gt;单元查询!$B$3,"",IF(OR(单元查询!$D$3="",$E118&amp;""=单元查询!$D$3&amp;""),IF(ISNUMBER($B118),$B118*10000,0)+ROW(),"")))</f>
        <v/>
      </c>
      <c r="U118" s="0" t="str">
        <f aca="false">IF(OR($B118="",$L118="已完成"),"",IF(ISNUMBER($B118),IF(设置!$B$6&lt;$B118,"",(设置!$B$6-$B118)*100000+ROW()),""))</f>
        <v/>
      </c>
      <c r="V118" s="0" t="str">
        <f aca="false">IF(ISNUMBER($O118),IF($O118&gt;=2,IF(COUNTIFS($D118:$D$2006,$D118,$E118:$E$2006,$E118)=1,ROW(),""),""),"")</f>
        <v/>
      </c>
    </row>
    <row r="119" customFormat="false" ht="15" hidden="false" customHeight="true" outlineLevel="0" collapsed="false">
      <c r="A119" s="13" t="str">
        <f aca="false">IF(AND($B119="",$D119="",$E119="",$F119=""),"",IF(OR($B119="",$D119="",$E119=""),"待补",IF($D119="公共区域","公",IF($D119="商铺","S",SUBSTITUTE($D119,"栋","")))&amp;"-"&amp;$E119&amp;"-"&amp;TEXT(MONTH($B119),"00")&amp;TEXT(DAY($B119),"00")&amp;IF(ISNUMBER($O119),IF($O119&gt;1,"-"&amp;TEXT($O119,"00"),""),"")))</f>
        <v>2-2101-0505</v>
      </c>
      <c r="B119" s="14" t="n">
        <v>45782</v>
      </c>
      <c r="C119" s="10" t="s">
        <v>34</v>
      </c>
      <c r="D119" s="15" t="s">
        <v>129</v>
      </c>
      <c r="E119" s="15" t="s">
        <v>226</v>
      </c>
      <c r="F119" s="16" t="s">
        <v>381</v>
      </c>
      <c r="G119" s="10" t="s">
        <v>62</v>
      </c>
      <c r="H119" s="10" t="s">
        <v>39</v>
      </c>
      <c r="I119" s="10"/>
      <c r="J119" s="15" t="s">
        <v>378</v>
      </c>
      <c r="K119" s="10" t="s">
        <v>79</v>
      </c>
      <c r="L119" s="10" t="s">
        <v>43</v>
      </c>
      <c r="M119" s="14"/>
      <c r="N119" s="17" t="str">
        <f aca="false">IF($B119="","",IF($L119="已完成",IF($M119="","",$M119-$B119),IF(设置!$B$6&lt;$B119,"",IF((设置!$B$6-$B119)&gt;=设置!$B$5,"超期"&amp;(设置!$B$6-$B119)&amp;"天","已等"&amp;(设置!$B$6-$B119)&amp;"天"))))</f>
        <v/>
      </c>
      <c r="O119" s="18" t="n">
        <f aca="false">IF(OR($D119="",$E119=""),"",COUNTIFS($D$7:$D119,$D119,$E$7:$E119,$E119))</f>
        <v>1</v>
      </c>
      <c r="P119" s="16"/>
      <c r="Q119" s="19"/>
      <c r="R119" s="10" t="s">
        <v>45</v>
      </c>
      <c r="S119" s="16"/>
      <c r="T119" s="0" t="str">
        <f aca="false">IF(OR($D119="",单元查询!$B$3=""),"",IF($D119&lt;&gt;单元查询!$B$3,"",IF(OR(单元查询!$D$3="",$E119&amp;""=单元查询!$D$3&amp;""),IF(ISNUMBER($B119),$B119*10000,0)+ROW(),"")))</f>
        <v/>
      </c>
      <c r="U119" s="0" t="str">
        <f aca="false">IF(OR($B119="",$L119="已完成"),"",IF(ISNUMBER($B119),IF(设置!$B$6&lt;$B119,"",(设置!$B$6-$B119)*100000+ROW()),""))</f>
        <v/>
      </c>
      <c r="V119" s="0" t="str">
        <f aca="false">IF(ISNUMBER($O119),IF($O119&gt;=2,IF(COUNTIFS($D119:$D$2006,$D119,$E119:$E$2006,$E119)=1,ROW(),""),""),"")</f>
        <v/>
      </c>
    </row>
    <row r="120" customFormat="false" ht="15" hidden="false" customHeight="true" outlineLevel="0" collapsed="false">
      <c r="A120" s="13" t="str">
        <f aca="false">IF(AND($B120="",$D120="",$E120="",$F120=""),"",IF(OR($B120="",$D120="",$E120=""),"待补",IF($D120="公共区域","公",IF($D120="商铺","S",SUBSTITUTE($D120,"栋","")))&amp;"-"&amp;$E120&amp;"-"&amp;TEXT(MONTH($B120),"00")&amp;TEXT(DAY($B120),"00")&amp;IF(ISNUMBER($O120),IF($O120&gt;1,"-"&amp;TEXT($O120,"00"),""),"")))</f>
        <v>10-2802-0505</v>
      </c>
      <c r="B120" s="14" t="n">
        <v>45782</v>
      </c>
      <c r="C120" s="10" t="s">
        <v>34</v>
      </c>
      <c r="D120" s="15" t="s">
        <v>95</v>
      </c>
      <c r="E120" s="15" t="s">
        <v>323</v>
      </c>
      <c r="F120" s="16" t="s">
        <v>382</v>
      </c>
      <c r="G120" s="10" t="s">
        <v>38</v>
      </c>
      <c r="H120" s="10" t="s">
        <v>39</v>
      </c>
      <c r="I120" s="10"/>
      <c r="J120" s="15" t="s">
        <v>383</v>
      </c>
      <c r="K120" s="10"/>
      <c r="L120" s="10" t="s">
        <v>43</v>
      </c>
      <c r="M120" s="14"/>
      <c r="N120" s="17" t="str">
        <f aca="false">IF($B120="","",IF($L120="已完成",IF($M120="","",$M120-$B120),IF(设置!$B$6&lt;$B120,"",IF((设置!$B$6-$B120)&gt;=设置!$B$5,"超期"&amp;(设置!$B$6-$B120)&amp;"天","已等"&amp;(设置!$B$6-$B120)&amp;"天"))))</f>
        <v/>
      </c>
      <c r="O120" s="18" t="n">
        <f aca="false">IF(OR($D120="",$E120=""),"",COUNTIFS($D$7:$D120,$D120,$E$7:$E120,$E120))</f>
        <v>1</v>
      </c>
      <c r="P120" s="16" t="s">
        <v>384</v>
      </c>
      <c r="Q120" s="19"/>
      <c r="R120" s="10" t="s">
        <v>45</v>
      </c>
      <c r="S120" s="16"/>
      <c r="T120" s="0" t="str">
        <f aca="false">IF(OR($D120="",单元查询!$B$3=""),"",IF($D120&lt;&gt;单元查询!$B$3,"",IF(OR(单元查询!$D$3="",$E120&amp;""=单元查询!$D$3&amp;""),IF(ISNUMBER($B120),$B120*10000,0)+ROW(),"")))</f>
        <v/>
      </c>
      <c r="U120" s="0" t="str">
        <f aca="false">IF(OR($B120="",$L120="已完成"),"",IF(ISNUMBER($B120),IF(设置!$B$6&lt;$B120,"",(设置!$B$6-$B120)*100000+ROW()),""))</f>
        <v/>
      </c>
      <c r="V120" s="0" t="str">
        <f aca="false">IF(ISNUMBER($O120),IF($O120&gt;=2,IF(COUNTIFS($D120:$D$2006,$D120,$E120:$E$2006,$E120)=1,ROW(),""),""),"")</f>
        <v/>
      </c>
    </row>
    <row r="121" customFormat="false" ht="15" hidden="false" customHeight="true" outlineLevel="0" collapsed="false">
      <c r="A121" s="13" t="str">
        <f aca="false">IF(AND($B121="",$D121="",$E121="",$F121=""),"",IF(OR($B121="",$D121="",$E121=""),"待补",IF($D121="公共区域","公",IF($D121="商铺","S",SUBSTITUTE($D121,"栋","")))&amp;"-"&amp;$E121&amp;"-"&amp;TEXT(MONTH($B121),"00")&amp;TEXT(DAY($B121),"00")&amp;IF(ISNUMBER($O121),IF($O121&gt;1,"-"&amp;TEXT($O121,"00"),""),"")))</f>
        <v>6-403-0505</v>
      </c>
      <c r="B121" s="14" t="n">
        <v>45782</v>
      </c>
      <c r="C121" s="10" t="s">
        <v>34</v>
      </c>
      <c r="D121" s="15" t="s">
        <v>46</v>
      </c>
      <c r="E121" s="15" t="s">
        <v>36</v>
      </c>
      <c r="F121" s="16" t="s">
        <v>385</v>
      </c>
      <c r="G121" s="10" t="s">
        <v>62</v>
      </c>
      <c r="H121" s="10" t="s">
        <v>157</v>
      </c>
      <c r="I121" s="10"/>
      <c r="J121" s="15" t="s">
        <v>386</v>
      </c>
      <c r="K121" s="10"/>
      <c r="L121" s="10" t="s">
        <v>43</v>
      </c>
      <c r="M121" s="14"/>
      <c r="N121" s="17" t="str">
        <f aca="false">IF($B121="","",IF($L121="已完成",IF($M121="","",$M121-$B121),IF(设置!$B$6&lt;$B121,"",IF((设置!$B$6-$B121)&gt;=设置!$B$5,"超期"&amp;(设置!$B$6-$B121)&amp;"天","已等"&amp;(设置!$B$6-$B121)&amp;"天"))))</f>
        <v/>
      </c>
      <c r="O121" s="18" t="n">
        <f aca="false">IF(OR($D121="",$E121=""),"",COUNTIFS($D$7:$D121,$D121,$E$7:$E121,$E121))</f>
        <v>1</v>
      </c>
      <c r="P121" s="16"/>
      <c r="Q121" s="19"/>
      <c r="R121" s="10" t="s">
        <v>65</v>
      </c>
      <c r="S121" s="16"/>
      <c r="T121" s="0" t="n">
        <f aca="false">IF(OR($D121="",单元查询!$B$3=""),"",IF($D121&lt;&gt;单元查询!$B$3,"",IF(OR(单元查询!$D$3="",$E121&amp;""=单元查询!$D$3&amp;""),IF(ISNUMBER($B121),$B121*10000,0)+ROW(),"")))</f>
        <v>457820121</v>
      </c>
      <c r="U121" s="0" t="str">
        <f aca="false">IF(OR($B121="",$L121="已完成"),"",IF(ISNUMBER($B121),IF(设置!$B$6&lt;$B121,"",(设置!$B$6-$B121)*100000+ROW()),""))</f>
        <v/>
      </c>
      <c r="V121" s="0" t="str">
        <f aca="false">IF(ISNUMBER($O121),IF($O121&gt;=2,IF(COUNTIFS($D121:$D$2006,$D121,$E121:$E$2006,$E121)=1,ROW(),""),""),"")</f>
        <v/>
      </c>
    </row>
    <row r="122" customFormat="false" ht="15" hidden="false" customHeight="true" outlineLevel="0" collapsed="false">
      <c r="A122" s="13" t="str">
        <f aca="false">IF(AND($B122="",$D122="",$E122="",$F122=""),"",IF(OR($B122="",$D122="",$E122=""),"待补",IF($D122="公共区域","公",IF($D122="商铺","S",SUBSTITUTE($D122,"栋","")))&amp;"-"&amp;$E122&amp;"-"&amp;TEXT(MONTH($B122),"00")&amp;TEXT(DAY($B122),"00")&amp;IF(ISNUMBER($O122),IF($O122&gt;1,"-"&amp;TEXT($O122,"00"),""),"")))</f>
        <v>3-203-0505</v>
      </c>
      <c r="B122" s="14" t="n">
        <v>45782</v>
      </c>
      <c r="C122" s="10" t="s">
        <v>34</v>
      </c>
      <c r="D122" s="15" t="s">
        <v>126</v>
      </c>
      <c r="E122" s="15" t="s">
        <v>387</v>
      </c>
      <c r="F122" s="16" t="s">
        <v>388</v>
      </c>
      <c r="G122" s="10" t="s">
        <v>62</v>
      </c>
      <c r="H122" s="10" t="s">
        <v>40</v>
      </c>
      <c r="I122" s="10"/>
      <c r="J122" s="15" t="s">
        <v>389</v>
      </c>
      <c r="K122" s="10"/>
      <c r="L122" s="10" t="s">
        <v>43</v>
      </c>
      <c r="M122" s="14"/>
      <c r="N122" s="17" t="str">
        <f aca="false">IF($B122="","",IF($L122="已完成",IF($M122="","",$M122-$B122),IF(设置!$B$6&lt;$B122,"",IF((设置!$B$6-$B122)&gt;=设置!$B$5,"超期"&amp;(设置!$B$6-$B122)&amp;"天","已等"&amp;(设置!$B$6-$B122)&amp;"天"))))</f>
        <v/>
      </c>
      <c r="O122" s="18" t="n">
        <f aca="false">IF(OR($D122="",$E122=""),"",COUNTIFS($D$7:$D122,$D122,$E$7:$E122,$E122))</f>
        <v>1</v>
      </c>
      <c r="P122" s="16" t="s">
        <v>390</v>
      </c>
      <c r="Q122" s="19"/>
      <c r="R122" s="10" t="s">
        <v>45</v>
      </c>
      <c r="S122" s="16"/>
      <c r="T122" s="0" t="str">
        <f aca="false">IF(OR($D122="",单元查询!$B$3=""),"",IF($D122&lt;&gt;单元查询!$B$3,"",IF(OR(单元查询!$D$3="",$E122&amp;""=单元查询!$D$3&amp;""),IF(ISNUMBER($B122),$B122*10000,0)+ROW(),"")))</f>
        <v/>
      </c>
      <c r="U122" s="0" t="str">
        <f aca="false">IF(OR($B122="",$L122="已完成"),"",IF(ISNUMBER($B122),IF(设置!$B$6&lt;$B122,"",(设置!$B$6-$B122)*100000+ROW()),""))</f>
        <v/>
      </c>
      <c r="V122" s="0" t="str">
        <f aca="false">IF(ISNUMBER($O122),IF($O122&gt;=2,IF(COUNTIFS($D122:$D$2006,$D122,$E122:$E$2006,$E122)=1,ROW(),""),""),"")</f>
        <v/>
      </c>
    </row>
    <row r="123" customFormat="false" ht="15" hidden="false" customHeight="true" outlineLevel="0" collapsed="false">
      <c r="A123" s="13" t="str">
        <f aca="false">IF(AND($B123="",$D123="",$E123="",$F123=""),"",IF(OR($B123="",$D123="",$E123=""),"待补",IF($D123="公共区域","公",IF($D123="商铺","S",SUBSTITUTE($D123,"栋","")))&amp;"-"&amp;$E123&amp;"-"&amp;TEXT(MONTH($B123),"00")&amp;TEXT(DAY($B123),"00")&amp;IF(ISNUMBER($O123),IF($O123&gt;1,"-"&amp;TEXT($O123,"00"),""),"")))</f>
        <v>9-1603-0505</v>
      </c>
      <c r="B123" s="14" t="n">
        <v>45782</v>
      </c>
      <c r="C123" s="10" t="s">
        <v>34</v>
      </c>
      <c r="D123" s="15" t="s">
        <v>98</v>
      </c>
      <c r="E123" s="15" t="s">
        <v>369</v>
      </c>
      <c r="F123" s="16" t="s">
        <v>391</v>
      </c>
      <c r="G123" s="10" t="s">
        <v>120</v>
      </c>
      <c r="H123" s="10" t="s">
        <v>39</v>
      </c>
      <c r="I123" s="10"/>
      <c r="J123" s="15" t="s">
        <v>392</v>
      </c>
      <c r="K123" s="10"/>
      <c r="L123" s="10" t="s">
        <v>43</v>
      </c>
      <c r="M123" s="14"/>
      <c r="N123" s="17" t="str">
        <f aca="false">IF($B123="","",IF($L123="已完成",IF($M123="","",$M123-$B123),IF(设置!$B$6&lt;$B123,"",IF((设置!$B$6-$B123)&gt;=设置!$B$5,"超期"&amp;(设置!$B$6-$B123)&amp;"天","已等"&amp;(设置!$B$6-$B123)&amp;"天"))))</f>
        <v/>
      </c>
      <c r="O123" s="18" t="n">
        <f aca="false">IF(OR($D123="",$E123=""),"",COUNTIFS($D$7:$D123,$D123,$E$7:$E123,$E123))</f>
        <v>1</v>
      </c>
      <c r="P123" s="16"/>
      <c r="Q123" s="19"/>
      <c r="R123" s="10" t="s">
        <v>45</v>
      </c>
      <c r="S123" s="16"/>
      <c r="T123" s="0" t="str">
        <f aca="false">IF(OR($D123="",单元查询!$B$3=""),"",IF($D123&lt;&gt;单元查询!$B$3,"",IF(OR(单元查询!$D$3="",$E123&amp;""=单元查询!$D$3&amp;""),IF(ISNUMBER($B123),$B123*10000,0)+ROW(),"")))</f>
        <v/>
      </c>
      <c r="U123" s="0" t="str">
        <f aca="false">IF(OR($B123="",$L123="已完成"),"",IF(ISNUMBER($B123),IF(设置!$B$6&lt;$B123,"",(设置!$B$6-$B123)*100000+ROW()),""))</f>
        <v/>
      </c>
      <c r="V123" s="0" t="str">
        <f aca="false">IF(ISNUMBER($O123),IF($O123&gt;=2,IF(COUNTIFS($D123:$D$2006,$D123,$E123:$E$2006,$E123)=1,ROW(),""),""),"")</f>
        <v/>
      </c>
    </row>
    <row r="124" customFormat="false" ht="15" hidden="false" customHeight="true" outlineLevel="0" collapsed="false">
      <c r="A124" s="13" t="str">
        <f aca="false">IF(AND($B124="",$D124="",$E124="",$F124=""),"",IF(OR($B124="",$D124="",$E124=""),"待补",IF($D124="公共区域","公",IF($D124="商铺","S",SUBSTITUTE($D124,"栋","")))&amp;"-"&amp;$E124&amp;"-"&amp;TEXT(MONTH($B124),"00")&amp;TEXT(DAY($B124),"00")&amp;IF(ISNUMBER($O124),IF($O124&gt;1,"-"&amp;TEXT($O124,"00"),""),"")))</f>
        <v>5-2802-0505</v>
      </c>
      <c r="B124" s="14" t="n">
        <v>45782</v>
      </c>
      <c r="C124" s="10" t="s">
        <v>34</v>
      </c>
      <c r="D124" s="15" t="s">
        <v>53</v>
      </c>
      <c r="E124" s="15" t="s">
        <v>323</v>
      </c>
      <c r="F124" s="16" t="s">
        <v>393</v>
      </c>
      <c r="G124" s="10" t="s">
        <v>78</v>
      </c>
      <c r="H124" s="10" t="s">
        <v>156</v>
      </c>
      <c r="I124" s="10"/>
      <c r="J124" s="15" t="s">
        <v>394</v>
      </c>
      <c r="K124" s="10" t="s">
        <v>42</v>
      </c>
      <c r="L124" s="10" t="s">
        <v>43</v>
      </c>
      <c r="M124" s="14"/>
      <c r="N124" s="17" t="str">
        <f aca="false">IF($B124="","",IF($L124="已完成",IF($M124="","",$M124-$B124),IF(设置!$B$6&lt;$B124,"",IF((设置!$B$6-$B124)&gt;=设置!$B$5,"超期"&amp;(设置!$B$6-$B124)&amp;"天","已等"&amp;(设置!$B$6-$B124)&amp;"天"))))</f>
        <v/>
      </c>
      <c r="O124" s="18" t="n">
        <f aca="false">IF(OR($D124="",$E124=""),"",COUNTIFS($D$7:$D124,$D124,$E$7:$E124,$E124))</f>
        <v>1</v>
      </c>
      <c r="P124" s="16" t="s">
        <v>395</v>
      </c>
      <c r="Q124" s="19"/>
      <c r="R124" s="10"/>
      <c r="S124" s="16"/>
      <c r="T124" s="0" t="str">
        <f aca="false">IF(OR($D124="",单元查询!$B$3=""),"",IF($D124&lt;&gt;单元查询!$B$3,"",IF(OR(单元查询!$D$3="",$E124&amp;""=单元查询!$D$3&amp;""),IF(ISNUMBER($B124),$B124*10000,0)+ROW(),"")))</f>
        <v/>
      </c>
      <c r="U124" s="0" t="str">
        <f aca="false">IF(OR($B124="",$L124="已完成"),"",IF(ISNUMBER($B124),IF(设置!$B$6&lt;$B124,"",(设置!$B$6-$B124)*100000+ROW()),""))</f>
        <v/>
      </c>
      <c r="V124" s="0" t="str">
        <f aca="false">IF(ISNUMBER($O124),IF($O124&gt;=2,IF(COUNTIFS($D124:$D$2006,$D124,$E124:$E$2006,$E124)=1,ROW(),""),""),"")</f>
        <v/>
      </c>
    </row>
    <row r="125" customFormat="false" ht="15" hidden="false" customHeight="true" outlineLevel="0" collapsed="false">
      <c r="A125" s="13" t="str">
        <f aca="false">IF(AND($B125="",$D125="",$E125="",$F125=""),"",IF(OR($B125="",$D125="",$E125=""),"待补",IF($D125="公共区域","公",IF($D125="商铺","S",SUBSTITUTE($D125,"栋","")))&amp;"-"&amp;$E125&amp;"-"&amp;TEXT(MONTH($B125),"00")&amp;TEXT(DAY($B125),"00")&amp;IF(ISNUMBER($O125),IF($O125&gt;1,"-"&amp;TEXT($O125,"00"),""),"")))</f>
        <v>11-803-0506</v>
      </c>
      <c r="B125" s="14" t="n">
        <v>45783</v>
      </c>
      <c r="C125" s="10" t="s">
        <v>34</v>
      </c>
      <c r="D125" s="15" t="s">
        <v>113</v>
      </c>
      <c r="E125" s="15" t="s">
        <v>396</v>
      </c>
      <c r="F125" s="16" t="s">
        <v>397</v>
      </c>
      <c r="G125" s="10" t="s">
        <v>120</v>
      </c>
      <c r="H125" s="10" t="s">
        <v>39</v>
      </c>
      <c r="I125" s="10"/>
      <c r="J125" s="15" t="s">
        <v>398</v>
      </c>
      <c r="K125" s="10"/>
      <c r="L125" s="10" t="s">
        <v>43</v>
      </c>
      <c r="M125" s="14"/>
      <c r="N125" s="17" t="str">
        <f aca="false">IF($B125="","",IF($L125="已完成",IF($M125="","",$M125-$B125),IF(设置!$B$6&lt;$B125,"",IF((设置!$B$6-$B125)&gt;=设置!$B$5,"超期"&amp;(设置!$B$6-$B125)&amp;"天","已等"&amp;(设置!$B$6-$B125)&amp;"天"))))</f>
        <v/>
      </c>
      <c r="O125" s="18" t="n">
        <f aca="false">IF(OR($D125="",$E125=""),"",COUNTIFS($D$7:$D125,$D125,$E$7:$E125,$E125))</f>
        <v>1</v>
      </c>
      <c r="P125" s="16"/>
      <c r="Q125" s="19"/>
      <c r="R125" s="10" t="s">
        <v>45</v>
      </c>
      <c r="S125" s="16"/>
      <c r="T125" s="0" t="str">
        <f aca="false">IF(OR($D125="",单元查询!$B$3=""),"",IF($D125&lt;&gt;单元查询!$B$3,"",IF(OR(单元查询!$D$3="",$E125&amp;""=单元查询!$D$3&amp;""),IF(ISNUMBER($B125),$B125*10000,0)+ROW(),"")))</f>
        <v/>
      </c>
      <c r="U125" s="0" t="str">
        <f aca="false">IF(OR($B125="",$L125="已完成"),"",IF(ISNUMBER($B125),IF(设置!$B$6&lt;$B125,"",(设置!$B$6-$B125)*100000+ROW()),""))</f>
        <v/>
      </c>
      <c r="V125" s="0" t="str">
        <f aca="false">IF(ISNUMBER($O125),IF($O125&gt;=2,IF(COUNTIFS($D125:$D$2006,$D125,$E125:$E$2006,$E125)=1,ROW(),""),""),"")</f>
        <v/>
      </c>
    </row>
    <row r="126" customFormat="false" ht="29.25" hidden="false" customHeight="true" outlineLevel="0" collapsed="false">
      <c r="A126" s="13" t="str">
        <f aca="false">IF(AND($B126="",$D126="",$E126="",$F126=""),"",IF(OR($B126="",$D126="",$E126=""),"待补",IF($D126="公共区域","公",IF($D126="商铺","S",SUBSTITUTE($D126,"栋","")))&amp;"-"&amp;$E126&amp;"-"&amp;TEXT(MONTH($B126),"00")&amp;TEXT(DAY($B126),"00")&amp;IF(ISNUMBER($O126),IF($O126&gt;1,"-"&amp;TEXT($O126,"00"),""),"")))</f>
        <v>1-2101-0506</v>
      </c>
      <c r="B126" s="14" t="n">
        <v>45783</v>
      </c>
      <c r="C126" s="10" t="s">
        <v>34</v>
      </c>
      <c r="D126" s="15" t="s">
        <v>102</v>
      </c>
      <c r="E126" s="15" t="s">
        <v>226</v>
      </c>
      <c r="F126" s="16" t="s">
        <v>399</v>
      </c>
      <c r="G126" s="10" t="s">
        <v>120</v>
      </c>
      <c r="H126" s="10" t="s">
        <v>356</v>
      </c>
      <c r="I126" s="10"/>
      <c r="J126" s="15" t="s">
        <v>400</v>
      </c>
      <c r="K126" s="10"/>
      <c r="L126" s="10" t="s">
        <v>43</v>
      </c>
      <c r="M126" s="14"/>
      <c r="N126" s="17" t="str">
        <f aca="false">IF($B126="","",IF($L126="已完成",IF($M126="","",$M126-$B126),IF(设置!$B$6&lt;$B126,"",IF((设置!$B$6-$B126)&gt;=设置!$B$5,"超期"&amp;(设置!$B$6-$B126)&amp;"天","已等"&amp;(设置!$B$6-$B126)&amp;"天"))))</f>
        <v/>
      </c>
      <c r="O126" s="18" t="n">
        <f aca="false">IF(OR($D126="",$E126=""),"",COUNTIFS($D$7:$D126,$D126,$E$7:$E126,$E126))</f>
        <v>1</v>
      </c>
      <c r="P126" s="16"/>
      <c r="Q126" s="19"/>
      <c r="R126" s="10" t="s">
        <v>65</v>
      </c>
      <c r="S126" s="16"/>
      <c r="T126" s="0" t="str">
        <f aca="false">IF(OR($D126="",单元查询!$B$3=""),"",IF($D126&lt;&gt;单元查询!$B$3,"",IF(OR(单元查询!$D$3="",$E126&amp;""=单元查询!$D$3&amp;""),IF(ISNUMBER($B126),$B126*10000,0)+ROW(),"")))</f>
        <v/>
      </c>
      <c r="U126" s="0" t="str">
        <f aca="false">IF(OR($B126="",$L126="已完成"),"",IF(ISNUMBER($B126),IF(设置!$B$6&lt;$B126,"",(设置!$B$6-$B126)*100000+ROW()),""))</f>
        <v/>
      </c>
      <c r="V126" s="0" t="str">
        <f aca="false">IF(ISNUMBER($O126),IF($O126&gt;=2,IF(COUNTIFS($D126:$D$2006,$D126,$E126:$E$2006,$E126)=1,ROW(),""),""),"")</f>
        <v/>
      </c>
    </row>
    <row r="127" customFormat="false" ht="15" hidden="false" customHeight="true" outlineLevel="0" collapsed="false">
      <c r="A127" s="13" t="str">
        <f aca="false">IF(AND($B127="",$D127="",$E127="",$F127=""),"",IF(OR($B127="",$D127="",$E127=""),"待补",IF($D127="公共区域","公",IF($D127="商铺","S",SUBSTITUTE($D127,"栋","")))&amp;"-"&amp;$E127&amp;"-"&amp;TEXT(MONTH($B127),"00")&amp;TEXT(DAY($B127),"00")&amp;IF(ISNUMBER($O127),IF($O127&gt;1,"-"&amp;TEXT($O127,"00"),""),"")))</f>
        <v>4-2604-0506</v>
      </c>
      <c r="B127" s="14" t="n">
        <v>45783</v>
      </c>
      <c r="C127" s="10" t="s">
        <v>34</v>
      </c>
      <c r="D127" s="15" t="s">
        <v>133</v>
      </c>
      <c r="E127" s="15" t="s">
        <v>130</v>
      </c>
      <c r="F127" s="16" t="s">
        <v>401</v>
      </c>
      <c r="G127" s="10" t="s">
        <v>78</v>
      </c>
      <c r="H127" s="10" t="s">
        <v>39</v>
      </c>
      <c r="I127" s="10"/>
      <c r="J127" s="15" t="s">
        <v>402</v>
      </c>
      <c r="K127" s="10"/>
      <c r="L127" s="10" t="s">
        <v>43</v>
      </c>
      <c r="M127" s="14"/>
      <c r="N127" s="17" t="str">
        <f aca="false">IF($B127="","",IF($L127="已完成",IF($M127="","",$M127-$B127),IF(设置!$B$6&lt;$B127,"",IF((设置!$B$6-$B127)&gt;=设置!$B$5,"超期"&amp;(设置!$B$6-$B127)&amp;"天","已等"&amp;(设置!$B$6-$B127)&amp;"天"))))</f>
        <v/>
      </c>
      <c r="O127" s="18" t="n">
        <f aca="false">IF(OR($D127="",$E127=""),"",COUNTIFS($D$7:$D127,$D127,$E$7:$E127,$E127))</f>
        <v>1</v>
      </c>
      <c r="P127" s="16"/>
      <c r="Q127" s="19"/>
      <c r="R127" s="10" t="s">
        <v>45</v>
      </c>
      <c r="S127" s="16"/>
      <c r="T127" s="0" t="str">
        <f aca="false">IF(OR($D127="",单元查询!$B$3=""),"",IF($D127&lt;&gt;单元查询!$B$3,"",IF(OR(单元查询!$D$3="",$E127&amp;""=单元查询!$D$3&amp;""),IF(ISNUMBER($B127),$B127*10000,0)+ROW(),"")))</f>
        <v/>
      </c>
      <c r="U127" s="0" t="str">
        <f aca="false">IF(OR($B127="",$L127="已完成"),"",IF(ISNUMBER($B127),IF(设置!$B$6&lt;$B127,"",(设置!$B$6-$B127)*100000+ROW()),""))</f>
        <v/>
      </c>
      <c r="V127" s="0" t="str">
        <f aca="false">IF(ISNUMBER($O127),IF($O127&gt;=2,IF(COUNTIFS($D127:$D$2006,$D127,$E127:$E$2006,$E127)=1,ROW(),""),""),"")</f>
        <v/>
      </c>
    </row>
    <row r="128" customFormat="false" ht="15" hidden="false" customHeight="true" outlineLevel="0" collapsed="false">
      <c r="A128" s="13" t="str">
        <f aca="false">IF(AND($B128="",$D128="",$E128="",$F128=""),"",IF(OR($B128="",$D128="",$E128=""),"待补",IF($D128="公共区域","公",IF($D128="商铺","S",SUBSTITUTE($D128,"栋","")))&amp;"-"&amp;$E128&amp;"-"&amp;TEXT(MONTH($B128),"00")&amp;TEXT(DAY($B128),"00")&amp;IF(ISNUMBER($O128),IF($O128&gt;1,"-"&amp;TEXT($O128,"00"),""),"")))</f>
        <v>1-2604-0506</v>
      </c>
      <c r="B128" s="14" t="n">
        <v>45783</v>
      </c>
      <c r="C128" s="10" t="s">
        <v>34</v>
      </c>
      <c r="D128" s="15" t="s">
        <v>102</v>
      </c>
      <c r="E128" s="15" t="s">
        <v>130</v>
      </c>
      <c r="F128" s="16" t="s">
        <v>403</v>
      </c>
      <c r="G128" s="10" t="s">
        <v>108</v>
      </c>
      <c r="H128" s="10" t="s">
        <v>356</v>
      </c>
      <c r="I128" s="10"/>
      <c r="J128" s="15" t="s">
        <v>404</v>
      </c>
      <c r="K128" s="10"/>
      <c r="L128" s="10" t="s">
        <v>43</v>
      </c>
      <c r="M128" s="14"/>
      <c r="N128" s="17" t="str">
        <f aca="false">IF($B128="","",IF($L128="已完成",IF($M128="","",$M128-$B128),IF(设置!$B$6&lt;$B128,"",IF((设置!$B$6-$B128)&gt;=设置!$B$5,"超期"&amp;(设置!$B$6-$B128)&amp;"天","已等"&amp;(设置!$B$6-$B128)&amp;"天"))))</f>
        <v/>
      </c>
      <c r="O128" s="18" t="n">
        <f aca="false">IF(OR($D128="",$E128=""),"",COUNTIFS($D$7:$D128,$D128,$E$7:$E128,$E128))</f>
        <v>1</v>
      </c>
      <c r="P128" s="16"/>
      <c r="Q128" s="19"/>
      <c r="R128" s="10" t="s">
        <v>45</v>
      </c>
      <c r="S128" s="16"/>
      <c r="T128" s="0" t="str">
        <f aca="false">IF(OR($D128="",单元查询!$B$3=""),"",IF($D128&lt;&gt;单元查询!$B$3,"",IF(OR(单元查询!$D$3="",$E128&amp;""=单元查询!$D$3&amp;""),IF(ISNUMBER($B128),$B128*10000,0)+ROW(),"")))</f>
        <v/>
      </c>
      <c r="U128" s="0" t="str">
        <f aca="false">IF(OR($B128="",$L128="已完成"),"",IF(ISNUMBER($B128),IF(设置!$B$6&lt;$B128,"",(设置!$B$6-$B128)*100000+ROW()),""))</f>
        <v/>
      </c>
      <c r="V128" s="0" t="str">
        <f aca="false">IF(ISNUMBER($O128),IF($O128&gt;=2,IF(COUNTIFS($D128:$D$2006,$D128,$E128:$E$2006,$E128)=1,ROW(),""),""),"")</f>
        <v/>
      </c>
    </row>
    <row r="129" customFormat="false" ht="29.25" hidden="false" customHeight="true" outlineLevel="0" collapsed="false">
      <c r="A129" s="13" t="str">
        <f aca="false">IF(AND($B129="",$D129="",$E129="",$F129=""),"",IF(OR($B129="",$D129="",$E129=""),"待补",IF($D129="公共区域","公",IF($D129="商铺","S",SUBSTITUTE($D129,"栋","")))&amp;"-"&amp;$E129&amp;"-"&amp;TEXT(MONTH($B129),"00")&amp;TEXT(DAY($B129),"00")&amp;IF(ISNUMBER($O129),IF($O129&gt;1,"-"&amp;TEXT($O129,"00"),""),"")))</f>
        <v>5-702-0506</v>
      </c>
      <c r="B129" s="14" t="n">
        <v>45783</v>
      </c>
      <c r="C129" s="10" t="s">
        <v>34</v>
      </c>
      <c r="D129" s="15" t="s">
        <v>53</v>
      </c>
      <c r="E129" s="15" t="s">
        <v>238</v>
      </c>
      <c r="F129" s="16" t="s">
        <v>405</v>
      </c>
      <c r="G129" s="10" t="s">
        <v>62</v>
      </c>
      <c r="H129" s="10" t="s">
        <v>39</v>
      </c>
      <c r="I129" s="10"/>
      <c r="J129" s="15" t="s">
        <v>406</v>
      </c>
      <c r="K129" s="10"/>
      <c r="L129" s="10" t="s">
        <v>43</v>
      </c>
      <c r="M129" s="14"/>
      <c r="N129" s="17" t="str">
        <f aca="false">IF($B129="","",IF($L129="已完成",IF($M129="","",$M129-$B129),IF(设置!$B$6&lt;$B129,"",IF((设置!$B$6-$B129)&gt;=设置!$B$5,"超期"&amp;(设置!$B$6-$B129)&amp;"天","已等"&amp;(设置!$B$6-$B129)&amp;"天"))))</f>
        <v/>
      </c>
      <c r="O129" s="18" t="n">
        <f aca="false">IF(OR($D129="",$E129=""),"",COUNTIFS($D$7:$D129,$D129,$E$7:$E129,$E129))</f>
        <v>1</v>
      </c>
      <c r="P129" s="16"/>
      <c r="Q129" s="19"/>
      <c r="R129" s="10" t="s">
        <v>45</v>
      </c>
      <c r="S129" s="16"/>
      <c r="T129" s="0" t="str">
        <f aca="false">IF(OR($D129="",单元查询!$B$3=""),"",IF($D129&lt;&gt;单元查询!$B$3,"",IF(OR(单元查询!$D$3="",$E129&amp;""=单元查询!$D$3&amp;""),IF(ISNUMBER($B129),$B129*10000,0)+ROW(),"")))</f>
        <v/>
      </c>
      <c r="U129" s="0" t="str">
        <f aca="false">IF(OR($B129="",$L129="已完成"),"",IF(ISNUMBER($B129),IF(设置!$B$6&lt;$B129,"",(设置!$B$6-$B129)*100000+ROW()),""))</f>
        <v/>
      </c>
      <c r="V129" s="0" t="str">
        <f aca="false">IF(ISNUMBER($O129),IF($O129&gt;=2,IF(COUNTIFS($D129:$D$2006,$D129,$E129:$E$2006,$E129)=1,ROW(),""),""),"")</f>
        <v/>
      </c>
    </row>
    <row r="130" customFormat="false" ht="29.25" hidden="false" customHeight="true" outlineLevel="0" collapsed="false">
      <c r="A130" s="13" t="str">
        <f aca="false">IF(AND($B130="",$D130="",$E130="",$F130=""),"",IF(OR($B130="",$D130="",$E130=""),"待补",IF($D130="公共区域","公",IF($D130="商铺","S",SUBSTITUTE($D130,"栋","")))&amp;"-"&amp;$E130&amp;"-"&amp;TEXT(MONTH($B130),"00")&amp;TEXT(DAY($B130),"00")&amp;IF(ISNUMBER($O130),IF($O130&gt;1,"-"&amp;TEXT($O130,"00"),""),"")))</f>
        <v>11-401-0506</v>
      </c>
      <c r="B130" s="14" t="n">
        <v>45783</v>
      </c>
      <c r="C130" s="10" t="s">
        <v>34</v>
      </c>
      <c r="D130" s="15" t="s">
        <v>113</v>
      </c>
      <c r="E130" s="15" t="s">
        <v>407</v>
      </c>
      <c r="F130" s="16" t="s">
        <v>408</v>
      </c>
      <c r="G130" s="10" t="s">
        <v>62</v>
      </c>
      <c r="H130" s="10" t="s">
        <v>39</v>
      </c>
      <c r="I130" s="10"/>
      <c r="J130" s="15" t="s">
        <v>409</v>
      </c>
      <c r="K130" s="10"/>
      <c r="L130" s="10" t="s">
        <v>43</v>
      </c>
      <c r="M130" s="14"/>
      <c r="N130" s="17" t="str">
        <f aca="false">IF($B130="","",IF($L130="已完成",IF($M130="","",$M130-$B130),IF(设置!$B$6&lt;$B130,"",IF((设置!$B$6-$B130)&gt;=设置!$B$5,"超期"&amp;(设置!$B$6-$B130)&amp;"天","已等"&amp;(设置!$B$6-$B130)&amp;"天"))))</f>
        <v/>
      </c>
      <c r="O130" s="18" t="n">
        <f aca="false">IF(OR($D130="",$E130=""),"",COUNTIFS($D$7:$D130,$D130,$E$7:$E130,$E130))</f>
        <v>1</v>
      </c>
      <c r="P130" s="16"/>
      <c r="Q130" s="19"/>
      <c r="R130" s="10" t="s">
        <v>45</v>
      </c>
      <c r="S130" s="16"/>
      <c r="T130" s="0" t="str">
        <f aca="false">IF(OR($D130="",单元查询!$B$3=""),"",IF($D130&lt;&gt;单元查询!$B$3,"",IF(OR(单元查询!$D$3="",$E130&amp;""=单元查询!$D$3&amp;""),IF(ISNUMBER($B130),$B130*10000,0)+ROW(),"")))</f>
        <v/>
      </c>
      <c r="U130" s="0" t="str">
        <f aca="false">IF(OR($B130="",$L130="已完成"),"",IF(ISNUMBER($B130),IF(设置!$B$6&lt;$B130,"",(设置!$B$6-$B130)*100000+ROW()),""))</f>
        <v/>
      </c>
      <c r="V130" s="0" t="str">
        <f aca="false">IF(ISNUMBER($O130),IF($O130&gt;=2,IF(COUNTIFS($D130:$D$2006,$D130,$E130:$E$2006,$E130)=1,ROW(),""),""),"")</f>
        <v/>
      </c>
    </row>
    <row r="131" customFormat="false" ht="29.25" hidden="false" customHeight="true" outlineLevel="0" collapsed="false">
      <c r="A131" s="13" t="str">
        <f aca="false">IF(AND($B131="",$D131="",$E131="",$F131=""),"",IF(OR($B131="",$D131="",$E131=""),"待补",IF($D131="公共区域","公",IF($D131="商铺","S",SUBSTITUTE($D131,"栋","")))&amp;"-"&amp;$E131&amp;"-"&amp;TEXT(MONTH($B131),"00")&amp;TEXT(DAY($B131),"00")&amp;IF(ISNUMBER($O131),IF($O131&gt;1,"-"&amp;TEXT($O131,"00"),""),"")))</f>
        <v>5-3203-0506</v>
      </c>
      <c r="B131" s="14" t="n">
        <v>45783</v>
      </c>
      <c r="C131" s="10" t="s">
        <v>34</v>
      </c>
      <c r="D131" s="15" t="s">
        <v>53</v>
      </c>
      <c r="E131" s="15" t="s">
        <v>410</v>
      </c>
      <c r="F131" s="16" t="s">
        <v>411</v>
      </c>
      <c r="G131" s="10" t="s">
        <v>200</v>
      </c>
      <c r="H131" s="10"/>
      <c r="I131" s="10"/>
      <c r="J131" s="15" t="s">
        <v>409</v>
      </c>
      <c r="K131" s="10"/>
      <c r="L131" s="10" t="s">
        <v>43</v>
      </c>
      <c r="M131" s="14"/>
      <c r="N131" s="17" t="str">
        <f aca="false">IF($B131="","",IF($L131="已完成",IF($M131="","",$M131-$B131),IF(设置!$B$6&lt;$B131,"",IF((设置!$B$6-$B131)&gt;=设置!$B$5,"超期"&amp;(设置!$B$6-$B131)&amp;"天","已等"&amp;(设置!$B$6-$B131)&amp;"天"))))</f>
        <v/>
      </c>
      <c r="O131" s="18" t="n">
        <f aca="false">IF(OR($D131="",$E131=""),"",COUNTIFS($D$7:$D131,$D131,$E$7:$E131,$E131))</f>
        <v>1</v>
      </c>
      <c r="P131" s="16"/>
      <c r="Q131" s="19"/>
      <c r="R131" s="10" t="s">
        <v>65</v>
      </c>
      <c r="S131" s="16"/>
      <c r="T131" s="0" t="str">
        <f aca="false">IF(OR($D131="",单元查询!$B$3=""),"",IF($D131&lt;&gt;单元查询!$B$3,"",IF(OR(单元查询!$D$3="",$E131&amp;""=单元查询!$D$3&amp;""),IF(ISNUMBER($B131),$B131*10000,0)+ROW(),"")))</f>
        <v/>
      </c>
      <c r="U131" s="0" t="str">
        <f aca="false">IF(OR($B131="",$L131="已完成"),"",IF(ISNUMBER($B131),IF(设置!$B$6&lt;$B131,"",(设置!$B$6-$B131)*100000+ROW()),""))</f>
        <v/>
      </c>
      <c r="V131" s="0" t="str">
        <f aca="false">IF(ISNUMBER($O131),IF($O131&gt;=2,IF(COUNTIFS($D131:$D$2006,$D131,$E131:$E$2006,$E131)=1,ROW(),""),""),"")</f>
        <v/>
      </c>
    </row>
    <row r="132" customFormat="false" ht="15" hidden="false" customHeight="true" outlineLevel="0" collapsed="false">
      <c r="A132" s="13" t="str">
        <f aca="false">IF(AND($B132="",$D132="",$E132="",$F132=""),"",IF(OR($B132="",$D132="",$E132=""),"待补",IF($D132="公共区域","公",IF($D132="商铺","S",SUBSTITUTE($D132,"栋","")))&amp;"-"&amp;$E132&amp;"-"&amp;TEXT(MONTH($B132),"00")&amp;TEXT(DAY($B132),"00")&amp;IF(ISNUMBER($O132),IF($O132&gt;1,"-"&amp;TEXT($O132,"00"),""),"")))</f>
        <v>8-1501-0506-02</v>
      </c>
      <c r="B132" s="14" t="n">
        <v>45783</v>
      </c>
      <c r="C132" s="10" t="s">
        <v>34</v>
      </c>
      <c r="D132" s="15" t="s">
        <v>35</v>
      </c>
      <c r="E132" s="15" t="s">
        <v>110</v>
      </c>
      <c r="F132" s="16" t="s">
        <v>412</v>
      </c>
      <c r="G132" s="10" t="s">
        <v>62</v>
      </c>
      <c r="H132" s="10" t="s">
        <v>39</v>
      </c>
      <c r="I132" s="10"/>
      <c r="J132" s="15" t="s">
        <v>409</v>
      </c>
      <c r="K132" s="10"/>
      <c r="L132" s="10" t="s">
        <v>43</v>
      </c>
      <c r="M132" s="14"/>
      <c r="N132" s="17" t="str">
        <f aca="false">IF($B132="","",IF($L132="已完成",IF($M132="","",$M132-$B132),IF(设置!$B$6&lt;$B132,"",IF((设置!$B$6-$B132)&gt;=设置!$B$5,"超期"&amp;(设置!$B$6-$B132)&amp;"天","已等"&amp;(设置!$B$6-$B132)&amp;"天"))))</f>
        <v/>
      </c>
      <c r="O132" s="18" t="n">
        <f aca="false">IF(OR($D132="",$E132=""),"",COUNTIFS($D$7:$D132,$D132,$E$7:$E132,$E132))</f>
        <v>2</v>
      </c>
      <c r="P132" s="16"/>
      <c r="Q132" s="19"/>
      <c r="R132" s="10" t="s">
        <v>45</v>
      </c>
      <c r="S132" s="16"/>
      <c r="T132" s="0" t="str">
        <f aca="false">IF(OR($D132="",单元查询!$B$3=""),"",IF($D132&lt;&gt;单元查询!$B$3,"",IF(OR(单元查询!$D$3="",$E132&amp;""=单元查询!$D$3&amp;""),IF(ISNUMBER($B132),$B132*10000,0)+ROW(),"")))</f>
        <v/>
      </c>
      <c r="U132" s="0" t="str">
        <f aca="false">IF(OR($B132="",$L132="已完成"),"",IF(ISNUMBER($B132),IF(设置!$B$6&lt;$B132,"",(设置!$B$6-$B132)*100000+ROW()),""))</f>
        <v/>
      </c>
      <c r="V132" s="0" t="str">
        <f aca="false">IF(ISNUMBER($O132),IF($O132&gt;=2,IF(COUNTIFS($D132:$D$2006,$D132,$E132:$E$2006,$E132)=1,ROW(),""),""),"")</f>
        <v/>
      </c>
    </row>
    <row r="133" customFormat="false" ht="15" hidden="false" customHeight="true" outlineLevel="0" collapsed="false">
      <c r="A133" s="13" t="str">
        <f aca="false">IF(AND($B133="",$D133="",$E133="",$F133=""),"",IF(OR($B133="",$D133="",$E133=""),"待补",IF($D133="公共区域","公",IF($D133="商铺","S",SUBSTITUTE($D133,"栋","")))&amp;"-"&amp;$E133&amp;"-"&amp;TEXT(MONTH($B133),"00")&amp;TEXT(DAY($B133),"00")&amp;IF(ISNUMBER($O133),IF($O133&gt;1,"-"&amp;TEXT($O133,"00"),""),"")))</f>
        <v>11-2702-0506</v>
      </c>
      <c r="B133" s="14" t="n">
        <v>45783</v>
      </c>
      <c r="C133" s="10" t="s">
        <v>34</v>
      </c>
      <c r="D133" s="15" t="s">
        <v>113</v>
      </c>
      <c r="E133" s="15" t="s">
        <v>413</v>
      </c>
      <c r="F133" s="16" t="s">
        <v>414</v>
      </c>
      <c r="G133" s="10" t="s">
        <v>38</v>
      </c>
      <c r="H133" s="10" t="s">
        <v>39</v>
      </c>
      <c r="I133" s="10"/>
      <c r="J133" s="15" t="s">
        <v>398</v>
      </c>
      <c r="K133" s="10" t="s">
        <v>79</v>
      </c>
      <c r="L133" s="10" t="s">
        <v>43</v>
      </c>
      <c r="M133" s="14"/>
      <c r="N133" s="17" t="str">
        <f aca="false">IF($B133="","",IF($L133="已完成",IF($M133="","",$M133-$B133),IF(设置!$B$6&lt;$B133,"",IF((设置!$B$6-$B133)&gt;=设置!$B$5,"超期"&amp;(设置!$B$6-$B133)&amp;"天","已等"&amp;(设置!$B$6-$B133)&amp;"天"))))</f>
        <v/>
      </c>
      <c r="O133" s="18" t="n">
        <f aca="false">IF(OR($D133="",$E133=""),"",COUNTIFS($D$7:$D133,$D133,$E$7:$E133,$E133))</f>
        <v>1</v>
      </c>
      <c r="P133" s="16" t="s">
        <v>415</v>
      </c>
      <c r="Q133" s="19"/>
      <c r="R133" s="10" t="s">
        <v>45</v>
      </c>
      <c r="S133" s="16"/>
      <c r="T133" s="0" t="str">
        <f aca="false">IF(OR($D133="",单元查询!$B$3=""),"",IF($D133&lt;&gt;单元查询!$B$3,"",IF(OR(单元查询!$D$3="",$E133&amp;""=单元查询!$D$3&amp;""),IF(ISNUMBER($B133),$B133*10000,0)+ROW(),"")))</f>
        <v/>
      </c>
      <c r="U133" s="0" t="str">
        <f aca="false">IF(OR($B133="",$L133="已完成"),"",IF(ISNUMBER($B133),IF(设置!$B$6&lt;$B133,"",(设置!$B$6-$B133)*100000+ROW()),""))</f>
        <v/>
      </c>
      <c r="V133" s="0" t="str">
        <f aca="false">IF(ISNUMBER($O133),IF($O133&gt;=2,IF(COUNTIFS($D133:$D$2006,$D133,$E133:$E$2006,$E133)=1,ROW(),""),""),"")</f>
        <v/>
      </c>
    </row>
    <row r="134" customFormat="false" ht="15" hidden="false" customHeight="true" outlineLevel="0" collapsed="false">
      <c r="A134" s="13" t="str">
        <f aca="false">IF(AND($B134="",$D134="",$E134="",$F134=""),"",IF(OR($B134="",$D134="",$E134=""),"待补",IF($D134="公共区域","公",IF($D134="商铺","S",SUBSTITUTE($D134,"栋","")))&amp;"-"&amp;$E134&amp;"-"&amp;TEXT(MONTH($B134),"00")&amp;TEXT(DAY($B134),"00")&amp;IF(ISNUMBER($O134),IF($O134&gt;1,"-"&amp;TEXT($O134,"00"),""),"")))</f>
        <v>1-2404-0506</v>
      </c>
      <c r="B134" s="14" t="n">
        <v>45783</v>
      </c>
      <c r="C134" s="10" t="s">
        <v>34</v>
      </c>
      <c r="D134" s="15" t="s">
        <v>102</v>
      </c>
      <c r="E134" s="15" t="s">
        <v>416</v>
      </c>
      <c r="F134" s="16" t="s">
        <v>417</v>
      </c>
      <c r="G134" s="10" t="s">
        <v>188</v>
      </c>
      <c r="H134" s="10" t="s">
        <v>39</v>
      </c>
      <c r="I134" s="10"/>
      <c r="J134" s="15" t="s">
        <v>398</v>
      </c>
      <c r="K134" s="10"/>
      <c r="L134" s="10" t="s">
        <v>43</v>
      </c>
      <c r="M134" s="14"/>
      <c r="N134" s="17" t="str">
        <f aca="false">IF($B134="","",IF($L134="已完成",IF($M134="","",$M134-$B134),IF(设置!$B$6&lt;$B134,"",IF((设置!$B$6-$B134)&gt;=设置!$B$5,"超期"&amp;(设置!$B$6-$B134)&amp;"天","已等"&amp;(设置!$B$6-$B134)&amp;"天"))))</f>
        <v/>
      </c>
      <c r="O134" s="18" t="n">
        <f aca="false">IF(OR($D134="",$E134=""),"",COUNTIFS($D$7:$D134,$D134,$E$7:$E134,$E134))</f>
        <v>1</v>
      </c>
      <c r="P134" s="16"/>
      <c r="Q134" s="19"/>
      <c r="R134" s="10" t="s">
        <v>45</v>
      </c>
      <c r="S134" s="16"/>
      <c r="T134" s="0" t="str">
        <f aca="false">IF(OR($D134="",单元查询!$B$3=""),"",IF($D134&lt;&gt;单元查询!$B$3,"",IF(OR(单元查询!$D$3="",$E134&amp;""=单元查询!$D$3&amp;""),IF(ISNUMBER($B134),$B134*10000,0)+ROW(),"")))</f>
        <v/>
      </c>
      <c r="U134" s="0" t="str">
        <f aca="false">IF(OR($B134="",$L134="已完成"),"",IF(ISNUMBER($B134),IF(设置!$B$6&lt;$B134,"",(设置!$B$6-$B134)*100000+ROW()),""))</f>
        <v/>
      </c>
      <c r="V134" s="0" t="str">
        <f aca="false">IF(ISNUMBER($O134),IF($O134&gt;=2,IF(COUNTIFS($D134:$D$2006,$D134,$E134:$E$2006,$E134)=1,ROW(),""),""),"")</f>
        <v/>
      </c>
    </row>
    <row r="135" customFormat="false" ht="15" hidden="false" customHeight="true" outlineLevel="0" collapsed="false">
      <c r="A135" s="13" t="str">
        <f aca="false">IF(AND($B135="",$D135="",$E135="",$F135=""),"",IF(OR($B135="",$D135="",$E135=""),"待补",IF($D135="公共区域","公",IF($D135="商铺","S",SUBSTITUTE($D135,"栋","")))&amp;"-"&amp;$E135&amp;"-"&amp;TEXT(MONTH($B135),"00")&amp;TEXT(DAY($B135),"00")&amp;IF(ISNUMBER($O135),IF($O135&gt;1,"-"&amp;TEXT($O135,"00"),""),"")))</f>
        <v>7-1603-0506</v>
      </c>
      <c r="B135" s="14" t="n">
        <v>45783</v>
      </c>
      <c r="C135" s="10" t="s">
        <v>34</v>
      </c>
      <c r="D135" s="15" t="s">
        <v>59</v>
      </c>
      <c r="E135" s="15" t="s">
        <v>369</v>
      </c>
      <c r="F135" s="16" t="s">
        <v>418</v>
      </c>
      <c r="G135" s="10" t="s">
        <v>120</v>
      </c>
      <c r="H135" s="10" t="s">
        <v>40</v>
      </c>
      <c r="I135" s="10"/>
      <c r="J135" s="15" t="s">
        <v>419</v>
      </c>
      <c r="K135" s="10"/>
      <c r="L135" s="10" t="s">
        <v>43</v>
      </c>
      <c r="M135" s="14"/>
      <c r="N135" s="17" t="str">
        <f aca="false">IF($B135="","",IF($L135="已完成",IF($M135="","",$M135-$B135),IF(设置!$B$6&lt;$B135,"",IF((设置!$B$6-$B135)&gt;=设置!$B$5,"超期"&amp;(设置!$B$6-$B135)&amp;"天","已等"&amp;(设置!$B$6-$B135)&amp;"天"))))</f>
        <v/>
      </c>
      <c r="O135" s="18" t="n">
        <f aca="false">IF(OR($D135="",$E135=""),"",COUNTIFS($D$7:$D135,$D135,$E$7:$E135,$E135))</f>
        <v>1</v>
      </c>
      <c r="P135" s="16" t="s">
        <v>420</v>
      </c>
      <c r="Q135" s="19"/>
      <c r="R135" s="10" t="s">
        <v>45</v>
      </c>
      <c r="S135" s="16"/>
      <c r="T135" s="0" t="str">
        <f aca="false">IF(OR($D135="",单元查询!$B$3=""),"",IF($D135&lt;&gt;单元查询!$B$3,"",IF(OR(单元查询!$D$3="",$E135&amp;""=单元查询!$D$3&amp;""),IF(ISNUMBER($B135),$B135*10000,0)+ROW(),"")))</f>
        <v/>
      </c>
      <c r="U135" s="0" t="str">
        <f aca="false">IF(OR($B135="",$L135="已完成"),"",IF(ISNUMBER($B135),IF(设置!$B$6&lt;$B135,"",(设置!$B$6-$B135)*100000+ROW()),""))</f>
        <v/>
      </c>
      <c r="V135" s="0" t="str">
        <f aca="false">IF(ISNUMBER($O135),IF($O135&gt;=2,IF(COUNTIFS($D135:$D$2006,$D135,$E135:$E$2006,$E135)=1,ROW(),""),""),"")</f>
        <v/>
      </c>
    </row>
    <row r="136" customFormat="false" ht="15" hidden="false" customHeight="true" outlineLevel="0" collapsed="false">
      <c r="A136" s="13" t="str">
        <f aca="false">IF(AND($B136="",$D136="",$E136="",$F136=""),"",IF(OR($B136="",$D136="",$E136=""),"待补",IF($D136="公共区域","公",IF($D136="商铺","S",SUBSTITUTE($D136,"栋","")))&amp;"-"&amp;$E136&amp;"-"&amp;TEXT(MONTH($B136),"00")&amp;TEXT(DAY($B136),"00")&amp;IF(ISNUMBER($O136),IF($O136&gt;1,"-"&amp;TEXT($O136,"00"),""),"")))</f>
        <v>4-2704-0506</v>
      </c>
      <c r="B136" s="14" t="n">
        <v>45783</v>
      </c>
      <c r="C136" s="10" t="s">
        <v>34</v>
      </c>
      <c r="D136" s="15" t="s">
        <v>133</v>
      </c>
      <c r="E136" s="15" t="s">
        <v>234</v>
      </c>
      <c r="F136" s="16" t="s">
        <v>421</v>
      </c>
      <c r="G136" s="10" t="s">
        <v>62</v>
      </c>
      <c r="H136" s="10" t="s">
        <v>49</v>
      </c>
      <c r="I136" s="10"/>
      <c r="J136" s="15" t="s">
        <v>422</v>
      </c>
      <c r="K136" s="10"/>
      <c r="L136" s="10" t="s">
        <v>43</v>
      </c>
      <c r="M136" s="14"/>
      <c r="N136" s="17" t="str">
        <f aca="false">IF($B136="","",IF($L136="已完成",IF($M136="","",$M136-$B136),IF(设置!$B$6&lt;$B136,"",IF((设置!$B$6-$B136)&gt;=设置!$B$5,"超期"&amp;(设置!$B$6-$B136)&amp;"天","已等"&amp;(设置!$B$6-$B136)&amp;"天"))))</f>
        <v/>
      </c>
      <c r="O136" s="18" t="n">
        <f aca="false">IF(OR($D136="",$E136=""),"",COUNTIFS($D$7:$D136,$D136,$E$7:$E136,$E136))</f>
        <v>1</v>
      </c>
      <c r="P136" s="16"/>
      <c r="Q136" s="19"/>
      <c r="R136" s="10" t="s">
        <v>45</v>
      </c>
      <c r="S136" s="16"/>
      <c r="T136" s="0" t="str">
        <f aca="false">IF(OR($D136="",单元查询!$B$3=""),"",IF($D136&lt;&gt;单元查询!$B$3,"",IF(OR(单元查询!$D$3="",$E136&amp;""=单元查询!$D$3&amp;""),IF(ISNUMBER($B136),$B136*10000,0)+ROW(),"")))</f>
        <v/>
      </c>
      <c r="U136" s="0" t="str">
        <f aca="false">IF(OR($B136="",$L136="已完成"),"",IF(ISNUMBER($B136),IF(设置!$B$6&lt;$B136,"",(设置!$B$6-$B136)*100000+ROW()),""))</f>
        <v/>
      </c>
      <c r="V136" s="0" t="str">
        <f aca="false">IF(ISNUMBER($O136),IF($O136&gt;=2,IF(COUNTIFS($D136:$D$2006,$D136,$E136:$E$2006,$E136)=1,ROW(),""),""),"")</f>
        <v/>
      </c>
    </row>
    <row r="137" customFormat="false" ht="15" hidden="false" customHeight="true" outlineLevel="0" collapsed="false">
      <c r="A137" s="13" t="str">
        <f aca="false">IF(AND($B137="",$D137="",$E137="",$F137=""),"",IF(OR($B137="",$D137="",$E137=""),"待补",IF($D137="公共区域","公",IF($D137="商铺","S",SUBSTITUTE($D137,"栋","")))&amp;"-"&amp;$E137&amp;"-"&amp;TEXT(MONTH($B137),"00")&amp;TEXT(DAY($B137),"00")&amp;IF(ISNUMBER($O137),IF($O137&gt;1,"-"&amp;TEXT($O137,"00"),""),"")))</f>
        <v>8-603-0506</v>
      </c>
      <c r="B137" s="14" t="n">
        <v>45783</v>
      </c>
      <c r="C137" s="10" t="s">
        <v>34</v>
      </c>
      <c r="D137" s="15" t="s">
        <v>35</v>
      </c>
      <c r="E137" s="15" t="s">
        <v>423</v>
      </c>
      <c r="F137" s="16" t="s">
        <v>424</v>
      </c>
      <c r="G137" s="10" t="s">
        <v>108</v>
      </c>
      <c r="H137" s="10" t="s">
        <v>39</v>
      </c>
      <c r="I137" s="10"/>
      <c r="J137" s="15" t="s">
        <v>425</v>
      </c>
      <c r="K137" s="10"/>
      <c r="L137" s="10" t="s">
        <v>43</v>
      </c>
      <c r="M137" s="14"/>
      <c r="N137" s="17" t="str">
        <f aca="false">IF($B137="","",IF($L137="已完成",IF($M137="","",$M137-$B137),IF(设置!$B$6&lt;$B137,"",IF((设置!$B$6-$B137)&gt;=设置!$B$5,"超期"&amp;(设置!$B$6-$B137)&amp;"天","已等"&amp;(设置!$B$6-$B137)&amp;"天"))))</f>
        <v/>
      </c>
      <c r="O137" s="18" t="n">
        <f aca="false">IF(OR($D137="",$E137=""),"",COUNTIFS($D$7:$D137,$D137,$E$7:$E137,$E137))</f>
        <v>1</v>
      </c>
      <c r="P137" s="16"/>
      <c r="Q137" s="19"/>
      <c r="R137" s="10" t="s">
        <v>65</v>
      </c>
      <c r="S137" s="16"/>
      <c r="T137" s="0" t="str">
        <f aca="false">IF(OR($D137="",单元查询!$B$3=""),"",IF($D137&lt;&gt;单元查询!$B$3,"",IF(OR(单元查询!$D$3="",$E137&amp;""=单元查询!$D$3&amp;""),IF(ISNUMBER($B137),$B137*10000,0)+ROW(),"")))</f>
        <v/>
      </c>
      <c r="U137" s="0" t="str">
        <f aca="false">IF(OR($B137="",$L137="已完成"),"",IF(ISNUMBER($B137),IF(设置!$B$6&lt;$B137,"",(设置!$B$6-$B137)*100000+ROW()),""))</f>
        <v/>
      </c>
      <c r="V137" s="0" t="str">
        <f aca="false">IF(ISNUMBER($O137),IF($O137&gt;=2,IF(COUNTIFS($D137:$D$2006,$D137,$E137:$E$2006,$E137)=1,ROW(),""),""),"")</f>
        <v/>
      </c>
    </row>
    <row r="138" customFormat="false" ht="29.25" hidden="false" customHeight="true" outlineLevel="0" collapsed="false">
      <c r="A138" s="13" t="str">
        <f aca="false">IF(AND($B138="",$D138="",$E138="",$F138=""),"",IF(OR($B138="",$D138="",$E138=""),"待补",IF($D138="公共区域","公",IF($D138="商铺","S",SUBSTITUTE($D138,"栋","")))&amp;"-"&amp;$E138&amp;"-"&amp;TEXT(MONTH($B138),"00")&amp;TEXT(DAY($B138),"00")&amp;IF(ISNUMBER($O138),IF($O138&gt;1,"-"&amp;TEXT($O138,"00"),""),"")))</f>
        <v>10-1401-0506</v>
      </c>
      <c r="B138" s="14" t="n">
        <v>45783</v>
      </c>
      <c r="C138" s="10" t="s">
        <v>34</v>
      </c>
      <c r="D138" s="15" t="s">
        <v>95</v>
      </c>
      <c r="E138" s="15" t="s">
        <v>426</v>
      </c>
      <c r="F138" s="16" t="s">
        <v>427</v>
      </c>
      <c r="G138" s="10" t="s">
        <v>56</v>
      </c>
      <c r="H138" s="10" t="s">
        <v>40</v>
      </c>
      <c r="I138" s="10"/>
      <c r="J138" s="15" t="s">
        <v>428</v>
      </c>
      <c r="K138" s="10" t="s">
        <v>42</v>
      </c>
      <c r="L138" s="10" t="s">
        <v>51</v>
      </c>
      <c r="M138" s="14"/>
      <c r="N138" s="17" t="str">
        <f aca="false">IF($B138="","",IF($L138="已完成",IF($M138="","",$M138-$B138),IF(设置!$B$6&lt;$B138,"",IF((设置!$B$6-$B138)&gt;=设置!$B$5,"超期"&amp;(设置!$B$6-$B138)&amp;"天","已等"&amp;(设置!$B$6-$B138)&amp;"天"))))</f>
        <v>已等1天</v>
      </c>
      <c r="O138" s="18" t="n">
        <f aca="false">IF(OR($D138="",$E138=""),"",COUNTIFS($D$7:$D138,$D138,$E$7:$E138,$E138))</f>
        <v>1</v>
      </c>
      <c r="P138" s="16" t="s">
        <v>429</v>
      </c>
      <c r="Q138" s="19"/>
      <c r="R138" s="10"/>
      <c r="S138" s="16"/>
      <c r="T138" s="0" t="str">
        <f aca="false">IF(OR($D138="",单元查询!$B$3=""),"",IF($D138&lt;&gt;单元查询!$B$3,"",IF(OR(单元查询!$D$3="",$E138&amp;""=单元查询!$D$3&amp;""),IF(ISNUMBER($B138),$B138*10000,0)+ROW(),"")))</f>
        <v/>
      </c>
      <c r="U138" s="0" t="n">
        <f aca="false">IF(OR($B138="",$L138="已完成"),"",IF(ISNUMBER($B138),IF(设置!$B$6&lt;$B138,"",(设置!$B$6-$B138)*100000+ROW()),""))</f>
        <v>100138</v>
      </c>
      <c r="V138" s="0" t="str">
        <f aca="false">IF(ISNUMBER($O138),IF($O138&gt;=2,IF(COUNTIFS($D138:$D$2006,$D138,$E138:$E$2006,$E138)=1,ROW(),""),""),"")</f>
        <v/>
      </c>
    </row>
    <row r="139" customFormat="false" ht="15" hidden="false" customHeight="true" outlineLevel="0" collapsed="false">
      <c r="A139" s="13" t="str">
        <f aca="false">IF(AND($B139="",$D139="",$E139="",$F139=""),"",IF(OR($B139="",$D139="",$E139=""),"待补",IF($D139="公共区域","公",IF($D139="商铺","S",SUBSTITUTE($D139,"栋","")))&amp;"-"&amp;$E139&amp;"-"&amp;TEXT(MONTH($B139),"00")&amp;TEXT(DAY($B139),"00")&amp;IF(ISNUMBER($O139),IF($O139&gt;1,"-"&amp;TEXT($O139,"00"),""),"")))</f>
        <v>6-504-0507-02</v>
      </c>
      <c r="B139" s="14" t="n">
        <v>45784</v>
      </c>
      <c r="C139" s="10" t="s">
        <v>34</v>
      </c>
      <c r="D139" s="15" t="s">
        <v>46</v>
      </c>
      <c r="E139" s="15" t="s">
        <v>86</v>
      </c>
      <c r="F139" s="16" t="s">
        <v>430</v>
      </c>
      <c r="G139" s="10" t="s">
        <v>188</v>
      </c>
      <c r="H139" s="10" t="s">
        <v>39</v>
      </c>
      <c r="I139" s="10"/>
      <c r="J139" s="15" t="s">
        <v>431</v>
      </c>
      <c r="K139" s="10"/>
      <c r="L139" s="10" t="s">
        <v>43</v>
      </c>
      <c r="M139" s="14"/>
      <c r="N139" s="17" t="str">
        <f aca="false">IF($B139="","",IF($L139="已完成",IF($M139="","",$M139-$B139),IF(设置!$B$6&lt;$B139,"",IF((设置!$B$6-$B139)&gt;=设置!$B$5,"超期"&amp;(设置!$B$6-$B139)&amp;"天","已等"&amp;(设置!$B$6-$B139)&amp;"天"))))</f>
        <v/>
      </c>
      <c r="O139" s="18" t="n">
        <f aca="false">IF(OR($D139="",$E139=""),"",COUNTIFS($D$7:$D139,$D139,$E$7:$E139,$E139))</f>
        <v>2</v>
      </c>
      <c r="P139" s="16"/>
      <c r="Q139" s="19"/>
      <c r="R139" s="10" t="s">
        <v>45</v>
      </c>
      <c r="S139" s="16"/>
      <c r="T139" s="0" t="n">
        <f aca="false">IF(OR($D139="",单元查询!$B$3=""),"",IF($D139&lt;&gt;单元查询!$B$3,"",IF(OR(单元查询!$D$3="",$E139&amp;""=单元查询!$D$3&amp;""),IF(ISNUMBER($B139),$B139*10000,0)+ROW(),"")))</f>
        <v>457840139</v>
      </c>
      <c r="U139" s="0" t="str">
        <f aca="false">IF(OR($B139="",$L139="已完成"),"",IF(ISNUMBER($B139),IF(设置!$B$6&lt;$B139,"",(设置!$B$6-$B139)*100000+ROW()),""))</f>
        <v/>
      </c>
      <c r="V139" s="0" t="n">
        <f aca="false">IF(ISNUMBER($O139),IF($O139&gt;=2,IF(COUNTIFS($D139:$D$2006,$D139,$E139:$E$2006,$E139)=1,ROW(),""),""),"")</f>
        <v>139</v>
      </c>
    </row>
    <row r="140" customFormat="false" ht="29.25" hidden="false" customHeight="true" outlineLevel="0" collapsed="false">
      <c r="A140" s="13" t="str">
        <f aca="false">IF(AND($B140="",$D140="",$E140="",$F140=""),"",IF(OR($B140="",$D140="",$E140=""),"待补",IF($D140="公共区域","公",IF($D140="商铺","S",SUBSTITUTE($D140,"栋","")))&amp;"-"&amp;$E140&amp;"-"&amp;TEXT(MONTH($B140),"00")&amp;TEXT(DAY($B140),"00")&amp;IF(ISNUMBER($O140),IF($O140&gt;1,"-"&amp;TEXT($O140,"00"),""),"")))</f>
        <v>10-2702-0507</v>
      </c>
      <c r="B140" s="14" t="n">
        <v>45784</v>
      </c>
      <c r="C140" s="10" t="s">
        <v>34</v>
      </c>
      <c r="D140" s="15" t="s">
        <v>95</v>
      </c>
      <c r="E140" s="15" t="s">
        <v>413</v>
      </c>
      <c r="F140" s="16" t="s">
        <v>432</v>
      </c>
      <c r="G140" s="10" t="s">
        <v>120</v>
      </c>
      <c r="H140" s="10" t="s">
        <v>39</v>
      </c>
      <c r="I140" s="10"/>
      <c r="J140" s="15" t="s">
        <v>431</v>
      </c>
      <c r="K140" s="10"/>
      <c r="L140" s="10" t="s">
        <v>43</v>
      </c>
      <c r="M140" s="14"/>
      <c r="N140" s="17" t="str">
        <f aca="false">IF($B140="","",IF($L140="已完成",IF($M140="","",$M140-$B140),IF(设置!$B$6&lt;$B140,"",IF((设置!$B$6-$B140)&gt;=设置!$B$5,"超期"&amp;(设置!$B$6-$B140)&amp;"天","已等"&amp;(设置!$B$6-$B140)&amp;"天"))))</f>
        <v/>
      </c>
      <c r="O140" s="18" t="n">
        <f aca="false">IF(OR($D140="",$E140=""),"",COUNTIFS($D$7:$D140,$D140,$E$7:$E140,$E140))</f>
        <v>1</v>
      </c>
      <c r="P140" s="16" t="s">
        <v>433</v>
      </c>
      <c r="Q140" s="19"/>
      <c r="R140" s="10" t="s">
        <v>45</v>
      </c>
      <c r="S140" s="16"/>
      <c r="T140" s="0" t="str">
        <f aca="false">IF(OR($D140="",单元查询!$B$3=""),"",IF($D140&lt;&gt;单元查询!$B$3,"",IF(OR(单元查询!$D$3="",$E140&amp;""=单元查询!$D$3&amp;""),IF(ISNUMBER($B140),$B140*10000,0)+ROW(),"")))</f>
        <v/>
      </c>
      <c r="U140" s="0" t="str">
        <f aca="false">IF(OR($B140="",$L140="已完成"),"",IF(ISNUMBER($B140),IF(设置!$B$6&lt;$B140,"",(设置!$B$6-$B140)*100000+ROW()),""))</f>
        <v/>
      </c>
      <c r="V140" s="0" t="str">
        <f aca="false">IF(ISNUMBER($O140),IF($O140&gt;=2,IF(COUNTIFS($D140:$D$2006,$D140,$E140:$E$2006,$E140)=1,ROW(),""),""),"")</f>
        <v/>
      </c>
    </row>
    <row r="141" customFormat="false" ht="15" hidden="false" customHeight="true" outlineLevel="0" collapsed="false">
      <c r="A141" s="13" t="str">
        <f aca="false">IF(AND($B141="",$D141="",$E141="",$F141=""),"",IF(OR($B141="",$D141="",$E141=""),"待补",IF($D141="公共区域","公",IF($D141="商铺","S",SUBSTITUTE($D141,"栋","")))&amp;"-"&amp;$E141&amp;"-"&amp;TEXT(MONTH($B141),"00")&amp;TEXT(DAY($B141),"00")&amp;IF(ISNUMBER($O141),IF($O141&gt;1,"-"&amp;TEXT($O141,"00"),""),"")))</f>
        <v>8-1501-0507-03</v>
      </c>
      <c r="B141" s="14" t="n">
        <v>45784</v>
      </c>
      <c r="C141" s="10" t="s">
        <v>34</v>
      </c>
      <c r="D141" s="15" t="s">
        <v>35</v>
      </c>
      <c r="E141" s="15" t="s">
        <v>110</v>
      </c>
      <c r="F141" s="16" t="s">
        <v>434</v>
      </c>
      <c r="G141" s="10" t="s">
        <v>200</v>
      </c>
      <c r="H141" s="10" t="s">
        <v>39</v>
      </c>
      <c r="I141" s="10"/>
      <c r="J141" s="15" t="s">
        <v>431</v>
      </c>
      <c r="K141" s="10"/>
      <c r="L141" s="10" t="s">
        <v>43</v>
      </c>
      <c r="M141" s="14"/>
      <c r="N141" s="17" t="str">
        <f aca="false">IF($B141="","",IF($L141="已完成",IF($M141="","",$M141-$B141),IF(设置!$B$6&lt;$B141,"",IF((设置!$B$6-$B141)&gt;=设置!$B$5,"超期"&amp;(设置!$B$6-$B141)&amp;"天","已等"&amp;(设置!$B$6-$B141)&amp;"天"))))</f>
        <v/>
      </c>
      <c r="O141" s="18" t="n">
        <f aca="false">IF(OR($D141="",$E141=""),"",COUNTIFS($D$7:$D141,$D141,$E$7:$E141,$E141))</f>
        <v>3</v>
      </c>
      <c r="P141" s="16"/>
      <c r="Q141" s="19"/>
      <c r="R141" s="10" t="s">
        <v>45</v>
      </c>
      <c r="S141" s="16"/>
      <c r="T141" s="0" t="str">
        <f aca="false">IF(OR($D141="",单元查询!$B$3=""),"",IF($D141&lt;&gt;单元查询!$B$3,"",IF(OR(单元查询!$D$3="",$E141&amp;""=单元查询!$D$3&amp;""),IF(ISNUMBER($B141),$B141*10000,0)+ROW(),"")))</f>
        <v/>
      </c>
      <c r="U141" s="0" t="str">
        <f aca="false">IF(OR($B141="",$L141="已完成"),"",IF(ISNUMBER($B141),IF(设置!$B$6&lt;$B141,"",(设置!$B$6-$B141)*100000+ROW()),""))</f>
        <v/>
      </c>
      <c r="V141" s="0" t="n">
        <f aca="false">IF(ISNUMBER($O141),IF($O141&gt;=2,IF(COUNTIFS($D141:$D$2006,$D141,$E141:$E$2006,$E141)=1,ROW(),""),""),"")</f>
        <v>141</v>
      </c>
    </row>
    <row r="142" customFormat="false" ht="15" hidden="false" customHeight="true" outlineLevel="0" collapsed="false">
      <c r="A142" s="13" t="str">
        <f aca="false">IF(AND($B142="",$D142="",$E142="",$F142=""),"",IF(OR($B142="",$D142="",$E142=""),"待补",IF($D142="公共区域","公",IF($D142="商铺","S",SUBSTITUTE($D142,"栋","")))&amp;"-"&amp;$E142&amp;"-"&amp;TEXT(MONTH($B142),"00")&amp;TEXT(DAY($B142),"00")&amp;IF(ISNUMBER($O142),IF($O142&gt;1,"-"&amp;TEXT($O142,"00"),""),"")))</f>
        <v>8-1102-0507</v>
      </c>
      <c r="B142" s="14" t="n">
        <v>45784</v>
      </c>
      <c r="C142" s="10" t="s">
        <v>34</v>
      </c>
      <c r="D142" s="15" t="s">
        <v>35</v>
      </c>
      <c r="E142" s="15" t="s">
        <v>207</v>
      </c>
      <c r="F142" s="16" t="s">
        <v>435</v>
      </c>
      <c r="G142" s="10" t="s">
        <v>62</v>
      </c>
      <c r="H142" s="10" t="s">
        <v>39</v>
      </c>
      <c r="I142" s="10"/>
      <c r="J142" s="15" t="s">
        <v>436</v>
      </c>
      <c r="K142" s="10"/>
      <c r="L142" s="10" t="s">
        <v>43</v>
      </c>
      <c r="M142" s="14"/>
      <c r="N142" s="17" t="str">
        <f aca="false">IF($B142="","",IF($L142="已完成",IF($M142="","",$M142-$B142),IF(设置!$B$6&lt;$B142,"",IF((设置!$B$6-$B142)&gt;=设置!$B$5,"超期"&amp;(设置!$B$6-$B142)&amp;"天","已等"&amp;(设置!$B$6-$B142)&amp;"天"))))</f>
        <v/>
      </c>
      <c r="O142" s="18" t="n">
        <f aca="false">IF(OR($D142="",$E142=""),"",COUNTIFS($D$7:$D142,$D142,$E$7:$E142,$E142))</f>
        <v>1</v>
      </c>
      <c r="P142" s="16"/>
      <c r="Q142" s="19"/>
      <c r="R142" s="10" t="s">
        <v>45</v>
      </c>
      <c r="S142" s="16"/>
      <c r="T142" s="0" t="str">
        <f aca="false">IF(OR($D142="",单元查询!$B$3=""),"",IF($D142&lt;&gt;单元查询!$B$3,"",IF(OR(单元查询!$D$3="",$E142&amp;""=单元查询!$D$3&amp;""),IF(ISNUMBER($B142),$B142*10000,0)+ROW(),"")))</f>
        <v/>
      </c>
      <c r="U142" s="0" t="str">
        <f aca="false">IF(OR($B142="",$L142="已完成"),"",IF(ISNUMBER($B142),IF(设置!$B$6&lt;$B142,"",(设置!$B$6-$B142)*100000+ROW()),""))</f>
        <v/>
      </c>
      <c r="V142" s="0" t="str">
        <f aca="false">IF(ISNUMBER($O142),IF($O142&gt;=2,IF(COUNTIFS($D142:$D$2006,$D142,$E142:$E$2006,$E142)=1,ROW(),""),""),"")</f>
        <v/>
      </c>
    </row>
    <row r="143" customFormat="false" ht="15" hidden="false" customHeight="true" outlineLevel="0" collapsed="false">
      <c r="A143" s="13" t="str">
        <f aca="false">IF(AND($B143="",$D143="",$E143="",$F143=""),"",IF(OR($B143="",$D143="",$E143=""),"待补",IF($D143="公共区域","公",IF($D143="商铺","S",SUBSTITUTE($D143,"栋","")))&amp;"-"&amp;$E143&amp;"-"&amp;TEXT(MONTH($B143),"00")&amp;TEXT(DAY($B143),"00")&amp;IF(ISNUMBER($O143),IF($O143&gt;1,"-"&amp;TEXT($O143,"00"),""),"")))</f>
        <v>5-1701-0507</v>
      </c>
      <c r="B143" s="14" t="n">
        <v>45784</v>
      </c>
      <c r="C143" s="10" t="s">
        <v>34</v>
      </c>
      <c r="D143" s="15" t="s">
        <v>53</v>
      </c>
      <c r="E143" s="15" t="s">
        <v>437</v>
      </c>
      <c r="F143" s="16" t="s">
        <v>438</v>
      </c>
      <c r="G143" s="10" t="s">
        <v>38</v>
      </c>
      <c r="H143" s="10" t="s">
        <v>39</v>
      </c>
      <c r="I143" s="10"/>
      <c r="J143" s="15" t="s">
        <v>436</v>
      </c>
      <c r="K143" s="10"/>
      <c r="L143" s="10" t="s">
        <v>43</v>
      </c>
      <c r="M143" s="14"/>
      <c r="N143" s="17" t="str">
        <f aca="false">IF($B143="","",IF($L143="已完成",IF($M143="","",$M143-$B143),IF(设置!$B$6&lt;$B143,"",IF((设置!$B$6-$B143)&gt;=设置!$B$5,"超期"&amp;(设置!$B$6-$B143)&amp;"天","已等"&amp;(设置!$B$6-$B143)&amp;"天"))))</f>
        <v/>
      </c>
      <c r="O143" s="18" t="n">
        <f aca="false">IF(OR($D143="",$E143=""),"",COUNTIFS($D$7:$D143,$D143,$E$7:$E143,$E143))</f>
        <v>1</v>
      </c>
      <c r="P143" s="16"/>
      <c r="Q143" s="19"/>
      <c r="R143" s="10" t="s">
        <v>45</v>
      </c>
      <c r="S143" s="16"/>
      <c r="T143" s="0" t="str">
        <f aca="false">IF(OR($D143="",单元查询!$B$3=""),"",IF($D143&lt;&gt;单元查询!$B$3,"",IF(OR(单元查询!$D$3="",$E143&amp;""=单元查询!$D$3&amp;""),IF(ISNUMBER($B143),$B143*10000,0)+ROW(),"")))</f>
        <v/>
      </c>
      <c r="U143" s="0" t="str">
        <f aca="false">IF(OR($B143="",$L143="已完成"),"",IF(ISNUMBER($B143),IF(设置!$B$6&lt;$B143,"",(设置!$B$6-$B143)*100000+ROW()),""))</f>
        <v/>
      </c>
      <c r="V143" s="0" t="str">
        <f aca="false">IF(ISNUMBER($O143),IF($O143&gt;=2,IF(COUNTIFS($D143:$D$2006,$D143,$E143:$E$2006,$E143)=1,ROW(),""),""),"")</f>
        <v/>
      </c>
    </row>
    <row r="144" customFormat="false" ht="15" hidden="false" customHeight="true" outlineLevel="0" collapsed="false">
      <c r="A144" s="13" t="str">
        <f aca="false">IF(AND($B144="",$D144="",$E144="",$F144=""),"",IF(OR($B144="",$D144="",$E144=""),"待补",IF($D144="公共区域","公",IF($D144="商铺","S",SUBSTITUTE($D144,"栋","")))&amp;"-"&amp;$E144&amp;"-"&amp;TEXT(MONTH($B144),"00")&amp;TEXT(DAY($B144),"00")&amp;IF(ISNUMBER($O144),IF($O144&gt;1,"-"&amp;TEXT($O144,"00"),""),"")))</f>
        <v>6-1101-0507</v>
      </c>
      <c r="B144" s="14" t="n">
        <v>45784</v>
      </c>
      <c r="C144" s="10" t="s">
        <v>34</v>
      </c>
      <c r="D144" s="15" t="s">
        <v>46</v>
      </c>
      <c r="E144" s="15" t="s">
        <v>351</v>
      </c>
      <c r="F144" s="16" t="s">
        <v>439</v>
      </c>
      <c r="G144" s="10" t="s">
        <v>120</v>
      </c>
      <c r="H144" s="10" t="s">
        <v>39</v>
      </c>
      <c r="I144" s="10"/>
      <c r="J144" s="15" t="s">
        <v>431</v>
      </c>
      <c r="K144" s="10"/>
      <c r="L144" s="10" t="s">
        <v>43</v>
      </c>
      <c r="M144" s="14"/>
      <c r="N144" s="17" t="str">
        <f aca="false">IF($B144="","",IF($L144="已完成",IF($M144="","",$M144-$B144),IF(设置!$B$6&lt;$B144,"",IF((设置!$B$6-$B144)&gt;=设置!$B$5,"超期"&amp;(设置!$B$6-$B144)&amp;"天","已等"&amp;(设置!$B$6-$B144)&amp;"天"))))</f>
        <v/>
      </c>
      <c r="O144" s="18" t="n">
        <f aca="false">IF(OR($D144="",$E144=""),"",COUNTIFS($D$7:$D144,$D144,$E$7:$E144,$E144))</f>
        <v>1</v>
      </c>
      <c r="P144" s="16" t="s">
        <v>440</v>
      </c>
      <c r="Q144" s="19"/>
      <c r="R144" s="10" t="s">
        <v>45</v>
      </c>
      <c r="S144" s="16"/>
      <c r="T144" s="0" t="n">
        <f aca="false">IF(OR($D144="",单元查询!$B$3=""),"",IF($D144&lt;&gt;单元查询!$B$3,"",IF(OR(单元查询!$D$3="",$E144&amp;""=单元查询!$D$3&amp;""),IF(ISNUMBER($B144),$B144*10000,0)+ROW(),"")))</f>
        <v>457840144</v>
      </c>
      <c r="U144" s="0" t="str">
        <f aca="false">IF(OR($B144="",$L144="已完成"),"",IF(ISNUMBER($B144),IF(设置!$B$6&lt;$B144,"",(设置!$B$6-$B144)*100000+ROW()),""))</f>
        <v/>
      </c>
      <c r="V144" s="0" t="str">
        <f aca="false">IF(ISNUMBER($O144),IF($O144&gt;=2,IF(COUNTIFS($D144:$D$2006,$D144,$E144:$E$2006,$E144)=1,ROW(),""),""),"")</f>
        <v/>
      </c>
    </row>
    <row r="145" customFormat="false" ht="15" hidden="false" customHeight="true" outlineLevel="0" collapsed="false">
      <c r="A145" s="13" t="str">
        <f aca="false">IF(AND($B145="",$D145="",$E145="",$F145=""),"",IF(OR($B145="",$D145="",$E145=""),"待补",IF($D145="公共区域","公",IF($D145="商铺","S",SUBSTITUTE($D145,"栋","")))&amp;"-"&amp;$E145&amp;"-"&amp;TEXT(MONTH($B145),"00")&amp;TEXT(DAY($B145),"00")&amp;IF(ISNUMBER($O145),IF($O145&gt;1,"-"&amp;TEXT($O145,"00"),""),"")))</f>
        <v>2-2002-0507</v>
      </c>
      <c r="B145" s="14" t="n">
        <v>45784</v>
      </c>
      <c r="C145" s="10" t="s">
        <v>34</v>
      </c>
      <c r="D145" s="15" t="s">
        <v>129</v>
      </c>
      <c r="E145" s="15" t="s">
        <v>342</v>
      </c>
      <c r="F145" s="16" t="s">
        <v>441</v>
      </c>
      <c r="G145" s="10" t="s">
        <v>108</v>
      </c>
      <c r="H145" s="10" t="s">
        <v>39</v>
      </c>
      <c r="I145" s="10"/>
      <c r="J145" s="15" t="s">
        <v>431</v>
      </c>
      <c r="K145" s="10"/>
      <c r="L145" s="10" t="s">
        <v>43</v>
      </c>
      <c r="M145" s="14"/>
      <c r="N145" s="17" t="str">
        <f aca="false">IF($B145="","",IF($L145="已完成",IF($M145="","",$M145-$B145),IF(设置!$B$6&lt;$B145,"",IF((设置!$B$6-$B145)&gt;=设置!$B$5,"超期"&amp;(设置!$B$6-$B145)&amp;"天","已等"&amp;(设置!$B$6-$B145)&amp;"天"))))</f>
        <v/>
      </c>
      <c r="O145" s="18" t="n">
        <f aca="false">IF(OR($D145="",$E145=""),"",COUNTIFS($D$7:$D145,$D145,$E$7:$E145,$E145))</f>
        <v>1</v>
      </c>
      <c r="P145" s="16"/>
      <c r="Q145" s="19"/>
      <c r="R145" s="10" t="s">
        <v>45</v>
      </c>
      <c r="S145" s="16"/>
      <c r="T145" s="0" t="str">
        <f aca="false">IF(OR($D145="",单元查询!$B$3=""),"",IF($D145&lt;&gt;单元查询!$B$3,"",IF(OR(单元查询!$D$3="",$E145&amp;""=单元查询!$D$3&amp;""),IF(ISNUMBER($B145),$B145*10000,0)+ROW(),"")))</f>
        <v/>
      </c>
      <c r="U145" s="0" t="str">
        <f aca="false">IF(OR($B145="",$L145="已完成"),"",IF(ISNUMBER($B145),IF(设置!$B$6&lt;$B145,"",(设置!$B$6-$B145)*100000+ROW()),""))</f>
        <v/>
      </c>
      <c r="V145" s="0" t="str">
        <f aca="false">IF(ISNUMBER($O145),IF($O145&gt;=2,IF(COUNTIFS($D145:$D$2006,$D145,$E145:$E$2006,$E145)=1,ROW(),""),""),"")</f>
        <v/>
      </c>
    </row>
    <row r="146" customFormat="false" ht="15" hidden="false" customHeight="true" outlineLevel="0" collapsed="false">
      <c r="A146" s="13" t="str">
        <f aca="false">IF(AND($B146="",$D146="",$E146="",$F146=""),"",IF(OR($B146="",$D146="",$E146=""),"待补",IF($D146="公共区域","公",IF($D146="商铺","S",SUBSTITUTE($D146,"栋","")))&amp;"-"&amp;$E146&amp;"-"&amp;TEXT(MONTH($B146),"00")&amp;TEXT(DAY($B146),"00")&amp;IF(ISNUMBER($O146),IF($O146&gt;1,"-"&amp;TEXT($O146,"00"),""),"")))</f>
        <v>9-2604-0507</v>
      </c>
      <c r="B146" s="14" t="n">
        <v>45784</v>
      </c>
      <c r="C146" s="10" t="s">
        <v>34</v>
      </c>
      <c r="D146" s="15" t="s">
        <v>98</v>
      </c>
      <c r="E146" s="15" t="s">
        <v>130</v>
      </c>
      <c r="F146" s="16" t="s">
        <v>442</v>
      </c>
      <c r="G146" s="10" t="s">
        <v>62</v>
      </c>
      <c r="H146" s="10" t="s">
        <v>40</v>
      </c>
      <c r="I146" s="10"/>
      <c r="J146" s="15" t="s">
        <v>443</v>
      </c>
      <c r="K146" s="10"/>
      <c r="L146" s="10" t="s">
        <v>43</v>
      </c>
      <c r="M146" s="14"/>
      <c r="N146" s="17" t="str">
        <f aca="false">IF($B146="","",IF($L146="已完成",IF($M146="","",$M146-$B146),IF(设置!$B$6&lt;$B146,"",IF((设置!$B$6-$B146)&gt;=设置!$B$5,"超期"&amp;(设置!$B$6-$B146)&amp;"天","已等"&amp;(设置!$B$6-$B146)&amp;"天"))))</f>
        <v/>
      </c>
      <c r="O146" s="18" t="n">
        <f aca="false">IF(OR($D146="",$E146=""),"",COUNTIFS($D$7:$D146,$D146,$E$7:$E146,$E146))</f>
        <v>1</v>
      </c>
      <c r="P146" s="16"/>
      <c r="Q146" s="19"/>
      <c r="R146" s="10" t="s">
        <v>45</v>
      </c>
      <c r="S146" s="16" t="s">
        <v>444</v>
      </c>
      <c r="T146" s="0" t="str">
        <f aca="false">IF(OR($D146="",单元查询!$B$3=""),"",IF($D146&lt;&gt;单元查询!$B$3,"",IF(OR(单元查询!$D$3="",$E146&amp;""=单元查询!$D$3&amp;""),IF(ISNUMBER($B146),$B146*10000,0)+ROW(),"")))</f>
        <v/>
      </c>
      <c r="U146" s="0" t="str">
        <f aca="false">IF(OR($B146="",$L146="已完成"),"",IF(ISNUMBER($B146),IF(设置!$B$6&lt;$B146,"",(设置!$B$6-$B146)*100000+ROW()),""))</f>
        <v/>
      </c>
      <c r="V146" s="0" t="str">
        <f aca="false">IF(ISNUMBER($O146),IF($O146&gt;=2,IF(COUNTIFS($D146:$D$2006,$D146,$E146:$E$2006,$E146)=1,ROW(),""),""),"")</f>
        <v/>
      </c>
    </row>
    <row r="147" customFormat="false" ht="15" hidden="false" customHeight="true" outlineLevel="0" collapsed="false">
      <c r="A147" s="13" t="str">
        <f aca="false">IF(AND($B147="",$D147="",$E147="",$F147=""),"",IF(OR($B147="",$D147="",$E147=""),"待补",IF($D147="公共区域","公",IF($D147="商铺","S",SUBSTITUTE($D147,"栋","")))&amp;"-"&amp;$E147&amp;"-"&amp;TEXT(MONTH($B147),"00")&amp;TEXT(DAY($B147),"00")&amp;IF(ISNUMBER($O147),IF($O147&gt;1,"-"&amp;TEXT($O147,"00"),""),"")))</f>
        <v>5-1101-0507</v>
      </c>
      <c r="B147" s="14" t="n">
        <v>45784</v>
      </c>
      <c r="C147" s="10" t="s">
        <v>34</v>
      </c>
      <c r="D147" s="15" t="s">
        <v>53</v>
      </c>
      <c r="E147" s="15" t="s">
        <v>351</v>
      </c>
      <c r="F147" s="16" t="s">
        <v>445</v>
      </c>
      <c r="G147" s="10" t="s">
        <v>78</v>
      </c>
      <c r="H147" s="10" t="s">
        <v>40</v>
      </c>
      <c r="I147" s="10"/>
      <c r="J147" s="15" t="s">
        <v>436</v>
      </c>
      <c r="K147" s="10"/>
      <c r="L147" s="10" t="s">
        <v>43</v>
      </c>
      <c r="M147" s="14"/>
      <c r="N147" s="17" t="str">
        <f aca="false">IF($B147="","",IF($L147="已完成",IF($M147="","",$M147-$B147),IF(设置!$B$6&lt;$B147,"",IF((设置!$B$6-$B147)&gt;=设置!$B$5,"超期"&amp;(设置!$B$6-$B147)&amp;"天","已等"&amp;(设置!$B$6-$B147)&amp;"天"))))</f>
        <v/>
      </c>
      <c r="O147" s="18" t="n">
        <f aca="false">IF(OR($D147="",$E147=""),"",COUNTIFS($D$7:$D147,$D147,$E$7:$E147,$E147))</f>
        <v>1</v>
      </c>
      <c r="P147" s="16" t="s">
        <v>446</v>
      </c>
      <c r="Q147" s="19"/>
      <c r="R147" s="10" t="s">
        <v>65</v>
      </c>
      <c r="S147" s="16"/>
      <c r="T147" s="0" t="str">
        <f aca="false">IF(OR($D147="",单元查询!$B$3=""),"",IF($D147&lt;&gt;单元查询!$B$3,"",IF(OR(单元查询!$D$3="",$E147&amp;""=单元查询!$D$3&amp;""),IF(ISNUMBER($B147),$B147*10000,0)+ROW(),"")))</f>
        <v/>
      </c>
      <c r="U147" s="0" t="str">
        <f aca="false">IF(OR($B147="",$L147="已完成"),"",IF(ISNUMBER($B147),IF(设置!$B$6&lt;$B147,"",(设置!$B$6-$B147)*100000+ROW()),""))</f>
        <v/>
      </c>
      <c r="V147" s="0" t="str">
        <f aca="false">IF(ISNUMBER($O147),IF($O147&gt;=2,IF(COUNTIFS($D147:$D$2006,$D147,$E147:$E$2006,$E147)=1,ROW(),""),""),"")</f>
        <v/>
      </c>
    </row>
    <row r="148" customFormat="false" ht="15" hidden="false" customHeight="true" outlineLevel="0" collapsed="false">
      <c r="A148" s="13" t="str">
        <f aca="false">IF(AND($B148="",$D148="",$E148="",$F148=""),"",IF(OR($B148="",$D148="",$E148=""),"待补",IF($D148="公共区域","公",IF($D148="商铺","S",SUBSTITUTE($D148,"栋","")))&amp;"-"&amp;$E148&amp;"-"&amp;TEXT(MONTH($B148),"00")&amp;TEXT(DAY($B148),"00")&amp;IF(ISNUMBER($O148),IF($O148&gt;1,"-"&amp;TEXT($O148,"00"),""),"")))</f>
        <v>3-402-0507</v>
      </c>
      <c r="B148" s="14" t="n">
        <v>45784</v>
      </c>
      <c r="C148" s="10" t="s">
        <v>34</v>
      </c>
      <c r="D148" s="15" t="s">
        <v>126</v>
      </c>
      <c r="E148" s="15" t="s">
        <v>337</v>
      </c>
      <c r="F148" s="16" t="s">
        <v>447</v>
      </c>
      <c r="G148" s="10" t="s">
        <v>38</v>
      </c>
      <c r="H148" s="10" t="s">
        <v>156</v>
      </c>
      <c r="I148" s="10"/>
      <c r="J148" s="15" t="s">
        <v>448</v>
      </c>
      <c r="K148" s="10" t="s">
        <v>42</v>
      </c>
      <c r="L148" s="10" t="s">
        <v>51</v>
      </c>
      <c r="M148" s="14"/>
      <c r="N148" s="17" t="str">
        <f aca="false">IF($B148="","",IF($L148="已完成",IF($M148="","",$M148-$B148),IF(设置!$B$6&lt;$B148,"",IF((设置!$B$6-$B148)&gt;=设置!$B$5,"超期"&amp;(设置!$B$6-$B148)&amp;"天","已等"&amp;(设置!$B$6-$B148)&amp;"天"))))</f>
        <v>已等0天</v>
      </c>
      <c r="O148" s="18" t="n">
        <f aca="false">IF(OR($D148="",$E148=""),"",COUNTIFS($D$7:$D148,$D148,$E$7:$E148,$E148))</f>
        <v>1</v>
      </c>
      <c r="P148" s="16" t="s">
        <v>449</v>
      </c>
      <c r="Q148" s="19"/>
      <c r="R148" s="10"/>
      <c r="S148" s="16"/>
      <c r="T148" s="0" t="str">
        <f aca="false">IF(OR($D148="",单元查询!$B$3=""),"",IF($D148&lt;&gt;单元查询!$B$3,"",IF(OR(单元查询!$D$3="",$E148&amp;""=单元查询!$D$3&amp;""),IF(ISNUMBER($B148),$B148*10000,0)+ROW(),"")))</f>
        <v/>
      </c>
      <c r="U148" s="0" t="n">
        <f aca="false">IF(OR($B148="",$L148="已完成"),"",IF(ISNUMBER($B148),IF(设置!$B$6&lt;$B148,"",(设置!$B$6-$B148)*100000+ROW()),""))</f>
        <v>148</v>
      </c>
      <c r="V148" s="0" t="str">
        <f aca="false">IF(ISNUMBER($O148),IF($O148&gt;=2,IF(COUNTIFS($D148:$D$2006,$D148,$E148:$E$2006,$E148)=1,ROW(),""),""),"")</f>
        <v/>
      </c>
    </row>
    <row r="149" customFormat="false" ht="15" hidden="false" customHeight="true" outlineLevel="0" collapsed="false">
      <c r="A149" s="13" t="str">
        <f aca="false">IF(AND($B149="",$D149="",$E149="",$F149=""),"",IF(OR($B149="",$D149="",$E149=""),"待补",IF($D149="公共区域","公",IF($D149="商铺","S",SUBSTITUTE($D149,"栋","")))&amp;"-"&amp;$E149&amp;"-"&amp;TEXT(MONTH($B149),"00")&amp;TEXT(DAY($B149),"00")&amp;IF(ISNUMBER($O149),IF($O149&gt;1,"-"&amp;TEXT($O149,"00"),""),"")))</f>
        <v>11-2804-0507</v>
      </c>
      <c r="B149" s="14" t="n">
        <v>45784</v>
      </c>
      <c r="C149" s="10" t="s">
        <v>34</v>
      </c>
      <c r="D149" s="15" t="s">
        <v>113</v>
      </c>
      <c r="E149" s="15" t="s">
        <v>450</v>
      </c>
      <c r="F149" s="16" t="s">
        <v>451</v>
      </c>
      <c r="G149" s="10" t="s">
        <v>108</v>
      </c>
      <c r="H149" s="10" t="s">
        <v>39</v>
      </c>
      <c r="I149" s="10"/>
      <c r="J149" s="15" t="s">
        <v>452</v>
      </c>
      <c r="K149" s="10"/>
      <c r="L149" s="10" t="s">
        <v>43</v>
      </c>
      <c r="M149" s="14"/>
      <c r="N149" s="17" t="str">
        <f aca="false">IF($B149="","",IF($L149="已完成",IF($M149="","",$M149-$B149),IF(设置!$B$6&lt;$B149,"",IF((设置!$B$6-$B149)&gt;=设置!$B$5,"超期"&amp;(设置!$B$6-$B149)&amp;"天","已等"&amp;(设置!$B$6-$B149)&amp;"天"))))</f>
        <v/>
      </c>
      <c r="O149" s="18" t="n">
        <f aca="false">IF(OR($D149="",$E149=""),"",COUNTIFS($D$7:$D149,$D149,$E$7:$E149,$E149))</f>
        <v>1</v>
      </c>
      <c r="P149" s="16" t="s">
        <v>453</v>
      </c>
      <c r="Q149" s="19"/>
      <c r="R149" s="10" t="s">
        <v>45</v>
      </c>
      <c r="S149" s="16"/>
      <c r="T149" s="0" t="str">
        <f aca="false">IF(OR($D149="",单元查询!$B$3=""),"",IF($D149&lt;&gt;单元查询!$B$3,"",IF(OR(单元查询!$D$3="",$E149&amp;""=单元查询!$D$3&amp;""),IF(ISNUMBER($B149),$B149*10000,0)+ROW(),"")))</f>
        <v/>
      </c>
      <c r="U149" s="0" t="str">
        <f aca="false">IF(OR($B149="",$L149="已完成"),"",IF(ISNUMBER($B149),IF(设置!$B$6&lt;$B149,"",(设置!$B$6-$B149)*100000+ROW()),""))</f>
        <v/>
      </c>
      <c r="V149" s="0" t="str">
        <f aca="false">IF(ISNUMBER($O149),IF($O149&gt;=2,IF(COUNTIFS($D149:$D$2006,$D149,$E149:$E$2006,$E149)=1,ROW(),""),""),"")</f>
        <v/>
      </c>
    </row>
    <row r="150" customFormat="false" ht="15" hidden="false" customHeight="true" outlineLevel="0" collapsed="false">
      <c r="A150" s="13" t="str">
        <f aca="false">IF(AND($B150="",$D150="",$E150="",$F150=""),"",IF(OR($B150="",$D150="",$E150=""),"待补",IF($D150="公共区域","公",IF($D150="商铺","S",SUBSTITUTE($D150,"栋","")))&amp;"-"&amp;$E150&amp;"-"&amp;TEXT(MONTH($B150),"00")&amp;TEXT(DAY($B150),"00")&amp;IF(ISNUMBER($O150),IF($O150&gt;1,"-"&amp;TEXT($O150,"00"),""),"")))</f>
        <v/>
      </c>
      <c r="B150" s="14"/>
      <c r="C150" s="10"/>
      <c r="D150" s="10"/>
      <c r="E150" s="10"/>
      <c r="F150" s="16"/>
      <c r="G150" s="10"/>
      <c r="H150" s="10"/>
      <c r="I150" s="10"/>
      <c r="J150" s="10"/>
      <c r="K150" s="10"/>
      <c r="L150" s="10"/>
      <c r="M150" s="14"/>
      <c r="N150" s="17" t="str">
        <f aca="false">IF($B150="","",IF($L150="已完成",IF($M150="","",$M150-$B150),IF(设置!$B$6&lt;$B150,"",IF((设置!$B$6-$B150)&gt;=设置!$B$5,"超期"&amp;(设置!$B$6-$B150)&amp;"天","已等"&amp;(设置!$B$6-$B150)&amp;"天"))))</f>
        <v/>
      </c>
      <c r="O150" s="18" t="str">
        <f aca="false">IF(OR($D150="",$E150=""),"",COUNTIFS($D$7:$D150,$D150,$E$7:$E150,$E150))</f>
        <v/>
      </c>
      <c r="P150" s="16"/>
      <c r="Q150" s="19"/>
      <c r="R150" s="10"/>
      <c r="S150" s="16"/>
      <c r="T150" s="0" t="str">
        <f aca="false">IF(OR($D150="",单元查询!$B$3=""),"",IF($D150&lt;&gt;单元查询!$B$3,"",IF(OR(单元查询!$D$3="",$E150&amp;""=单元查询!$D$3&amp;""),IF(ISNUMBER($B150),$B150*10000,0)+ROW(),"")))</f>
        <v/>
      </c>
      <c r="U150" s="0" t="str">
        <f aca="false">IF(OR($B150="",$L150="已完成"),"",IF(ISNUMBER($B150),IF(设置!$B$6&lt;$B150,"",(设置!$B$6-$B150)*100000+ROW()),""))</f>
        <v/>
      </c>
      <c r="V150" s="0" t="str">
        <f aca="false">IF(ISNUMBER($O150),IF($O150&gt;=2,IF(COUNTIFS($D150:$D$2006,$D150,$E150:$E$2006,$E150)=1,ROW(),""),""),"")</f>
        <v/>
      </c>
    </row>
    <row r="151" customFormat="false" ht="15" hidden="false" customHeight="true" outlineLevel="0" collapsed="false">
      <c r="A151" s="13" t="str">
        <f aca="false">IF(AND($B151="",$D151="",$E151="",$F151=""),"",IF(OR($B151="",$D151="",$E151=""),"待补",IF($D151="公共区域","公",IF($D151="商铺","S",SUBSTITUTE($D151,"栋","")))&amp;"-"&amp;$E151&amp;"-"&amp;TEXT(MONTH($B151),"00")&amp;TEXT(DAY($B151),"00")&amp;IF(ISNUMBER($O151),IF($O151&gt;1,"-"&amp;TEXT($O151,"00"),""),"")))</f>
        <v/>
      </c>
      <c r="B151" s="14"/>
      <c r="C151" s="10"/>
      <c r="D151" s="10"/>
      <c r="E151" s="10"/>
      <c r="F151" s="16"/>
      <c r="G151" s="10"/>
      <c r="H151" s="10"/>
      <c r="I151" s="10"/>
      <c r="J151" s="10"/>
      <c r="K151" s="10"/>
      <c r="L151" s="10"/>
      <c r="M151" s="14"/>
      <c r="N151" s="17" t="str">
        <f aca="false">IF($B151="","",IF($L151="已完成",IF($M151="","",$M151-$B151),IF(设置!$B$6&lt;$B151,"",IF((设置!$B$6-$B151)&gt;=设置!$B$5,"超期"&amp;(设置!$B$6-$B151)&amp;"天","已等"&amp;(设置!$B$6-$B151)&amp;"天"))))</f>
        <v/>
      </c>
      <c r="O151" s="18" t="str">
        <f aca="false">IF(OR($D151="",$E151=""),"",COUNTIFS($D$7:$D151,$D151,$E$7:$E151,$E151))</f>
        <v/>
      </c>
      <c r="P151" s="16"/>
      <c r="Q151" s="19"/>
      <c r="R151" s="10"/>
      <c r="S151" s="16"/>
      <c r="T151" s="0" t="str">
        <f aca="false">IF(OR($D151="",单元查询!$B$3=""),"",IF($D151&lt;&gt;单元查询!$B$3,"",IF(OR(单元查询!$D$3="",$E151&amp;""=单元查询!$D$3&amp;""),IF(ISNUMBER($B151),$B151*10000,0)+ROW(),"")))</f>
        <v/>
      </c>
      <c r="U151" s="0" t="str">
        <f aca="false">IF(OR($B151="",$L151="已完成"),"",IF(ISNUMBER($B151),IF(设置!$B$6&lt;$B151,"",(设置!$B$6-$B151)*100000+ROW()),""))</f>
        <v/>
      </c>
      <c r="V151" s="0" t="str">
        <f aca="false">IF(ISNUMBER($O151),IF($O151&gt;=2,IF(COUNTIFS($D151:$D$2006,$D151,$E151:$E$2006,$E151)=1,ROW(),""),""),"")</f>
        <v/>
      </c>
    </row>
    <row r="152" customFormat="false" ht="15" hidden="false" customHeight="true" outlineLevel="0" collapsed="false">
      <c r="A152" s="13" t="str">
        <f aca="false">IF(AND($B152="",$D152="",$E152="",$F152=""),"",IF(OR($B152="",$D152="",$E152=""),"待补",IF($D152="公共区域","公",IF($D152="商铺","S",SUBSTITUTE($D152,"栋","")))&amp;"-"&amp;$E152&amp;"-"&amp;TEXT(MONTH($B152),"00")&amp;TEXT(DAY($B152),"00")&amp;IF(ISNUMBER($O152),IF($O152&gt;1,"-"&amp;TEXT($O152,"00"),""),"")))</f>
        <v/>
      </c>
      <c r="B152" s="14"/>
      <c r="C152" s="10"/>
      <c r="D152" s="10"/>
      <c r="E152" s="10"/>
      <c r="F152" s="16"/>
      <c r="G152" s="10"/>
      <c r="H152" s="10"/>
      <c r="I152" s="10"/>
      <c r="J152" s="10"/>
      <c r="K152" s="10"/>
      <c r="L152" s="10"/>
      <c r="M152" s="14"/>
      <c r="N152" s="17" t="str">
        <f aca="false">IF($B152="","",IF($L152="已完成",IF($M152="","",$M152-$B152),IF(设置!$B$6&lt;$B152,"",IF((设置!$B$6-$B152)&gt;=设置!$B$5,"超期"&amp;(设置!$B$6-$B152)&amp;"天","已等"&amp;(设置!$B$6-$B152)&amp;"天"))))</f>
        <v/>
      </c>
      <c r="O152" s="18" t="str">
        <f aca="false">IF(OR($D152="",$E152=""),"",COUNTIFS($D$7:$D152,$D152,$E$7:$E152,$E152))</f>
        <v/>
      </c>
      <c r="P152" s="16"/>
      <c r="Q152" s="19"/>
      <c r="R152" s="10"/>
      <c r="S152" s="16"/>
      <c r="T152" s="0" t="str">
        <f aca="false">IF(OR($D152="",单元查询!$B$3=""),"",IF($D152&lt;&gt;单元查询!$B$3,"",IF(OR(单元查询!$D$3="",$E152&amp;""=单元查询!$D$3&amp;""),IF(ISNUMBER($B152),$B152*10000,0)+ROW(),"")))</f>
        <v/>
      </c>
      <c r="U152" s="0" t="str">
        <f aca="false">IF(OR($B152="",$L152="已完成"),"",IF(ISNUMBER($B152),IF(设置!$B$6&lt;$B152,"",(设置!$B$6-$B152)*100000+ROW()),""))</f>
        <v/>
      </c>
      <c r="V152" s="0" t="str">
        <f aca="false">IF(ISNUMBER($O152),IF($O152&gt;=2,IF(COUNTIFS($D152:$D$2006,$D152,$E152:$E$2006,$E152)=1,ROW(),""),""),"")</f>
        <v/>
      </c>
    </row>
    <row r="153" customFormat="false" ht="15" hidden="false" customHeight="true" outlineLevel="0" collapsed="false">
      <c r="A153" s="13" t="str">
        <f aca="false">IF(AND($B153="",$D153="",$E153="",$F153=""),"",IF(OR($B153="",$D153="",$E153=""),"待补",IF($D153="公共区域","公",IF($D153="商铺","S",SUBSTITUTE($D153,"栋","")))&amp;"-"&amp;$E153&amp;"-"&amp;TEXT(MONTH($B153),"00")&amp;TEXT(DAY($B153),"00")&amp;IF(ISNUMBER($O153),IF($O153&gt;1,"-"&amp;TEXT($O153,"00"),""),"")))</f>
        <v/>
      </c>
      <c r="B153" s="14"/>
      <c r="C153" s="10"/>
      <c r="D153" s="10"/>
      <c r="E153" s="10"/>
      <c r="F153" s="16"/>
      <c r="G153" s="10"/>
      <c r="H153" s="10"/>
      <c r="I153" s="10"/>
      <c r="J153" s="10"/>
      <c r="K153" s="10"/>
      <c r="L153" s="10"/>
      <c r="M153" s="14"/>
      <c r="N153" s="17" t="str">
        <f aca="false">IF($B153="","",IF($L153="已完成",IF($M153="","",$M153-$B153),IF(设置!$B$6&lt;$B153,"",IF((设置!$B$6-$B153)&gt;=设置!$B$5,"超期"&amp;(设置!$B$6-$B153)&amp;"天","已等"&amp;(设置!$B$6-$B153)&amp;"天"))))</f>
        <v/>
      </c>
      <c r="O153" s="18" t="str">
        <f aca="false">IF(OR($D153="",$E153=""),"",COUNTIFS($D$7:$D153,$D153,$E$7:$E153,$E153))</f>
        <v/>
      </c>
      <c r="P153" s="16"/>
      <c r="Q153" s="19"/>
      <c r="R153" s="10"/>
      <c r="S153" s="16"/>
      <c r="T153" s="0" t="str">
        <f aca="false">IF(OR($D153="",单元查询!$B$3=""),"",IF($D153&lt;&gt;单元查询!$B$3,"",IF(OR(单元查询!$D$3="",$E153&amp;""=单元查询!$D$3&amp;""),IF(ISNUMBER($B153),$B153*10000,0)+ROW(),"")))</f>
        <v/>
      </c>
      <c r="U153" s="0" t="str">
        <f aca="false">IF(OR($B153="",$L153="已完成"),"",IF(ISNUMBER($B153),IF(设置!$B$6&lt;$B153,"",(设置!$B$6-$B153)*100000+ROW()),""))</f>
        <v/>
      </c>
      <c r="V153" s="0" t="str">
        <f aca="false">IF(ISNUMBER($O153),IF($O153&gt;=2,IF(COUNTIFS($D153:$D$2006,$D153,$E153:$E$2006,$E153)=1,ROW(),""),""),"")</f>
        <v/>
      </c>
    </row>
    <row r="154" customFormat="false" ht="15" hidden="false" customHeight="true" outlineLevel="0" collapsed="false">
      <c r="A154" s="13" t="str">
        <f aca="false">IF(AND($B154="",$D154="",$E154="",$F154=""),"",IF(OR($B154="",$D154="",$E154=""),"待补",IF($D154="公共区域","公",IF($D154="商铺","S",SUBSTITUTE($D154,"栋","")))&amp;"-"&amp;$E154&amp;"-"&amp;TEXT(MONTH($B154),"00")&amp;TEXT(DAY($B154),"00")&amp;IF(ISNUMBER($O154),IF($O154&gt;1,"-"&amp;TEXT($O154,"00"),""),"")))</f>
        <v/>
      </c>
      <c r="B154" s="14"/>
      <c r="C154" s="10"/>
      <c r="D154" s="10"/>
      <c r="E154" s="10"/>
      <c r="F154" s="16"/>
      <c r="G154" s="10"/>
      <c r="H154" s="10"/>
      <c r="I154" s="10"/>
      <c r="J154" s="10"/>
      <c r="K154" s="10"/>
      <c r="L154" s="10"/>
      <c r="M154" s="14"/>
      <c r="N154" s="17" t="str">
        <f aca="false">IF($B154="","",IF($L154="已完成",IF($M154="","",$M154-$B154),IF(设置!$B$6&lt;$B154,"",IF((设置!$B$6-$B154)&gt;=设置!$B$5,"超期"&amp;(设置!$B$6-$B154)&amp;"天","已等"&amp;(设置!$B$6-$B154)&amp;"天"))))</f>
        <v/>
      </c>
      <c r="O154" s="18" t="str">
        <f aca="false">IF(OR($D154="",$E154=""),"",COUNTIFS($D$7:$D154,$D154,$E$7:$E154,$E154))</f>
        <v/>
      </c>
      <c r="P154" s="16"/>
      <c r="Q154" s="19"/>
      <c r="R154" s="10"/>
      <c r="S154" s="16"/>
      <c r="T154" s="0" t="str">
        <f aca="false">IF(OR($D154="",单元查询!$B$3=""),"",IF($D154&lt;&gt;单元查询!$B$3,"",IF(OR(单元查询!$D$3="",$E154&amp;""=单元查询!$D$3&amp;""),IF(ISNUMBER($B154),$B154*10000,0)+ROW(),"")))</f>
        <v/>
      </c>
      <c r="U154" s="0" t="str">
        <f aca="false">IF(OR($B154="",$L154="已完成"),"",IF(ISNUMBER($B154),IF(设置!$B$6&lt;$B154,"",(设置!$B$6-$B154)*100000+ROW()),""))</f>
        <v/>
      </c>
      <c r="V154" s="0" t="str">
        <f aca="false">IF(ISNUMBER($O154),IF($O154&gt;=2,IF(COUNTIFS($D154:$D$2006,$D154,$E154:$E$2006,$E154)=1,ROW(),""),""),"")</f>
        <v/>
      </c>
    </row>
    <row r="155" customFormat="false" ht="15" hidden="false" customHeight="true" outlineLevel="0" collapsed="false">
      <c r="A155" s="13" t="str">
        <f aca="false">IF(AND($B155="",$D155="",$E155="",$F155=""),"",IF(OR($B155="",$D155="",$E155=""),"待补",IF($D155="公共区域","公",IF($D155="商铺","S",SUBSTITUTE($D155,"栋","")))&amp;"-"&amp;$E155&amp;"-"&amp;TEXT(MONTH($B155),"00")&amp;TEXT(DAY($B155),"00")&amp;IF(ISNUMBER($O155),IF($O155&gt;1,"-"&amp;TEXT($O155,"00"),""),"")))</f>
        <v/>
      </c>
      <c r="B155" s="14"/>
      <c r="C155" s="10"/>
      <c r="D155" s="10"/>
      <c r="E155" s="10"/>
      <c r="F155" s="16"/>
      <c r="G155" s="10"/>
      <c r="H155" s="10"/>
      <c r="I155" s="10"/>
      <c r="J155" s="10"/>
      <c r="K155" s="10"/>
      <c r="L155" s="10"/>
      <c r="M155" s="14"/>
      <c r="N155" s="17" t="str">
        <f aca="false">IF($B155="","",IF($L155="已完成",IF($M155="","",$M155-$B155),IF(设置!$B$6&lt;$B155,"",IF((设置!$B$6-$B155)&gt;=设置!$B$5,"超期"&amp;(设置!$B$6-$B155)&amp;"天","已等"&amp;(设置!$B$6-$B155)&amp;"天"))))</f>
        <v/>
      </c>
      <c r="O155" s="18" t="str">
        <f aca="false">IF(OR($D155="",$E155=""),"",COUNTIFS($D$7:$D155,$D155,$E$7:$E155,$E155))</f>
        <v/>
      </c>
      <c r="P155" s="16"/>
      <c r="Q155" s="19"/>
      <c r="R155" s="10"/>
      <c r="S155" s="16"/>
      <c r="T155" s="0" t="str">
        <f aca="false">IF(OR($D155="",单元查询!$B$3=""),"",IF($D155&lt;&gt;单元查询!$B$3,"",IF(OR(单元查询!$D$3="",$E155&amp;""=单元查询!$D$3&amp;""),IF(ISNUMBER($B155),$B155*10000,0)+ROW(),"")))</f>
        <v/>
      </c>
      <c r="U155" s="0" t="str">
        <f aca="false">IF(OR($B155="",$L155="已完成"),"",IF(ISNUMBER($B155),IF(设置!$B$6&lt;$B155,"",(设置!$B$6-$B155)*100000+ROW()),""))</f>
        <v/>
      </c>
      <c r="V155" s="0" t="str">
        <f aca="false">IF(ISNUMBER($O155),IF($O155&gt;=2,IF(COUNTIFS($D155:$D$2006,$D155,$E155:$E$2006,$E155)=1,ROW(),""),""),"")</f>
        <v/>
      </c>
    </row>
    <row r="156" customFormat="false" ht="15" hidden="false" customHeight="true" outlineLevel="0" collapsed="false">
      <c r="A156" s="13" t="str">
        <f aca="false">IF(AND($B156="",$D156="",$E156="",$F156=""),"",IF(OR($B156="",$D156="",$E156=""),"待补",IF($D156="公共区域","公",IF($D156="商铺","S",SUBSTITUTE($D156,"栋","")))&amp;"-"&amp;$E156&amp;"-"&amp;TEXT(MONTH($B156),"00")&amp;TEXT(DAY($B156),"00")&amp;IF(ISNUMBER($O156),IF($O156&gt;1,"-"&amp;TEXT($O156,"00"),""),"")))</f>
        <v/>
      </c>
      <c r="B156" s="14"/>
      <c r="C156" s="10"/>
      <c r="D156" s="10"/>
      <c r="E156" s="10"/>
      <c r="F156" s="16"/>
      <c r="G156" s="10"/>
      <c r="H156" s="10"/>
      <c r="I156" s="10"/>
      <c r="J156" s="10"/>
      <c r="K156" s="10"/>
      <c r="L156" s="10"/>
      <c r="M156" s="14"/>
      <c r="N156" s="17" t="str">
        <f aca="false">IF($B156="","",IF($L156="已完成",IF($M156="","",$M156-$B156),IF(设置!$B$6&lt;$B156,"",IF((设置!$B$6-$B156)&gt;=设置!$B$5,"超期"&amp;(设置!$B$6-$B156)&amp;"天","已等"&amp;(设置!$B$6-$B156)&amp;"天"))))</f>
        <v/>
      </c>
      <c r="O156" s="18" t="str">
        <f aca="false">IF(OR($D156="",$E156=""),"",COUNTIFS($D$7:$D156,$D156,$E$7:$E156,$E156))</f>
        <v/>
      </c>
      <c r="P156" s="16"/>
      <c r="Q156" s="19"/>
      <c r="R156" s="10"/>
      <c r="S156" s="16"/>
      <c r="T156" s="0" t="str">
        <f aca="false">IF(OR($D156="",单元查询!$B$3=""),"",IF($D156&lt;&gt;单元查询!$B$3,"",IF(OR(单元查询!$D$3="",$E156&amp;""=单元查询!$D$3&amp;""),IF(ISNUMBER($B156),$B156*10000,0)+ROW(),"")))</f>
        <v/>
      </c>
      <c r="U156" s="0" t="str">
        <f aca="false">IF(OR($B156="",$L156="已完成"),"",IF(ISNUMBER($B156),IF(设置!$B$6&lt;$B156,"",(设置!$B$6-$B156)*100000+ROW()),""))</f>
        <v/>
      </c>
      <c r="V156" s="0" t="str">
        <f aca="false">IF(ISNUMBER($O156),IF($O156&gt;=2,IF(COUNTIFS($D156:$D$2006,$D156,$E156:$E$2006,$E156)=1,ROW(),""),""),"")</f>
        <v/>
      </c>
    </row>
    <row r="157" customFormat="false" ht="15" hidden="false" customHeight="true" outlineLevel="0" collapsed="false">
      <c r="A157" s="13" t="str">
        <f aca="false">IF(AND($B157="",$D157="",$E157="",$F157=""),"",IF(OR($B157="",$D157="",$E157=""),"待补",IF($D157="公共区域","公",IF($D157="商铺","S",SUBSTITUTE($D157,"栋","")))&amp;"-"&amp;$E157&amp;"-"&amp;TEXT(MONTH($B157),"00")&amp;TEXT(DAY($B157),"00")&amp;IF(ISNUMBER($O157),IF($O157&gt;1,"-"&amp;TEXT($O157,"00"),""),"")))</f>
        <v/>
      </c>
      <c r="B157" s="14"/>
      <c r="C157" s="10"/>
      <c r="D157" s="10"/>
      <c r="E157" s="10"/>
      <c r="F157" s="16"/>
      <c r="G157" s="10"/>
      <c r="H157" s="10"/>
      <c r="I157" s="10"/>
      <c r="J157" s="10"/>
      <c r="K157" s="10"/>
      <c r="L157" s="10"/>
      <c r="M157" s="14"/>
      <c r="N157" s="17" t="str">
        <f aca="false">IF($B157="","",IF($L157="已完成",IF($M157="","",$M157-$B157),IF(设置!$B$6&lt;$B157,"",IF((设置!$B$6-$B157)&gt;=设置!$B$5,"超期"&amp;(设置!$B$6-$B157)&amp;"天","已等"&amp;(设置!$B$6-$B157)&amp;"天"))))</f>
        <v/>
      </c>
      <c r="O157" s="18" t="str">
        <f aca="false">IF(OR($D157="",$E157=""),"",COUNTIFS($D$7:$D157,$D157,$E$7:$E157,$E157))</f>
        <v/>
      </c>
      <c r="P157" s="16"/>
      <c r="Q157" s="19"/>
      <c r="R157" s="10"/>
      <c r="S157" s="16"/>
      <c r="T157" s="0" t="str">
        <f aca="false">IF(OR($D157="",单元查询!$B$3=""),"",IF($D157&lt;&gt;单元查询!$B$3,"",IF(OR(单元查询!$D$3="",$E157&amp;""=单元查询!$D$3&amp;""),IF(ISNUMBER($B157),$B157*10000,0)+ROW(),"")))</f>
        <v/>
      </c>
      <c r="U157" s="0" t="str">
        <f aca="false">IF(OR($B157="",$L157="已完成"),"",IF(ISNUMBER($B157),IF(设置!$B$6&lt;$B157,"",(设置!$B$6-$B157)*100000+ROW()),""))</f>
        <v/>
      </c>
      <c r="V157" s="0" t="str">
        <f aca="false">IF(ISNUMBER($O157),IF($O157&gt;=2,IF(COUNTIFS($D157:$D$2006,$D157,$E157:$E$2006,$E157)=1,ROW(),""),""),"")</f>
        <v/>
      </c>
    </row>
    <row r="158" customFormat="false" ht="15" hidden="false" customHeight="true" outlineLevel="0" collapsed="false">
      <c r="A158" s="13" t="str">
        <f aca="false">IF(AND($B158="",$D158="",$E158="",$F158=""),"",IF(OR($B158="",$D158="",$E158=""),"待补",IF($D158="公共区域","公",IF($D158="商铺","S",SUBSTITUTE($D158,"栋","")))&amp;"-"&amp;$E158&amp;"-"&amp;TEXT(MONTH($B158),"00")&amp;TEXT(DAY($B158),"00")&amp;IF(ISNUMBER($O158),IF($O158&gt;1,"-"&amp;TEXT($O158,"00"),""),"")))</f>
        <v/>
      </c>
      <c r="B158" s="14"/>
      <c r="C158" s="10"/>
      <c r="D158" s="10"/>
      <c r="E158" s="10"/>
      <c r="F158" s="16"/>
      <c r="G158" s="10"/>
      <c r="H158" s="10"/>
      <c r="I158" s="10"/>
      <c r="J158" s="10"/>
      <c r="K158" s="10"/>
      <c r="L158" s="10"/>
      <c r="M158" s="14"/>
      <c r="N158" s="17" t="str">
        <f aca="false">IF($B158="","",IF($L158="已完成",IF($M158="","",$M158-$B158),IF(设置!$B$6&lt;$B158,"",IF((设置!$B$6-$B158)&gt;=设置!$B$5,"超期"&amp;(设置!$B$6-$B158)&amp;"天","已等"&amp;(设置!$B$6-$B158)&amp;"天"))))</f>
        <v/>
      </c>
      <c r="O158" s="18" t="str">
        <f aca="false">IF(OR($D158="",$E158=""),"",COUNTIFS($D$7:$D158,$D158,$E$7:$E158,$E158))</f>
        <v/>
      </c>
      <c r="P158" s="16"/>
      <c r="Q158" s="19"/>
      <c r="R158" s="10"/>
      <c r="S158" s="16"/>
      <c r="T158" s="0" t="str">
        <f aca="false">IF(OR($D158="",单元查询!$B$3=""),"",IF($D158&lt;&gt;单元查询!$B$3,"",IF(OR(单元查询!$D$3="",$E158&amp;""=单元查询!$D$3&amp;""),IF(ISNUMBER($B158),$B158*10000,0)+ROW(),"")))</f>
        <v/>
      </c>
      <c r="U158" s="0" t="str">
        <f aca="false">IF(OR($B158="",$L158="已完成"),"",IF(ISNUMBER($B158),IF(设置!$B$6&lt;$B158,"",(设置!$B$6-$B158)*100000+ROW()),""))</f>
        <v/>
      </c>
      <c r="V158" s="0" t="str">
        <f aca="false">IF(ISNUMBER($O158),IF($O158&gt;=2,IF(COUNTIFS($D158:$D$2006,$D158,$E158:$E$2006,$E158)=1,ROW(),""),""),"")</f>
        <v/>
      </c>
    </row>
    <row r="159" customFormat="false" ht="15" hidden="false" customHeight="true" outlineLevel="0" collapsed="false">
      <c r="A159" s="13" t="str">
        <f aca="false">IF(AND($B159="",$D159="",$E159="",$F159=""),"",IF(OR($B159="",$D159="",$E159=""),"待补",IF($D159="公共区域","公",IF($D159="商铺","S",SUBSTITUTE($D159,"栋","")))&amp;"-"&amp;$E159&amp;"-"&amp;TEXT(MONTH($B159),"00")&amp;TEXT(DAY($B159),"00")&amp;IF(ISNUMBER($O159),IF($O159&gt;1,"-"&amp;TEXT($O159,"00"),""),"")))</f>
        <v/>
      </c>
      <c r="B159" s="14"/>
      <c r="C159" s="10"/>
      <c r="D159" s="10"/>
      <c r="E159" s="10"/>
      <c r="F159" s="16"/>
      <c r="G159" s="10"/>
      <c r="H159" s="10"/>
      <c r="I159" s="10"/>
      <c r="J159" s="10"/>
      <c r="K159" s="10"/>
      <c r="L159" s="10"/>
      <c r="M159" s="14"/>
      <c r="N159" s="17" t="str">
        <f aca="false">IF($B159="","",IF($L159="已完成",IF($M159="","",$M159-$B159),IF(设置!$B$6&lt;$B159,"",IF((设置!$B$6-$B159)&gt;=设置!$B$5,"超期"&amp;(设置!$B$6-$B159)&amp;"天","已等"&amp;(设置!$B$6-$B159)&amp;"天"))))</f>
        <v/>
      </c>
      <c r="O159" s="18" t="str">
        <f aca="false">IF(OR($D159="",$E159=""),"",COUNTIFS($D$7:$D159,$D159,$E$7:$E159,$E159))</f>
        <v/>
      </c>
      <c r="P159" s="16"/>
      <c r="Q159" s="19"/>
      <c r="R159" s="10"/>
      <c r="S159" s="16"/>
      <c r="T159" s="0" t="str">
        <f aca="false">IF(OR($D159="",单元查询!$B$3=""),"",IF($D159&lt;&gt;单元查询!$B$3,"",IF(OR(单元查询!$D$3="",$E159&amp;""=单元查询!$D$3&amp;""),IF(ISNUMBER($B159),$B159*10000,0)+ROW(),"")))</f>
        <v/>
      </c>
      <c r="U159" s="0" t="str">
        <f aca="false">IF(OR($B159="",$L159="已完成"),"",IF(ISNUMBER($B159),IF(设置!$B$6&lt;$B159,"",(设置!$B$6-$B159)*100000+ROW()),""))</f>
        <v/>
      </c>
      <c r="V159" s="0" t="str">
        <f aca="false">IF(ISNUMBER($O159),IF($O159&gt;=2,IF(COUNTIFS($D159:$D$2006,$D159,$E159:$E$2006,$E159)=1,ROW(),""),""),"")</f>
        <v/>
      </c>
    </row>
    <row r="160" customFormat="false" ht="15" hidden="false" customHeight="true" outlineLevel="0" collapsed="false">
      <c r="A160" s="13" t="str">
        <f aca="false">IF(AND($B160="",$D160="",$E160="",$F160=""),"",IF(OR($B160="",$D160="",$E160=""),"待补",IF($D160="公共区域","公",IF($D160="商铺","S",SUBSTITUTE($D160,"栋","")))&amp;"-"&amp;$E160&amp;"-"&amp;TEXT(MONTH($B160),"00")&amp;TEXT(DAY($B160),"00")&amp;IF(ISNUMBER($O160),IF($O160&gt;1,"-"&amp;TEXT($O160,"00"),""),"")))</f>
        <v/>
      </c>
      <c r="B160" s="14"/>
      <c r="C160" s="10"/>
      <c r="D160" s="10"/>
      <c r="E160" s="10"/>
      <c r="F160" s="16"/>
      <c r="G160" s="10"/>
      <c r="H160" s="10"/>
      <c r="I160" s="10"/>
      <c r="J160" s="10"/>
      <c r="K160" s="10"/>
      <c r="L160" s="10"/>
      <c r="M160" s="14"/>
      <c r="N160" s="17" t="str">
        <f aca="false">IF($B160="","",IF($L160="已完成",IF($M160="","",$M160-$B160),IF(设置!$B$6&lt;$B160,"",IF((设置!$B$6-$B160)&gt;=设置!$B$5,"超期"&amp;(设置!$B$6-$B160)&amp;"天","已等"&amp;(设置!$B$6-$B160)&amp;"天"))))</f>
        <v/>
      </c>
      <c r="O160" s="18" t="str">
        <f aca="false">IF(OR($D160="",$E160=""),"",COUNTIFS($D$7:$D160,$D160,$E$7:$E160,$E160))</f>
        <v/>
      </c>
      <c r="P160" s="16"/>
      <c r="Q160" s="19"/>
      <c r="R160" s="10"/>
      <c r="S160" s="16"/>
      <c r="T160" s="0" t="str">
        <f aca="false">IF(OR($D160="",单元查询!$B$3=""),"",IF($D160&lt;&gt;单元查询!$B$3,"",IF(OR(单元查询!$D$3="",$E160&amp;""=单元查询!$D$3&amp;""),IF(ISNUMBER($B160),$B160*10000,0)+ROW(),"")))</f>
        <v/>
      </c>
      <c r="U160" s="0" t="str">
        <f aca="false">IF(OR($B160="",$L160="已完成"),"",IF(ISNUMBER($B160),IF(设置!$B$6&lt;$B160,"",(设置!$B$6-$B160)*100000+ROW()),""))</f>
        <v/>
      </c>
      <c r="V160" s="0" t="str">
        <f aca="false">IF(ISNUMBER($O160),IF($O160&gt;=2,IF(COUNTIFS($D160:$D$2006,$D160,$E160:$E$2006,$E160)=1,ROW(),""),""),"")</f>
        <v/>
      </c>
    </row>
    <row r="161" customFormat="false" ht="15" hidden="false" customHeight="true" outlineLevel="0" collapsed="false">
      <c r="A161" s="13" t="str">
        <f aca="false">IF(AND($B161="",$D161="",$E161="",$F161=""),"",IF(OR($B161="",$D161="",$E161=""),"待补",IF($D161="公共区域","公",IF($D161="商铺","S",SUBSTITUTE($D161,"栋","")))&amp;"-"&amp;$E161&amp;"-"&amp;TEXT(MONTH($B161),"00")&amp;TEXT(DAY($B161),"00")&amp;IF(ISNUMBER($O161),IF($O161&gt;1,"-"&amp;TEXT($O161,"00"),""),"")))</f>
        <v/>
      </c>
      <c r="B161" s="14"/>
      <c r="C161" s="10"/>
      <c r="D161" s="10"/>
      <c r="E161" s="10"/>
      <c r="F161" s="16"/>
      <c r="G161" s="10"/>
      <c r="H161" s="10"/>
      <c r="I161" s="10"/>
      <c r="J161" s="10"/>
      <c r="K161" s="10"/>
      <c r="L161" s="10"/>
      <c r="M161" s="14"/>
      <c r="N161" s="17" t="str">
        <f aca="false">IF($B161="","",IF($L161="已完成",IF($M161="","",$M161-$B161),IF(设置!$B$6&lt;$B161,"",IF((设置!$B$6-$B161)&gt;=设置!$B$5,"超期"&amp;(设置!$B$6-$B161)&amp;"天","已等"&amp;(设置!$B$6-$B161)&amp;"天"))))</f>
        <v/>
      </c>
      <c r="O161" s="18" t="str">
        <f aca="false">IF(OR($D161="",$E161=""),"",COUNTIFS($D$7:$D161,$D161,$E$7:$E161,$E161))</f>
        <v/>
      </c>
      <c r="P161" s="16"/>
      <c r="Q161" s="19"/>
      <c r="R161" s="10"/>
      <c r="S161" s="16"/>
      <c r="T161" s="0" t="str">
        <f aca="false">IF(OR($D161="",单元查询!$B$3=""),"",IF($D161&lt;&gt;单元查询!$B$3,"",IF(OR(单元查询!$D$3="",$E161&amp;""=单元查询!$D$3&amp;""),IF(ISNUMBER($B161),$B161*10000,0)+ROW(),"")))</f>
        <v/>
      </c>
      <c r="U161" s="0" t="str">
        <f aca="false">IF(OR($B161="",$L161="已完成"),"",IF(ISNUMBER($B161),IF(设置!$B$6&lt;$B161,"",(设置!$B$6-$B161)*100000+ROW()),""))</f>
        <v/>
      </c>
      <c r="V161" s="0" t="str">
        <f aca="false">IF(ISNUMBER($O161),IF($O161&gt;=2,IF(COUNTIFS($D161:$D$2006,$D161,$E161:$E$2006,$E161)=1,ROW(),""),""),"")</f>
        <v/>
      </c>
    </row>
    <row r="162" customFormat="false" ht="15" hidden="false" customHeight="true" outlineLevel="0" collapsed="false">
      <c r="A162" s="13" t="str">
        <f aca="false">IF(AND($B162="",$D162="",$E162="",$F162=""),"",IF(OR($B162="",$D162="",$E162=""),"待补",IF($D162="公共区域","公",IF($D162="商铺","S",SUBSTITUTE($D162,"栋","")))&amp;"-"&amp;$E162&amp;"-"&amp;TEXT(MONTH($B162),"00")&amp;TEXT(DAY($B162),"00")&amp;IF(ISNUMBER($O162),IF($O162&gt;1,"-"&amp;TEXT($O162,"00"),""),"")))</f>
        <v/>
      </c>
      <c r="B162" s="14"/>
      <c r="C162" s="10"/>
      <c r="D162" s="10"/>
      <c r="E162" s="10"/>
      <c r="F162" s="16"/>
      <c r="G162" s="10"/>
      <c r="H162" s="10"/>
      <c r="I162" s="10"/>
      <c r="J162" s="10"/>
      <c r="K162" s="10"/>
      <c r="L162" s="10"/>
      <c r="M162" s="14"/>
      <c r="N162" s="17" t="str">
        <f aca="false">IF($B162="","",IF($L162="已完成",IF($M162="","",$M162-$B162),IF(设置!$B$6&lt;$B162,"",IF((设置!$B$6-$B162)&gt;=设置!$B$5,"超期"&amp;(设置!$B$6-$B162)&amp;"天","已等"&amp;(设置!$B$6-$B162)&amp;"天"))))</f>
        <v/>
      </c>
      <c r="O162" s="18" t="str">
        <f aca="false">IF(OR($D162="",$E162=""),"",COUNTIFS($D$7:$D162,$D162,$E$7:$E162,$E162))</f>
        <v/>
      </c>
      <c r="P162" s="16"/>
      <c r="Q162" s="19"/>
      <c r="R162" s="10"/>
      <c r="S162" s="16"/>
      <c r="T162" s="0" t="str">
        <f aca="false">IF(OR($D162="",单元查询!$B$3=""),"",IF($D162&lt;&gt;单元查询!$B$3,"",IF(OR(单元查询!$D$3="",$E162&amp;""=单元查询!$D$3&amp;""),IF(ISNUMBER($B162),$B162*10000,0)+ROW(),"")))</f>
        <v/>
      </c>
      <c r="U162" s="0" t="str">
        <f aca="false">IF(OR($B162="",$L162="已完成"),"",IF(ISNUMBER($B162),IF(设置!$B$6&lt;$B162,"",(设置!$B$6-$B162)*100000+ROW()),""))</f>
        <v/>
      </c>
      <c r="V162" s="0" t="str">
        <f aca="false">IF(ISNUMBER($O162),IF($O162&gt;=2,IF(COUNTIFS($D162:$D$2006,$D162,$E162:$E$2006,$E162)=1,ROW(),""),""),"")</f>
        <v/>
      </c>
    </row>
    <row r="163" customFormat="false" ht="15" hidden="false" customHeight="true" outlineLevel="0" collapsed="false">
      <c r="A163" s="13" t="str">
        <f aca="false">IF(AND($B163="",$D163="",$E163="",$F163=""),"",IF(OR($B163="",$D163="",$E163=""),"待补",IF($D163="公共区域","公",IF($D163="商铺","S",SUBSTITUTE($D163,"栋","")))&amp;"-"&amp;$E163&amp;"-"&amp;TEXT(MONTH($B163),"00")&amp;TEXT(DAY($B163),"00")&amp;IF(ISNUMBER($O163),IF($O163&gt;1,"-"&amp;TEXT($O163,"00"),""),"")))</f>
        <v/>
      </c>
      <c r="B163" s="14"/>
      <c r="C163" s="10"/>
      <c r="D163" s="10"/>
      <c r="E163" s="10"/>
      <c r="F163" s="16"/>
      <c r="G163" s="10"/>
      <c r="H163" s="10"/>
      <c r="I163" s="10"/>
      <c r="J163" s="10"/>
      <c r="K163" s="10"/>
      <c r="L163" s="10"/>
      <c r="M163" s="14"/>
      <c r="N163" s="17" t="str">
        <f aca="false">IF($B163="","",IF($L163="已完成",IF($M163="","",$M163-$B163),IF(设置!$B$6&lt;$B163,"",IF((设置!$B$6-$B163)&gt;=设置!$B$5,"超期"&amp;(设置!$B$6-$B163)&amp;"天","已等"&amp;(设置!$B$6-$B163)&amp;"天"))))</f>
        <v/>
      </c>
      <c r="O163" s="18" t="str">
        <f aca="false">IF(OR($D163="",$E163=""),"",COUNTIFS($D$7:$D163,$D163,$E$7:$E163,$E163))</f>
        <v/>
      </c>
      <c r="P163" s="16"/>
      <c r="Q163" s="19"/>
      <c r="R163" s="10"/>
      <c r="S163" s="16"/>
      <c r="T163" s="0" t="str">
        <f aca="false">IF(OR($D163="",单元查询!$B$3=""),"",IF($D163&lt;&gt;单元查询!$B$3,"",IF(OR(单元查询!$D$3="",$E163&amp;""=单元查询!$D$3&amp;""),IF(ISNUMBER($B163),$B163*10000,0)+ROW(),"")))</f>
        <v/>
      </c>
      <c r="U163" s="0" t="str">
        <f aca="false">IF(OR($B163="",$L163="已完成"),"",IF(ISNUMBER($B163),IF(设置!$B$6&lt;$B163,"",(设置!$B$6-$B163)*100000+ROW()),""))</f>
        <v/>
      </c>
      <c r="V163" s="0" t="str">
        <f aca="false">IF(ISNUMBER($O163),IF($O163&gt;=2,IF(COUNTIFS($D163:$D$2006,$D163,$E163:$E$2006,$E163)=1,ROW(),""),""),"")</f>
        <v/>
      </c>
    </row>
    <row r="164" customFormat="false" ht="15" hidden="false" customHeight="true" outlineLevel="0" collapsed="false">
      <c r="A164" s="13" t="str">
        <f aca="false">IF(AND($B164="",$D164="",$E164="",$F164=""),"",IF(OR($B164="",$D164="",$E164=""),"待补",IF($D164="公共区域","公",IF($D164="商铺","S",SUBSTITUTE($D164,"栋","")))&amp;"-"&amp;$E164&amp;"-"&amp;TEXT(MONTH($B164),"00")&amp;TEXT(DAY($B164),"00")&amp;IF(ISNUMBER($O164),IF($O164&gt;1,"-"&amp;TEXT($O164,"00"),""),"")))</f>
        <v/>
      </c>
      <c r="B164" s="14"/>
      <c r="C164" s="10"/>
      <c r="D164" s="10"/>
      <c r="E164" s="10"/>
      <c r="F164" s="16"/>
      <c r="G164" s="10"/>
      <c r="H164" s="10"/>
      <c r="I164" s="10"/>
      <c r="J164" s="10"/>
      <c r="K164" s="10"/>
      <c r="L164" s="10"/>
      <c r="M164" s="14"/>
      <c r="N164" s="17" t="str">
        <f aca="false">IF($B164="","",IF($L164="已完成",IF($M164="","",$M164-$B164),IF(设置!$B$6&lt;$B164,"",IF((设置!$B$6-$B164)&gt;=设置!$B$5,"超期"&amp;(设置!$B$6-$B164)&amp;"天","已等"&amp;(设置!$B$6-$B164)&amp;"天"))))</f>
        <v/>
      </c>
      <c r="O164" s="18" t="str">
        <f aca="false">IF(OR($D164="",$E164=""),"",COUNTIFS($D$7:$D164,$D164,$E$7:$E164,$E164))</f>
        <v/>
      </c>
      <c r="P164" s="16"/>
      <c r="Q164" s="19"/>
      <c r="R164" s="10"/>
      <c r="S164" s="16"/>
      <c r="T164" s="0" t="str">
        <f aca="false">IF(OR($D164="",单元查询!$B$3=""),"",IF($D164&lt;&gt;单元查询!$B$3,"",IF(OR(单元查询!$D$3="",$E164&amp;""=单元查询!$D$3&amp;""),IF(ISNUMBER($B164),$B164*10000,0)+ROW(),"")))</f>
        <v/>
      </c>
      <c r="U164" s="0" t="str">
        <f aca="false">IF(OR($B164="",$L164="已完成"),"",IF(ISNUMBER($B164),IF(设置!$B$6&lt;$B164,"",(设置!$B$6-$B164)*100000+ROW()),""))</f>
        <v/>
      </c>
      <c r="V164" s="0" t="str">
        <f aca="false">IF(ISNUMBER($O164),IF($O164&gt;=2,IF(COUNTIFS($D164:$D$2006,$D164,$E164:$E$2006,$E164)=1,ROW(),""),""),"")</f>
        <v/>
      </c>
    </row>
    <row r="165" customFormat="false" ht="15" hidden="false" customHeight="true" outlineLevel="0" collapsed="false">
      <c r="A165" s="13" t="str">
        <f aca="false">IF(AND($B165="",$D165="",$E165="",$F165=""),"",IF(OR($B165="",$D165="",$E165=""),"待补",IF($D165="公共区域","公",IF($D165="商铺","S",SUBSTITUTE($D165,"栋","")))&amp;"-"&amp;$E165&amp;"-"&amp;TEXT(MONTH($B165),"00")&amp;TEXT(DAY($B165),"00")&amp;IF(ISNUMBER($O165),IF($O165&gt;1,"-"&amp;TEXT($O165,"00"),""),"")))</f>
        <v/>
      </c>
      <c r="B165" s="14"/>
      <c r="C165" s="10"/>
      <c r="D165" s="10"/>
      <c r="E165" s="10"/>
      <c r="F165" s="16"/>
      <c r="G165" s="10"/>
      <c r="H165" s="10"/>
      <c r="I165" s="10"/>
      <c r="J165" s="10"/>
      <c r="K165" s="10"/>
      <c r="L165" s="10"/>
      <c r="M165" s="14"/>
      <c r="N165" s="17" t="str">
        <f aca="false">IF($B165="","",IF($L165="已完成",IF($M165="","",$M165-$B165),IF(设置!$B$6&lt;$B165,"",IF((设置!$B$6-$B165)&gt;=设置!$B$5,"超期"&amp;(设置!$B$6-$B165)&amp;"天","已等"&amp;(设置!$B$6-$B165)&amp;"天"))))</f>
        <v/>
      </c>
      <c r="O165" s="18" t="str">
        <f aca="false">IF(OR($D165="",$E165=""),"",COUNTIFS($D$7:$D165,$D165,$E$7:$E165,$E165))</f>
        <v/>
      </c>
      <c r="P165" s="16"/>
      <c r="Q165" s="19"/>
      <c r="R165" s="10"/>
      <c r="S165" s="16"/>
      <c r="T165" s="0" t="str">
        <f aca="false">IF(OR($D165="",单元查询!$B$3=""),"",IF($D165&lt;&gt;单元查询!$B$3,"",IF(OR(单元查询!$D$3="",$E165&amp;""=单元查询!$D$3&amp;""),IF(ISNUMBER($B165),$B165*10000,0)+ROW(),"")))</f>
        <v/>
      </c>
      <c r="U165" s="0" t="str">
        <f aca="false">IF(OR($B165="",$L165="已完成"),"",IF(ISNUMBER($B165),IF(设置!$B$6&lt;$B165,"",(设置!$B$6-$B165)*100000+ROW()),""))</f>
        <v/>
      </c>
      <c r="V165" s="0" t="str">
        <f aca="false">IF(ISNUMBER($O165),IF($O165&gt;=2,IF(COUNTIFS($D165:$D$2006,$D165,$E165:$E$2006,$E165)=1,ROW(),""),""),"")</f>
        <v/>
      </c>
    </row>
    <row r="166" customFormat="false" ht="15" hidden="false" customHeight="true" outlineLevel="0" collapsed="false">
      <c r="A166" s="13" t="str">
        <f aca="false">IF(AND($B166="",$D166="",$E166="",$F166=""),"",IF(OR($B166="",$D166="",$E166=""),"待补",IF($D166="公共区域","公",IF($D166="商铺","S",SUBSTITUTE($D166,"栋","")))&amp;"-"&amp;$E166&amp;"-"&amp;TEXT(MONTH($B166),"00")&amp;TEXT(DAY($B166),"00")&amp;IF(ISNUMBER($O166),IF($O166&gt;1,"-"&amp;TEXT($O166,"00"),""),"")))</f>
        <v/>
      </c>
      <c r="B166" s="14"/>
      <c r="C166" s="10"/>
      <c r="D166" s="10"/>
      <c r="E166" s="10"/>
      <c r="F166" s="16"/>
      <c r="G166" s="10"/>
      <c r="H166" s="10"/>
      <c r="I166" s="10"/>
      <c r="J166" s="10"/>
      <c r="K166" s="10"/>
      <c r="L166" s="10"/>
      <c r="M166" s="14"/>
      <c r="N166" s="17" t="str">
        <f aca="false">IF($B166="","",IF($L166="已完成",IF($M166="","",$M166-$B166),IF(设置!$B$6&lt;$B166,"",IF((设置!$B$6-$B166)&gt;=设置!$B$5,"超期"&amp;(设置!$B$6-$B166)&amp;"天","已等"&amp;(设置!$B$6-$B166)&amp;"天"))))</f>
        <v/>
      </c>
      <c r="O166" s="18" t="str">
        <f aca="false">IF(OR($D166="",$E166=""),"",COUNTIFS($D$7:$D166,$D166,$E$7:$E166,$E166))</f>
        <v/>
      </c>
      <c r="P166" s="16"/>
      <c r="Q166" s="19"/>
      <c r="R166" s="10"/>
      <c r="S166" s="16"/>
      <c r="T166" s="0" t="str">
        <f aca="false">IF(OR($D166="",单元查询!$B$3=""),"",IF($D166&lt;&gt;单元查询!$B$3,"",IF(OR(单元查询!$D$3="",$E166&amp;""=单元查询!$D$3&amp;""),IF(ISNUMBER($B166),$B166*10000,0)+ROW(),"")))</f>
        <v/>
      </c>
      <c r="U166" s="0" t="str">
        <f aca="false">IF(OR($B166="",$L166="已完成"),"",IF(ISNUMBER($B166),IF(设置!$B$6&lt;$B166,"",(设置!$B$6-$B166)*100000+ROW()),""))</f>
        <v/>
      </c>
      <c r="V166" s="0" t="str">
        <f aca="false">IF(ISNUMBER($O166),IF($O166&gt;=2,IF(COUNTIFS($D166:$D$2006,$D166,$E166:$E$2006,$E166)=1,ROW(),""),""),"")</f>
        <v/>
      </c>
    </row>
    <row r="167" customFormat="false" ht="15" hidden="false" customHeight="true" outlineLevel="0" collapsed="false">
      <c r="A167" s="13" t="str">
        <f aca="false">IF(AND($B167="",$D167="",$E167="",$F167=""),"",IF(OR($B167="",$D167="",$E167=""),"待补",IF($D167="公共区域","公",IF($D167="商铺","S",SUBSTITUTE($D167,"栋","")))&amp;"-"&amp;$E167&amp;"-"&amp;TEXT(MONTH($B167),"00")&amp;TEXT(DAY($B167),"00")&amp;IF(ISNUMBER($O167),IF($O167&gt;1,"-"&amp;TEXT($O167,"00"),""),"")))</f>
        <v/>
      </c>
      <c r="B167" s="14"/>
      <c r="C167" s="10"/>
      <c r="D167" s="10"/>
      <c r="E167" s="10"/>
      <c r="F167" s="16"/>
      <c r="G167" s="10"/>
      <c r="H167" s="10"/>
      <c r="I167" s="10"/>
      <c r="J167" s="10"/>
      <c r="K167" s="10"/>
      <c r="L167" s="10"/>
      <c r="M167" s="14"/>
      <c r="N167" s="17" t="str">
        <f aca="false">IF($B167="","",IF($L167="已完成",IF($M167="","",$M167-$B167),IF(设置!$B$6&lt;$B167,"",IF((设置!$B$6-$B167)&gt;=设置!$B$5,"超期"&amp;(设置!$B$6-$B167)&amp;"天","已等"&amp;(设置!$B$6-$B167)&amp;"天"))))</f>
        <v/>
      </c>
      <c r="O167" s="18" t="str">
        <f aca="false">IF(OR($D167="",$E167=""),"",COUNTIFS($D$7:$D167,$D167,$E$7:$E167,$E167))</f>
        <v/>
      </c>
      <c r="P167" s="16"/>
      <c r="Q167" s="19"/>
      <c r="R167" s="10"/>
      <c r="S167" s="16"/>
      <c r="T167" s="0" t="str">
        <f aca="false">IF(OR($D167="",单元查询!$B$3=""),"",IF($D167&lt;&gt;单元查询!$B$3,"",IF(OR(单元查询!$D$3="",$E167&amp;""=单元查询!$D$3&amp;""),IF(ISNUMBER($B167),$B167*10000,0)+ROW(),"")))</f>
        <v/>
      </c>
      <c r="U167" s="0" t="str">
        <f aca="false">IF(OR($B167="",$L167="已完成"),"",IF(ISNUMBER($B167),IF(设置!$B$6&lt;$B167,"",(设置!$B$6-$B167)*100000+ROW()),""))</f>
        <v/>
      </c>
      <c r="V167" s="0" t="str">
        <f aca="false">IF(ISNUMBER($O167),IF($O167&gt;=2,IF(COUNTIFS($D167:$D$2006,$D167,$E167:$E$2006,$E167)=1,ROW(),""),""),"")</f>
        <v/>
      </c>
    </row>
    <row r="168" customFormat="false" ht="15" hidden="false" customHeight="true" outlineLevel="0" collapsed="false">
      <c r="A168" s="13" t="str">
        <f aca="false">IF(AND($B168="",$D168="",$E168="",$F168=""),"",IF(OR($B168="",$D168="",$E168=""),"待补",IF($D168="公共区域","公",IF($D168="商铺","S",SUBSTITUTE($D168,"栋","")))&amp;"-"&amp;$E168&amp;"-"&amp;TEXT(MONTH($B168),"00")&amp;TEXT(DAY($B168),"00")&amp;IF(ISNUMBER($O168),IF($O168&gt;1,"-"&amp;TEXT($O168,"00"),""),"")))</f>
        <v/>
      </c>
      <c r="B168" s="14"/>
      <c r="C168" s="10"/>
      <c r="D168" s="10"/>
      <c r="E168" s="10"/>
      <c r="F168" s="16"/>
      <c r="G168" s="10"/>
      <c r="H168" s="10"/>
      <c r="I168" s="10"/>
      <c r="J168" s="10"/>
      <c r="K168" s="10"/>
      <c r="L168" s="10"/>
      <c r="M168" s="14"/>
      <c r="N168" s="17" t="str">
        <f aca="false">IF($B168="","",IF($L168="已完成",IF($M168="","",$M168-$B168),IF(设置!$B$6&lt;$B168,"",IF((设置!$B$6-$B168)&gt;=设置!$B$5,"超期"&amp;(设置!$B$6-$B168)&amp;"天","已等"&amp;(设置!$B$6-$B168)&amp;"天"))))</f>
        <v/>
      </c>
      <c r="O168" s="18" t="str">
        <f aca="false">IF(OR($D168="",$E168=""),"",COUNTIFS($D$7:$D168,$D168,$E$7:$E168,$E168))</f>
        <v/>
      </c>
      <c r="P168" s="16"/>
      <c r="Q168" s="19"/>
      <c r="R168" s="10"/>
      <c r="S168" s="16"/>
      <c r="T168" s="0" t="str">
        <f aca="false">IF(OR($D168="",单元查询!$B$3=""),"",IF($D168&lt;&gt;单元查询!$B$3,"",IF(OR(单元查询!$D$3="",$E168&amp;""=单元查询!$D$3&amp;""),IF(ISNUMBER($B168),$B168*10000,0)+ROW(),"")))</f>
        <v/>
      </c>
      <c r="U168" s="0" t="str">
        <f aca="false">IF(OR($B168="",$L168="已完成"),"",IF(ISNUMBER($B168),IF(设置!$B$6&lt;$B168,"",(设置!$B$6-$B168)*100000+ROW()),""))</f>
        <v/>
      </c>
      <c r="V168" s="0" t="str">
        <f aca="false">IF(ISNUMBER($O168),IF($O168&gt;=2,IF(COUNTIFS($D168:$D$2006,$D168,$E168:$E$2006,$E168)=1,ROW(),""),""),"")</f>
        <v/>
      </c>
    </row>
    <row r="169" customFormat="false" ht="15" hidden="false" customHeight="true" outlineLevel="0" collapsed="false">
      <c r="A169" s="13" t="str">
        <f aca="false">IF(AND($B169="",$D169="",$E169="",$F169=""),"",IF(OR($B169="",$D169="",$E169=""),"待补",IF($D169="公共区域","公",IF($D169="商铺","S",SUBSTITUTE($D169,"栋","")))&amp;"-"&amp;$E169&amp;"-"&amp;TEXT(MONTH($B169),"00")&amp;TEXT(DAY($B169),"00")&amp;IF(ISNUMBER($O169),IF($O169&gt;1,"-"&amp;TEXT($O169,"00"),""),"")))</f>
        <v/>
      </c>
      <c r="B169" s="14"/>
      <c r="C169" s="10"/>
      <c r="D169" s="10"/>
      <c r="E169" s="10"/>
      <c r="F169" s="16"/>
      <c r="G169" s="10"/>
      <c r="H169" s="10"/>
      <c r="I169" s="10"/>
      <c r="J169" s="10"/>
      <c r="K169" s="10"/>
      <c r="L169" s="10"/>
      <c r="M169" s="14"/>
      <c r="N169" s="17" t="str">
        <f aca="false">IF($B169="","",IF($L169="已完成",IF($M169="","",$M169-$B169),IF(设置!$B$6&lt;$B169,"",IF((设置!$B$6-$B169)&gt;=设置!$B$5,"超期"&amp;(设置!$B$6-$B169)&amp;"天","已等"&amp;(设置!$B$6-$B169)&amp;"天"))))</f>
        <v/>
      </c>
      <c r="O169" s="18" t="str">
        <f aca="false">IF(OR($D169="",$E169=""),"",COUNTIFS($D$7:$D169,$D169,$E$7:$E169,$E169))</f>
        <v/>
      </c>
      <c r="P169" s="16"/>
      <c r="Q169" s="19"/>
      <c r="R169" s="10"/>
      <c r="S169" s="16"/>
      <c r="T169" s="0" t="str">
        <f aca="false">IF(OR($D169="",单元查询!$B$3=""),"",IF($D169&lt;&gt;单元查询!$B$3,"",IF(OR(单元查询!$D$3="",$E169&amp;""=单元查询!$D$3&amp;""),IF(ISNUMBER($B169),$B169*10000,0)+ROW(),"")))</f>
        <v/>
      </c>
      <c r="U169" s="0" t="str">
        <f aca="false">IF(OR($B169="",$L169="已完成"),"",IF(ISNUMBER($B169),IF(设置!$B$6&lt;$B169,"",(设置!$B$6-$B169)*100000+ROW()),""))</f>
        <v/>
      </c>
      <c r="V169" s="0" t="str">
        <f aca="false">IF(ISNUMBER($O169),IF($O169&gt;=2,IF(COUNTIFS($D169:$D$2006,$D169,$E169:$E$2006,$E169)=1,ROW(),""),""),"")</f>
        <v/>
      </c>
    </row>
    <row r="170" customFormat="false" ht="15" hidden="false" customHeight="true" outlineLevel="0" collapsed="false">
      <c r="A170" s="13" t="str">
        <f aca="false">IF(AND($B170="",$D170="",$E170="",$F170=""),"",IF(OR($B170="",$D170="",$E170=""),"待补",IF($D170="公共区域","公",IF($D170="商铺","S",SUBSTITUTE($D170,"栋","")))&amp;"-"&amp;$E170&amp;"-"&amp;TEXT(MONTH($B170),"00")&amp;TEXT(DAY($B170),"00")&amp;IF(ISNUMBER($O170),IF($O170&gt;1,"-"&amp;TEXT($O170,"00"),""),"")))</f>
        <v/>
      </c>
      <c r="B170" s="14"/>
      <c r="C170" s="10"/>
      <c r="D170" s="10"/>
      <c r="E170" s="10"/>
      <c r="F170" s="16"/>
      <c r="G170" s="10"/>
      <c r="H170" s="10"/>
      <c r="I170" s="10"/>
      <c r="J170" s="10"/>
      <c r="K170" s="10"/>
      <c r="L170" s="10"/>
      <c r="M170" s="14"/>
      <c r="N170" s="17" t="str">
        <f aca="false">IF($B170="","",IF($L170="已完成",IF($M170="","",$M170-$B170),IF(设置!$B$6&lt;$B170,"",IF((设置!$B$6-$B170)&gt;=设置!$B$5,"超期"&amp;(设置!$B$6-$B170)&amp;"天","已等"&amp;(设置!$B$6-$B170)&amp;"天"))))</f>
        <v/>
      </c>
      <c r="O170" s="18" t="str">
        <f aca="false">IF(OR($D170="",$E170=""),"",COUNTIFS($D$7:$D170,$D170,$E$7:$E170,$E170))</f>
        <v/>
      </c>
      <c r="P170" s="16"/>
      <c r="Q170" s="19"/>
      <c r="R170" s="10"/>
      <c r="S170" s="16"/>
      <c r="T170" s="0" t="str">
        <f aca="false">IF(OR($D170="",单元查询!$B$3=""),"",IF($D170&lt;&gt;单元查询!$B$3,"",IF(OR(单元查询!$D$3="",$E170&amp;""=单元查询!$D$3&amp;""),IF(ISNUMBER($B170),$B170*10000,0)+ROW(),"")))</f>
        <v/>
      </c>
      <c r="U170" s="0" t="str">
        <f aca="false">IF(OR($B170="",$L170="已完成"),"",IF(ISNUMBER($B170),IF(设置!$B$6&lt;$B170,"",(设置!$B$6-$B170)*100000+ROW()),""))</f>
        <v/>
      </c>
      <c r="V170" s="0" t="str">
        <f aca="false">IF(ISNUMBER($O170),IF($O170&gt;=2,IF(COUNTIFS($D170:$D$2006,$D170,$E170:$E$2006,$E170)=1,ROW(),""),""),"")</f>
        <v/>
      </c>
    </row>
    <row r="171" customFormat="false" ht="15" hidden="false" customHeight="true" outlineLevel="0" collapsed="false">
      <c r="A171" s="13" t="str">
        <f aca="false">IF(AND($B171="",$D171="",$E171="",$F171=""),"",IF(OR($B171="",$D171="",$E171=""),"待补",IF($D171="公共区域","公",IF($D171="商铺","S",SUBSTITUTE($D171,"栋","")))&amp;"-"&amp;$E171&amp;"-"&amp;TEXT(MONTH($B171),"00")&amp;TEXT(DAY($B171),"00")&amp;IF(ISNUMBER($O171),IF($O171&gt;1,"-"&amp;TEXT($O171,"00"),""),"")))</f>
        <v/>
      </c>
      <c r="B171" s="14"/>
      <c r="C171" s="10"/>
      <c r="D171" s="10"/>
      <c r="E171" s="10"/>
      <c r="F171" s="16"/>
      <c r="G171" s="10"/>
      <c r="H171" s="10"/>
      <c r="I171" s="10"/>
      <c r="J171" s="10"/>
      <c r="K171" s="10"/>
      <c r="L171" s="10"/>
      <c r="M171" s="14"/>
      <c r="N171" s="17" t="str">
        <f aca="false">IF($B171="","",IF($L171="已完成",IF($M171="","",$M171-$B171),IF(设置!$B$6&lt;$B171,"",IF((设置!$B$6-$B171)&gt;=设置!$B$5,"超期"&amp;(设置!$B$6-$B171)&amp;"天","已等"&amp;(设置!$B$6-$B171)&amp;"天"))))</f>
        <v/>
      </c>
      <c r="O171" s="18" t="str">
        <f aca="false">IF(OR($D171="",$E171=""),"",COUNTIFS($D$7:$D171,$D171,$E$7:$E171,$E171))</f>
        <v/>
      </c>
      <c r="P171" s="16"/>
      <c r="Q171" s="19"/>
      <c r="R171" s="10"/>
      <c r="S171" s="16"/>
      <c r="T171" s="0" t="str">
        <f aca="false">IF(OR($D171="",单元查询!$B$3=""),"",IF($D171&lt;&gt;单元查询!$B$3,"",IF(OR(单元查询!$D$3="",$E171&amp;""=单元查询!$D$3&amp;""),IF(ISNUMBER($B171),$B171*10000,0)+ROW(),"")))</f>
        <v/>
      </c>
      <c r="U171" s="0" t="str">
        <f aca="false">IF(OR($B171="",$L171="已完成"),"",IF(ISNUMBER($B171),IF(设置!$B$6&lt;$B171,"",(设置!$B$6-$B171)*100000+ROW()),""))</f>
        <v/>
      </c>
      <c r="V171" s="0" t="str">
        <f aca="false">IF(ISNUMBER($O171),IF($O171&gt;=2,IF(COUNTIFS($D171:$D$2006,$D171,$E171:$E$2006,$E171)=1,ROW(),""),""),"")</f>
        <v/>
      </c>
    </row>
    <row r="172" customFormat="false" ht="15" hidden="false" customHeight="true" outlineLevel="0" collapsed="false">
      <c r="A172" s="13" t="str">
        <f aca="false">IF(AND($B172="",$D172="",$E172="",$F172=""),"",IF(OR($B172="",$D172="",$E172=""),"待补",IF($D172="公共区域","公",IF($D172="商铺","S",SUBSTITUTE($D172,"栋","")))&amp;"-"&amp;$E172&amp;"-"&amp;TEXT(MONTH($B172),"00")&amp;TEXT(DAY($B172),"00")&amp;IF(ISNUMBER($O172),IF($O172&gt;1,"-"&amp;TEXT($O172,"00"),""),"")))</f>
        <v/>
      </c>
      <c r="B172" s="14"/>
      <c r="C172" s="10"/>
      <c r="D172" s="10"/>
      <c r="E172" s="10"/>
      <c r="F172" s="16"/>
      <c r="G172" s="10"/>
      <c r="H172" s="10"/>
      <c r="I172" s="10"/>
      <c r="J172" s="10"/>
      <c r="K172" s="10"/>
      <c r="L172" s="10"/>
      <c r="M172" s="14"/>
      <c r="N172" s="17" t="str">
        <f aca="false">IF($B172="","",IF($L172="已完成",IF($M172="","",$M172-$B172),IF(设置!$B$6&lt;$B172,"",IF((设置!$B$6-$B172)&gt;=设置!$B$5,"超期"&amp;(设置!$B$6-$B172)&amp;"天","已等"&amp;(设置!$B$6-$B172)&amp;"天"))))</f>
        <v/>
      </c>
      <c r="O172" s="18" t="str">
        <f aca="false">IF(OR($D172="",$E172=""),"",COUNTIFS($D$7:$D172,$D172,$E$7:$E172,$E172))</f>
        <v/>
      </c>
      <c r="P172" s="16"/>
      <c r="Q172" s="19"/>
      <c r="R172" s="10"/>
      <c r="S172" s="16"/>
      <c r="T172" s="0" t="str">
        <f aca="false">IF(OR($D172="",单元查询!$B$3=""),"",IF($D172&lt;&gt;单元查询!$B$3,"",IF(OR(单元查询!$D$3="",$E172&amp;""=单元查询!$D$3&amp;""),IF(ISNUMBER($B172),$B172*10000,0)+ROW(),"")))</f>
        <v/>
      </c>
      <c r="U172" s="0" t="str">
        <f aca="false">IF(OR($B172="",$L172="已完成"),"",IF(ISNUMBER($B172),IF(设置!$B$6&lt;$B172,"",(设置!$B$6-$B172)*100000+ROW()),""))</f>
        <v/>
      </c>
      <c r="V172" s="0" t="str">
        <f aca="false">IF(ISNUMBER($O172),IF($O172&gt;=2,IF(COUNTIFS($D172:$D$2006,$D172,$E172:$E$2006,$E172)=1,ROW(),""),""),"")</f>
        <v/>
      </c>
    </row>
    <row r="173" customFormat="false" ht="15" hidden="false" customHeight="true" outlineLevel="0" collapsed="false">
      <c r="A173" s="13" t="str">
        <f aca="false">IF(AND($B173="",$D173="",$E173="",$F173=""),"",IF(OR($B173="",$D173="",$E173=""),"待补",IF($D173="公共区域","公",IF($D173="商铺","S",SUBSTITUTE($D173,"栋","")))&amp;"-"&amp;$E173&amp;"-"&amp;TEXT(MONTH($B173),"00")&amp;TEXT(DAY($B173),"00")&amp;IF(ISNUMBER($O173),IF($O173&gt;1,"-"&amp;TEXT($O173,"00"),""),"")))</f>
        <v/>
      </c>
      <c r="B173" s="14"/>
      <c r="C173" s="10"/>
      <c r="D173" s="10"/>
      <c r="E173" s="10"/>
      <c r="F173" s="16"/>
      <c r="G173" s="10"/>
      <c r="H173" s="10"/>
      <c r="I173" s="10"/>
      <c r="J173" s="10"/>
      <c r="K173" s="10"/>
      <c r="L173" s="10"/>
      <c r="M173" s="14"/>
      <c r="N173" s="17" t="str">
        <f aca="false">IF($B173="","",IF($L173="已完成",IF($M173="","",$M173-$B173),IF(设置!$B$6&lt;$B173,"",IF((设置!$B$6-$B173)&gt;=设置!$B$5,"超期"&amp;(设置!$B$6-$B173)&amp;"天","已等"&amp;(设置!$B$6-$B173)&amp;"天"))))</f>
        <v/>
      </c>
      <c r="O173" s="18" t="str">
        <f aca="false">IF(OR($D173="",$E173=""),"",COUNTIFS($D$7:$D173,$D173,$E$7:$E173,$E173))</f>
        <v/>
      </c>
      <c r="P173" s="16"/>
      <c r="Q173" s="19"/>
      <c r="R173" s="10"/>
      <c r="S173" s="16"/>
      <c r="T173" s="0" t="str">
        <f aca="false">IF(OR($D173="",单元查询!$B$3=""),"",IF($D173&lt;&gt;单元查询!$B$3,"",IF(OR(单元查询!$D$3="",$E173&amp;""=单元查询!$D$3&amp;""),IF(ISNUMBER($B173),$B173*10000,0)+ROW(),"")))</f>
        <v/>
      </c>
      <c r="U173" s="0" t="str">
        <f aca="false">IF(OR($B173="",$L173="已完成"),"",IF(ISNUMBER($B173),IF(设置!$B$6&lt;$B173,"",(设置!$B$6-$B173)*100000+ROW()),""))</f>
        <v/>
      </c>
      <c r="V173" s="0" t="str">
        <f aca="false">IF(ISNUMBER($O173),IF($O173&gt;=2,IF(COUNTIFS($D173:$D$2006,$D173,$E173:$E$2006,$E173)=1,ROW(),""),""),"")</f>
        <v/>
      </c>
    </row>
    <row r="174" customFormat="false" ht="15" hidden="false" customHeight="true" outlineLevel="0" collapsed="false">
      <c r="A174" s="13" t="str">
        <f aca="false">IF(AND($B174="",$D174="",$E174="",$F174=""),"",IF(OR($B174="",$D174="",$E174=""),"待补",IF($D174="公共区域","公",IF($D174="商铺","S",SUBSTITUTE($D174,"栋","")))&amp;"-"&amp;$E174&amp;"-"&amp;TEXT(MONTH($B174),"00")&amp;TEXT(DAY($B174),"00")&amp;IF(ISNUMBER($O174),IF($O174&gt;1,"-"&amp;TEXT($O174,"00"),""),"")))</f>
        <v/>
      </c>
      <c r="B174" s="14"/>
      <c r="C174" s="10"/>
      <c r="D174" s="10"/>
      <c r="E174" s="10"/>
      <c r="F174" s="16"/>
      <c r="G174" s="10"/>
      <c r="H174" s="10"/>
      <c r="I174" s="10"/>
      <c r="J174" s="10"/>
      <c r="K174" s="10"/>
      <c r="L174" s="10"/>
      <c r="M174" s="14"/>
      <c r="N174" s="17" t="str">
        <f aca="false">IF($B174="","",IF($L174="已完成",IF($M174="","",$M174-$B174),IF(设置!$B$6&lt;$B174,"",IF((设置!$B$6-$B174)&gt;=设置!$B$5,"超期"&amp;(设置!$B$6-$B174)&amp;"天","已等"&amp;(设置!$B$6-$B174)&amp;"天"))))</f>
        <v/>
      </c>
      <c r="O174" s="18" t="str">
        <f aca="false">IF(OR($D174="",$E174=""),"",COUNTIFS($D$7:$D174,$D174,$E$7:$E174,$E174))</f>
        <v/>
      </c>
      <c r="P174" s="16"/>
      <c r="Q174" s="19"/>
      <c r="R174" s="10"/>
      <c r="S174" s="16"/>
      <c r="T174" s="0" t="str">
        <f aca="false">IF(OR($D174="",单元查询!$B$3=""),"",IF($D174&lt;&gt;单元查询!$B$3,"",IF(OR(单元查询!$D$3="",$E174&amp;""=单元查询!$D$3&amp;""),IF(ISNUMBER($B174),$B174*10000,0)+ROW(),"")))</f>
        <v/>
      </c>
      <c r="U174" s="0" t="str">
        <f aca="false">IF(OR($B174="",$L174="已完成"),"",IF(ISNUMBER($B174),IF(设置!$B$6&lt;$B174,"",(设置!$B$6-$B174)*100000+ROW()),""))</f>
        <v/>
      </c>
      <c r="V174" s="0" t="str">
        <f aca="false">IF(ISNUMBER($O174),IF($O174&gt;=2,IF(COUNTIFS($D174:$D$2006,$D174,$E174:$E$2006,$E174)=1,ROW(),""),""),"")</f>
        <v/>
      </c>
    </row>
    <row r="175" customFormat="false" ht="15" hidden="false" customHeight="true" outlineLevel="0" collapsed="false">
      <c r="A175" s="13" t="str">
        <f aca="false">IF(AND($B175="",$D175="",$E175="",$F175=""),"",IF(OR($B175="",$D175="",$E175=""),"待补",IF($D175="公共区域","公",IF($D175="商铺","S",SUBSTITUTE($D175,"栋","")))&amp;"-"&amp;$E175&amp;"-"&amp;TEXT(MONTH($B175),"00")&amp;TEXT(DAY($B175),"00")&amp;IF(ISNUMBER($O175),IF($O175&gt;1,"-"&amp;TEXT($O175,"00"),""),"")))</f>
        <v/>
      </c>
      <c r="B175" s="14"/>
      <c r="C175" s="10"/>
      <c r="D175" s="10"/>
      <c r="E175" s="10"/>
      <c r="F175" s="16"/>
      <c r="G175" s="10"/>
      <c r="H175" s="10"/>
      <c r="I175" s="10"/>
      <c r="J175" s="10"/>
      <c r="K175" s="10"/>
      <c r="L175" s="10"/>
      <c r="M175" s="14"/>
      <c r="N175" s="17" t="str">
        <f aca="false">IF($B175="","",IF($L175="已完成",IF($M175="","",$M175-$B175),IF(设置!$B$6&lt;$B175,"",IF((设置!$B$6-$B175)&gt;=设置!$B$5,"超期"&amp;(设置!$B$6-$B175)&amp;"天","已等"&amp;(设置!$B$6-$B175)&amp;"天"))))</f>
        <v/>
      </c>
      <c r="O175" s="18" t="str">
        <f aca="false">IF(OR($D175="",$E175=""),"",COUNTIFS($D$7:$D175,$D175,$E$7:$E175,$E175))</f>
        <v/>
      </c>
      <c r="P175" s="16"/>
      <c r="Q175" s="19"/>
      <c r="R175" s="10"/>
      <c r="S175" s="16"/>
      <c r="T175" s="0" t="str">
        <f aca="false">IF(OR($D175="",单元查询!$B$3=""),"",IF($D175&lt;&gt;单元查询!$B$3,"",IF(OR(单元查询!$D$3="",$E175&amp;""=单元查询!$D$3&amp;""),IF(ISNUMBER($B175),$B175*10000,0)+ROW(),"")))</f>
        <v/>
      </c>
      <c r="U175" s="0" t="str">
        <f aca="false">IF(OR($B175="",$L175="已完成"),"",IF(ISNUMBER($B175),IF(设置!$B$6&lt;$B175,"",(设置!$B$6-$B175)*100000+ROW()),""))</f>
        <v/>
      </c>
      <c r="V175" s="0" t="str">
        <f aca="false">IF(ISNUMBER($O175),IF($O175&gt;=2,IF(COUNTIFS($D175:$D$2006,$D175,$E175:$E$2006,$E175)=1,ROW(),""),""),"")</f>
        <v/>
      </c>
    </row>
    <row r="176" customFormat="false" ht="15" hidden="false" customHeight="true" outlineLevel="0" collapsed="false">
      <c r="A176" s="13" t="str">
        <f aca="false">IF(AND($B176="",$D176="",$E176="",$F176=""),"",IF(OR($B176="",$D176="",$E176=""),"待补",IF($D176="公共区域","公",IF($D176="商铺","S",SUBSTITUTE($D176,"栋","")))&amp;"-"&amp;$E176&amp;"-"&amp;TEXT(MONTH($B176),"00")&amp;TEXT(DAY($B176),"00")&amp;IF(ISNUMBER($O176),IF($O176&gt;1,"-"&amp;TEXT($O176,"00"),""),"")))</f>
        <v/>
      </c>
      <c r="B176" s="14"/>
      <c r="C176" s="10"/>
      <c r="D176" s="10"/>
      <c r="E176" s="10"/>
      <c r="F176" s="16"/>
      <c r="G176" s="10"/>
      <c r="H176" s="10"/>
      <c r="I176" s="10"/>
      <c r="J176" s="10"/>
      <c r="K176" s="10"/>
      <c r="L176" s="10"/>
      <c r="M176" s="14"/>
      <c r="N176" s="17" t="str">
        <f aca="false">IF($B176="","",IF($L176="已完成",IF($M176="","",$M176-$B176),IF(设置!$B$6&lt;$B176,"",IF((设置!$B$6-$B176)&gt;=设置!$B$5,"超期"&amp;(设置!$B$6-$B176)&amp;"天","已等"&amp;(设置!$B$6-$B176)&amp;"天"))))</f>
        <v/>
      </c>
      <c r="O176" s="18" t="str">
        <f aca="false">IF(OR($D176="",$E176=""),"",COUNTIFS($D$7:$D176,$D176,$E$7:$E176,$E176))</f>
        <v/>
      </c>
      <c r="P176" s="16"/>
      <c r="Q176" s="19"/>
      <c r="R176" s="10"/>
      <c r="S176" s="16"/>
      <c r="T176" s="0" t="str">
        <f aca="false">IF(OR($D176="",单元查询!$B$3=""),"",IF($D176&lt;&gt;单元查询!$B$3,"",IF(OR(单元查询!$D$3="",$E176&amp;""=单元查询!$D$3&amp;""),IF(ISNUMBER($B176),$B176*10000,0)+ROW(),"")))</f>
        <v/>
      </c>
      <c r="U176" s="0" t="str">
        <f aca="false">IF(OR($B176="",$L176="已完成"),"",IF(ISNUMBER($B176),IF(设置!$B$6&lt;$B176,"",(设置!$B$6-$B176)*100000+ROW()),""))</f>
        <v/>
      </c>
      <c r="V176" s="0" t="str">
        <f aca="false">IF(ISNUMBER($O176),IF($O176&gt;=2,IF(COUNTIFS($D176:$D$2006,$D176,$E176:$E$2006,$E176)=1,ROW(),""),""),"")</f>
        <v/>
      </c>
    </row>
    <row r="177" customFormat="false" ht="15" hidden="false" customHeight="true" outlineLevel="0" collapsed="false">
      <c r="A177" s="13" t="str">
        <f aca="false">IF(AND($B177="",$D177="",$E177="",$F177=""),"",IF(OR($B177="",$D177="",$E177=""),"待补",IF($D177="公共区域","公",IF($D177="商铺","S",SUBSTITUTE($D177,"栋","")))&amp;"-"&amp;$E177&amp;"-"&amp;TEXT(MONTH($B177),"00")&amp;TEXT(DAY($B177),"00")&amp;IF(ISNUMBER($O177),IF($O177&gt;1,"-"&amp;TEXT($O177,"00"),""),"")))</f>
        <v/>
      </c>
      <c r="B177" s="14"/>
      <c r="C177" s="10"/>
      <c r="D177" s="10"/>
      <c r="E177" s="10"/>
      <c r="F177" s="16"/>
      <c r="G177" s="10"/>
      <c r="H177" s="10"/>
      <c r="I177" s="10"/>
      <c r="J177" s="10"/>
      <c r="K177" s="10"/>
      <c r="L177" s="10"/>
      <c r="M177" s="14"/>
      <c r="N177" s="17" t="str">
        <f aca="false">IF($B177="","",IF($L177="已完成",IF($M177="","",$M177-$B177),IF(设置!$B$6&lt;$B177,"",IF((设置!$B$6-$B177)&gt;=设置!$B$5,"超期"&amp;(设置!$B$6-$B177)&amp;"天","已等"&amp;(设置!$B$6-$B177)&amp;"天"))))</f>
        <v/>
      </c>
      <c r="O177" s="18" t="str">
        <f aca="false">IF(OR($D177="",$E177=""),"",COUNTIFS($D$7:$D177,$D177,$E$7:$E177,$E177))</f>
        <v/>
      </c>
      <c r="P177" s="16"/>
      <c r="Q177" s="19"/>
      <c r="R177" s="10"/>
      <c r="S177" s="16"/>
      <c r="T177" s="0" t="str">
        <f aca="false">IF(OR($D177="",单元查询!$B$3=""),"",IF($D177&lt;&gt;单元查询!$B$3,"",IF(OR(单元查询!$D$3="",$E177&amp;""=单元查询!$D$3&amp;""),IF(ISNUMBER($B177),$B177*10000,0)+ROW(),"")))</f>
        <v/>
      </c>
      <c r="U177" s="0" t="str">
        <f aca="false">IF(OR($B177="",$L177="已完成"),"",IF(ISNUMBER($B177),IF(设置!$B$6&lt;$B177,"",(设置!$B$6-$B177)*100000+ROW()),""))</f>
        <v/>
      </c>
      <c r="V177" s="0" t="str">
        <f aca="false">IF(ISNUMBER($O177),IF($O177&gt;=2,IF(COUNTIFS($D177:$D$2006,$D177,$E177:$E$2006,$E177)=1,ROW(),""),""),"")</f>
        <v/>
      </c>
    </row>
    <row r="178" customFormat="false" ht="15" hidden="false" customHeight="true" outlineLevel="0" collapsed="false">
      <c r="A178" s="13" t="str">
        <f aca="false">IF(AND($B178="",$D178="",$E178="",$F178=""),"",IF(OR($B178="",$D178="",$E178=""),"待补",IF($D178="公共区域","公",IF($D178="商铺","S",SUBSTITUTE($D178,"栋","")))&amp;"-"&amp;$E178&amp;"-"&amp;TEXT(MONTH($B178),"00")&amp;TEXT(DAY($B178),"00")&amp;IF(ISNUMBER($O178),IF($O178&gt;1,"-"&amp;TEXT($O178,"00"),""),"")))</f>
        <v/>
      </c>
      <c r="B178" s="14"/>
      <c r="C178" s="10"/>
      <c r="D178" s="10"/>
      <c r="E178" s="10"/>
      <c r="F178" s="16"/>
      <c r="G178" s="10"/>
      <c r="H178" s="10"/>
      <c r="I178" s="10"/>
      <c r="J178" s="10"/>
      <c r="K178" s="10"/>
      <c r="L178" s="10"/>
      <c r="M178" s="14"/>
      <c r="N178" s="17" t="str">
        <f aca="false">IF($B178="","",IF($L178="已完成",IF($M178="","",$M178-$B178),IF(设置!$B$6&lt;$B178,"",IF((设置!$B$6-$B178)&gt;=设置!$B$5,"超期"&amp;(设置!$B$6-$B178)&amp;"天","已等"&amp;(设置!$B$6-$B178)&amp;"天"))))</f>
        <v/>
      </c>
      <c r="O178" s="18" t="str">
        <f aca="false">IF(OR($D178="",$E178=""),"",COUNTIFS($D$7:$D178,$D178,$E$7:$E178,$E178))</f>
        <v/>
      </c>
      <c r="P178" s="16"/>
      <c r="Q178" s="19"/>
      <c r="R178" s="10"/>
      <c r="S178" s="16"/>
      <c r="T178" s="0" t="str">
        <f aca="false">IF(OR($D178="",单元查询!$B$3=""),"",IF($D178&lt;&gt;单元查询!$B$3,"",IF(OR(单元查询!$D$3="",$E178&amp;""=单元查询!$D$3&amp;""),IF(ISNUMBER($B178),$B178*10000,0)+ROW(),"")))</f>
        <v/>
      </c>
      <c r="U178" s="0" t="str">
        <f aca="false">IF(OR($B178="",$L178="已完成"),"",IF(ISNUMBER($B178),IF(设置!$B$6&lt;$B178,"",(设置!$B$6-$B178)*100000+ROW()),""))</f>
        <v/>
      </c>
      <c r="V178" s="0" t="str">
        <f aca="false">IF(ISNUMBER($O178),IF($O178&gt;=2,IF(COUNTIFS($D178:$D$2006,$D178,$E178:$E$2006,$E178)=1,ROW(),""),""),"")</f>
        <v/>
      </c>
    </row>
    <row r="179" customFormat="false" ht="15" hidden="false" customHeight="true" outlineLevel="0" collapsed="false">
      <c r="A179" s="13" t="str">
        <f aca="false">IF(AND($B179="",$D179="",$E179="",$F179=""),"",IF(OR($B179="",$D179="",$E179=""),"待补",IF($D179="公共区域","公",IF($D179="商铺","S",SUBSTITUTE($D179,"栋","")))&amp;"-"&amp;$E179&amp;"-"&amp;TEXT(MONTH($B179),"00")&amp;TEXT(DAY($B179),"00")&amp;IF(ISNUMBER($O179),IF($O179&gt;1,"-"&amp;TEXT($O179,"00"),""),"")))</f>
        <v/>
      </c>
      <c r="B179" s="14"/>
      <c r="C179" s="10"/>
      <c r="D179" s="10"/>
      <c r="E179" s="10"/>
      <c r="F179" s="16"/>
      <c r="G179" s="10"/>
      <c r="H179" s="10"/>
      <c r="I179" s="10"/>
      <c r="J179" s="10"/>
      <c r="K179" s="10"/>
      <c r="L179" s="10"/>
      <c r="M179" s="14"/>
      <c r="N179" s="17" t="str">
        <f aca="false">IF($B179="","",IF($L179="已完成",IF($M179="","",$M179-$B179),IF(设置!$B$6&lt;$B179,"",IF((设置!$B$6-$B179)&gt;=设置!$B$5,"超期"&amp;(设置!$B$6-$B179)&amp;"天","已等"&amp;(设置!$B$6-$B179)&amp;"天"))))</f>
        <v/>
      </c>
      <c r="O179" s="18" t="str">
        <f aca="false">IF(OR($D179="",$E179=""),"",COUNTIFS($D$7:$D179,$D179,$E$7:$E179,$E179))</f>
        <v/>
      </c>
      <c r="P179" s="16"/>
      <c r="Q179" s="19"/>
      <c r="R179" s="10"/>
      <c r="S179" s="16"/>
      <c r="T179" s="0" t="str">
        <f aca="false">IF(OR($D179="",单元查询!$B$3=""),"",IF($D179&lt;&gt;单元查询!$B$3,"",IF(OR(单元查询!$D$3="",$E179&amp;""=单元查询!$D$3&amp;""),IF(ISNUMBER($B179),$B179*10000,0)+ROW(),"")))</f>
        <v/>
      </c>
      <c r="U179" s="0" t="str">
        <f aca="false">IF(OR($B179="",$L179="已完成"),"",IF(ISNUMBER($B179),IF(设置!$B$6&lt;$B179,"",(设置!$B$6-$B179)*100000+ROW()),""))</f>
        <v/>
      </c>
      <c r="V179" s="0" t="str">
        <f aca="false">IF(ISNUMBER($O179),IF($O179&gt;=2,IF(COUNTIFS($D179:$D$2006,$D179,$E179:$E$2006,$E179)=1,ROW(),""),""),"")</f>
        <v/>
      </c>
    </row>
    <row r="180" customFormat="false" ht="15" hidden="false" customHeight="true" outlineLevel="0" collapsed="false">
      <c r="A180" s="13" t="str">
        <f aca="false">IF(AND($B180="",$D180="",$E180="",$F180=""),"",IF(OR($B180="",$D180="",$E180=""),"待补",IF($D180="公共区域","公",IF($D180="商铺","S",SUBSTITUTE($D180,"栋","")))&amp;"-"&amp;$E180&amp;"-"&amp;TEXT(MONTH($B180),"00")&amp;TEXT(DAY($B180),"00")&amp;IF(ISNUMBER($O180),IF($O180&gt;1,"-"&amp;TEXT($O180,"00"),""),"")))</f>
        <v/>
      </c>
      <c r="B180" s="14"/>
      <c r="C180" s="10"/>
      <c r="D180" s="10"/>
      <c r="E180" s="10"/>
      <c r="F180" s="16"/>
      <c r="G180" s="10"/>
      <c r="H180" s="10"/>
      <c r="I180" s="10"/>
      <c r="J180" s="10"/>
      <c r="K180" s="10"/>
      <c r="L180" s="10"/>
      <c r="M180" s="14"/>
      <c r="N180" s="17" t="str">
        <f aca="false">IF($B180="","",IF($L180="已完成",IF($M180="","",$M180-$B180),IF(设置!$B$6&lt;$B180,"",IF((设置!$B$6-$B180)&gt;=设置!$B$5,"超期"&amp;(设置!$B$6-$B180)&amp;"天","已等"&amp;(设置!$B$6-$B180)&amp;"天"))))</f>
        <v/>
      </c>
      <c r="O180" s="18" t="str">
        <f aca="false">IF(OR($D180="",$E180=""),"",COUNTIFS($D$7:$D180,$D180,$E$7:$E180,$E180))</f>
        <v/>
      </c>
      <c r="P180" s="16"/>
      <c r="Q180" s="19"/>
      <c r="R180" s="10"/>
      <c r="S180" s="16"/>
      <c r="T180" s="0" t="str">
        <f aca="false">IF(OR($D180="",单元查询!$B$3=""),"",IF($D180&lt;&gt;单元查询!$B$3,"",IF(OR(单元查询!$D$3="",$E180&amp;""=单元查询!$D$3&amp;""),IF(ISNUMBER($B180),$B180*10000,0)+ROW(),"")))</f>
        <v/>
      </c>
      <c r="U180" s="0" t="str">
        <f aca="false">IF(OR($B180="",$L180="已完成"),"",IF(ISNUMBER($B180),IF(设置!$B$6&lt;$B180,"",(设置!$B$6-$B180)*100000+ROW()),""))</f>
        <v/>
      </c>
      <c r="V180" s="0" t="str">
        <f aca="false">IF(ISNUMBER($O180),IF($O180&gt;=2,IF(COUNTIFS($D180:$D$2006,$D180,$E180:$E$2006,$E180)=1,ROW(),""),""),"")</f>
        <v/>
      </c>
    </row>
    <row r="181" customFormat="false" ht="15" hidden="false" customHeight="true" outlineLevel="0" collapsed="false">
      <c r="A181" s="13" t="str">
        <f aca="false">IF(AND($B181="",$D181="",$E181="",$F181=""),"",IF(OR($B181="",$D181="",$E181=""),"待补",IF($D181="公共区域","公",IF($D181="商铺","S",SUBSTITUTE($D181,"栋","")))&amp;"-"&amp;$E181&amp;"-"&amp;TEXT(MONTH($B181),"00")&amp;TEXT(DAY($B181),"00")&amp;IF(ISNUMBER($O181),IF($O181&gt;1,"-"&amp;TEXT($O181,"00"),""),"")))</f>
        <v/>
      </c>
      <c r="B181" s="14"/>
      <c r="C181" s="10"/>
      <c r="D181" s="10"/>
      <c r="E181" s="10"/>
      <c r="F181" s="16"/>
      <c r="G181" s="10"/>
      <c r="H181" s="10"/>
      <c r="I181" s="10"/>
      <c r="J181" s="10"/>
      <c r="K181" s="10"/>
      <c r="L181" s="10"/>
      <c r="M181" s="14"/>
      <c r="N181" s="17" t="str">
        <f aca="false">IF($B181="","",IF($L181="已完成",IF($M181="","",$M181-$B181),IF(设置!$B$6&lt;$B181,"",IF((设置!$B$6-$B181)&gt;=设置!$B$5,"超期"&amp;(设置!$B$6-$B181)&amp;"天","已等"&amp;(设置!$B$6-$B181)&amp;"天"))))</f>
        <v/>
      </c>
      <c r="O181" s="18" t="str">
        <f aca="false">IF(OR($D181="",$E181=""),"",COUNTIFS($D$7:$D181,$D181,$E$7:$E181,$E181))</f>
        <v/>
      </c>
      <c r="P181" s="16"/>
      <c r="Q181" s="19"/>
      <c r="R181" s="10"/>
      <c r="S181" s="16"/>
      <c r="T181" s="0" t="str">
        <f aca="false">IF(OR($D181="",单元查询!$B$3=""),"",IF($D181&lt;&gt;单元查询!$B$3,"",IF(OR(单元查询!$D$3="",$E181&amp;""=单元查询!$D$3&amp;""),IF(ISNUMBER($B181),$B181*10000,0)+ROW(),"")))</f>
        <v/>
      </c>
      <c r="U181" s="0" t="str">
        <f aca="false">IF(OR($B181="",$L181="已完成"),"",IF(ISNUMBER($B181),IF(设置!$B$6&lt;$B181,"",(设置!$B$6-$B181)*100000+ROW()),""))</f>
        <v/>
      </c>
      <c r="V181" s="0" t="str">
        <f aca="false">IF(ISNUMBER($O181),IF($O181&gt;=2,IF(COUNTIFS($D181:$D$2006,$D181,$E181:$E$2006,$E181)=1,ROW(),""),""),"")</f>
        <v/>
      </c>
    </row>
    <row r="182" customFormat="false" ht="15" hidden="false" customHeight="true" outlineLevel="0" collapsed="false">
      <c r="A182" s="13" t="str">
        <f aca="false">IF(AND($B182="",$D182="",$E182="",$F182=""),"",IF(OR($B182="",$D182="",$E182=""),"待补",IF($D182="公共区域","公",IF($D182="商铺","S",SUBSTITUTE($D182,"栋","")))&amp;"-"&amp;$E182&amp;"-"&amp;TEXT(MONTH($B182),"00")&amp;TEXT(DAY($B182),"00")&amp;IF(ISNUMBER($O182),IF($O182&gt;1,"-"&amp;TEXT($O182,"00"),""),"")))</f>
        <v/>
      </c>
      <c r="B182" s="14"/>
      <c r="C182" s="10"/>
      <c r="D182" s="10"/>
      <c r="E182" s="10"/>
      <c r="F182" s="16"/>
      <c r="G182" s="10"/>
      <c r="H182" s="10"/>
      <c r="I182" s="10"/>
      <c r="J182" s="10"/>
      <c r="K182" s="10"/>
      <c r="L182" s="10"/>
      <c r="M182" s="14"/>
      <c r="N182" s="17" t="str">
        <f aca="false">IF($B182="","",IF($L182="已完成",IF($M182="","",$M182-$B182),IF(设置!$B$6&lt;$B182,"",IF((设置!$B$6-$B182)&gt;=设置!$B$5,"超期"&amp;(设置!$B$6-$B182)&amp;"天","已等"&amp;(设置!$B$6-$B182)&amp;"天"))))</f>
        <v/>
      </c>
      <c r="O182" s="18" t="str">
        <f aca="false">IF(OR($D182="",$E182=""),"",COUNTIFS($D$7:$D182,$D182,$E$7:$E182,$E182))</f>
        <v/>
      </c>
      <c r="P182" s="16"/>
      <c r="Q182" s="19"/>
      <c r="R182" s="10"/>
      <c r="S182" s="16"/>
      <c r="T182" s="0" t="str">
        <f aca="false">IF(OR($D182="",单元查询!$B$3=""),"",IF($D182&lt;&gt;单元查询!$B$3,"",IF(OR(单元查询!$D$3="",$E182&amp;""=单元查询!$D$3&amp;""),IF(ISNUMBER($B182),$B182*10000,0)+ROW(),"")))</f>
        <v/>
      </c>
      <c r="U182" s="0" t="str">
        <f aca="false">IF(OR($B182="",$L182="已完成"),"",IF(ISNUMBER($B182),IF(设置!$B$6&lt;$B182,"",(设置!$B$6-$B182)*100000+ROW()),""))</f>
        <v/>
      </c>
      <c r="V182" s="0" t="str">
        <f aca="false">IF(ISNUMBER($O182),IF($O182&gt;=2,IF(COUNTIFS($D182:$D$2006,$D182,$E182:$E$2006,$E182)=1,ROW(),""),""),"")</f>
        <v/>
      </c>
    </row>
    <row r="183" customFormat="false" ht="15" hidden="false" customHeight="true" outlineLevel="0" collapsed="false">
      <c r="A183" s="13" t="str">
        <f aca="false">IF(AND($B183="",$D183="",$E183="",$F183=""),"",IF(OR($B183="",$D183="",$E183=""),"待补",IF($D183="公共区域","公",IF($D183="商铺","S",SUBSTITUTE($D183,"栋","")))&amp;"-"&amp;$E183&amp;"-"&amp;TEXT(MONTH($B183),"00")&amp;TEXT(DAY($B183),"00")&amp;IF(ISNUMBER($O183),IF($O183&gt;1,"-"&amp;TEXT($O183,"00"),""),"")))</f>
        <v/>
      </c>
      <c r="B183" s="14"/>
      <c r="C183" s="10"/>
      <c r="D183" s="10"/>
      <c r="E183" s="10"/>
      <c r="F183" s="16"/>
      <c r="G183" s="10"/>
      <c r="H183" s="10"/>
      <c r="I183" s="10"/>
      <c r="J183" s="10"/>
      <c r="K183" s="10"/>
      <c r="L183" s="10"/>
      <c r="M183" s="14"/>
      <c r="N183" s="17" t="str">
        <f aca="false">IF($B183="","",IF($L183="已完成",IF($M183="","",$M183-$B183),IF(设置!$B$6&lt;$B183,"",IF((设置!$B$6-$B183)&gt;=设置!$B$5,"超期"&amp;(设置!$B$6-$B183)&amp;"天","已等"&amp;(设置!$B$6-$B183)&amp;"天"))))</f>
        <v/>
      </c>
      <c r="O183" s="18" t="str">
        <f aca="false">IF(OR($D183="",$E183=""),"",COUNTIFS($D$7:$D183,$D183,$E$7:$E183,$E183))</f>
        <v/>
      </c>
      <c r="P183" s="16"/>
      <c r="Q183" s="19"/>
      <c r="R183" s="10"/>
      <c r="S183" s="16"/>
      <c r="T183" s="0" t="str">
        <f aca="false">IF(OR($D183="",单元查询!$B$3=""),"",IF($D183&lt;&gt;单元查询!$B$3,"",IF(OR(单元查询!$D$3="",$E183&amp;""=单元查询!$D$3&amp;""),IF(ISNUMBER($B183),$B183*10000,0)+ROW(),"")))</f>
        <v/>
      </c>
      <c r="U183" s="0" t="str">
        <f aca="false">IF(OR($B183="",$L183="已完成"),"",IF(ISNUMBER($B183),IF(设置!$B$6&lt;$B183,"",(设置!$B$6-$B183)*100000+ROW()),""))</f>
        <v/>
      </c>
      <c r="V183" s="0" t="str">
        <f aca="false">IF(ISNUMBER($O183),IF($O183&gt;=2,IF(COUNTIFS($D183:$D$2006,$D183,$E183:$E$2006,$E183)=1,ROW(),""),""),"")</f>
        <v/>
      </c>
    </row>
    <row r="184" customFormat="false" ht="15" hidden="false" customHeight="true" outlineLevel="0" collapsed="false">
      <c r="A184" s="13" t="str">
        <f aca="false">IF(AND($B184="",$D184="",$E184="",$F184=""),"",IF(OR($B184="",$D184="",$E184=""),"待补",IF($D184="公共区域","公",IF($D184="商铺","S",SUBSTITUTE($D184,"栋","")))&amp;"-"&amp;$E184&amp;"-"&amp;TEXT(MONTH($B184),"00")&amp;TEXT(DAY($B184),"00")&amp;IF(ISNUMBER($O184),IF($O184&gt;1,"-"&amp;TEXT($O184,"00"),""),"")))</f>
        <v/>
      </c>
      <c r="B184" s="14"/>
      <c r="C184" s="10"/>
      <c r="D184" s="10"/>
      <c r="E184" s="10"/>
      <c r="F184" s="16"/>
      <c r="G184" s="10"/>
      <c r="H184" s="10"/>
      <c r="I184" s="10"/>
      <c r="J184" s="10"/>
      <c r="K184" s="10"/>
      <c r="L184" s="10"/>
      <c r="M184" s="14"/>
      <c r="N184" s="17" t="str">
        <f aca="false">IF($B184="","",IF($L184="已完成",IF($M184="","",$M184-$B184),IF(设置!$B$6&lt;$B184,"",IF((设置!$B$6-$B184)&gt;=设置!$B$5,"超期"&amp;(设置!$B$6-$B184)&amp;"天","已等"&amp;(设置!$B$6-$B184)&amp;"天"))))</f>
        <v/>
      </c>
      <c r="O184" s="18" t="str">
        <f aca="false">IF(OR($D184="",$E184=""),"",COUNTIFS($D$7:$D184,$D184,$E$7:$E184,$E184))</f>
        <v/>
      </c>
      <c r="P184" s="16"/>
      <c r="Q184" s="19"/>
      <c r="R184" s="10"/>
      <c r="S184" s="16"/>
      <c r="T184" s="0" t="str">
        <f aca="false">IF(OR($D184="",单元查询!$B$3=""),"",IF($D184&lt;&gt;单元查询!$B$3,"",IF(OR(单元查询!$D$3="",$E184&amp;""=单元查询!$D$3&amp;""),IF(ISNUMBER($B184),$B184*10000,0)+ROW(),"")))</f>
        <v/>
      </c>
      <c r="U184" s="0" t="str">
        <f aca="false">IF(OR($B184="",$L184="已完成"),"",IF(ISNUMBER($B184),IF(设置!$B$6&lt;$B184,"",(设置!$B$6-$B184)*100000+ROW()),""))</f>
        <v/>
      </c>
      <c r="V184" s="0" t="str">
        <f aca="false">IF(ISNUMBER($O184),IF($O184&gt;=2,IF(COUNTIFS($D184:$D$2006,$D184,$E184:$E$2006,$E184)=1,ROW(),""),""),"")</f>
        <v/>
      </c>
    </row>
    <row r="185" customFormat="false" ht="15" hidden="false" customHeight="true" outlineLevel="0" collapsed="false">
      <c r="A185" s="13" t="str">
        <f aca="false">IF(AND($B185="",$D185="",$E185="",$F185=""),"",IF(OR($B185="",$D185="",$E185=""),"待补",IF($D185="公共区域","公",IF($D185="商铺","S",SUBSTITUTE($D185,"栋","")))&amp;"-"&amp;$E185&amp;"-"&amp;TEXT(MONTH($B185),"00")&amp;TEXT(DAY($B185),"00")&amp;IF(ISNUMBER($O185),IF($O185&gt;1,"-"&amp;TEXT($O185,"00"),""),"")))</f>
        <v/>
      </c>
      <c r="B185" s="14"/>
      <c r="C185" s="10"/>
      <c r="D185" s="10"/>
      <c r="E185" s="10"/>
      <c r="F185" s="16"/>
      <c r="G185" s="10"/>
      <c r="H185" s="10"/>
      <c r="I185" s="10"/>
      <c r="J185" s="10"/>
      <c r="K185" s="10"/>
      <c r="L185" s="10"/>
      <c r="M185" s="14"/>
      <c r="N185" s="17" t="str">
        <f aca="false">IF($B185="","",IF($L185="已完成",IF($M185="","",$M185-$B185),IF(设置!$B$6&lt;$B185,"",IF((设置!$B$6-$B185)&gt;=设置!$B$5,"超期"&amp;(设置!$B$6-$B185)&amp;"天","已等"&amp;(设置!$B$6-$B185)&amp;"天"))))</f>
        <v/>
      </c>
      <c r="O185" s="18" t="str">
        <f aca="false">IF(OR($D185="",$E185=""),"",COUNTIFS($D$7:$D185,$D185,$E$7:$E185,$E185))</f>
        <v/>
      </c>
      <c r="P185" s="16"/>
      <c r="Q185" s="19"/>
      <c r="R185" s="10"/>
      <c r="S185" s="16"/>
      <c r="T185" s="0" t="str">
        <f aca="false">IF(OR($D185="",单元查询!$B$3=""),"",IF($D185&lt;&gt;单元查询!$B$3,"",IF(OR(单元查询!$D$3="",$E185&amp;""=单元查询!$D$3&amp;""),IF(ISNUMBER($B185),$B185*10000,0)+ROW(),"")))</f>
        <v/>
      </c>
      <c r="U185" s="0" t="str">
        <f aca="false">IF(OR($B185="",$L185="已完成"),"",IF(ISNUMBER($B185),IF(设置!$B$6&lt;$B185,"",(设置!$B$6-$B185)*100000+ROW()),""))</f>
        <v/>
      </c>
      <c r="V185" s="0" t="str">
        <f aca="false">IF(ISNUMBER($O185),IF($O185&gt;=2,IF(COUNTIFS($D185:$D$2006,$D185,$E185:$E$2006,$E185)=1,ROW(),""),""),"")</f>
        <v/>
      </c>
    </row>
    <row r="186" customFormat="false" ht="15" hidden="false" customHeight="true" outlineLevel="0" collapsed="false">
      <c r="A186" s="13" t="str">
        <f aca="false">IF(AND($B186="",$D186="",$E186="",$F186=""),"",IF(OR($B186="",$D186="",$E186=""),"待补",IF($D186="公共区域","公",IF($D186="商铺","S",SUBSTITUTE($D186,"栋","")))&amp;"-"&amp;$E186&amp;"-"&amp;TEXT(MONTH($B186),"00")&amp;TEXT(DAY($B186),"00")&amp;IF(ISNUMBER($O186),IF($O186&gt;1,"-"&amp;TEXT($O186,"00"),""),"")))</f>
        <v/>
      </c>
      <c r="B186" s="14"/>
      <c r="C186" s="10"/>
      <c r="D186" s="10"/>
      <c r="E186" s="10"/>
      <c r="F186" s="16"/>
      <c r="G186" s="10"/>
      <c r="H186" s="10"/>
      <c r="I186" s="10"/>
      <c r="J186" s="10"/>
      <c r="K186" s="10"/>
      <c r="L186" s="10"/>
      <c r="M186" s="14"/>
      <c r="N186" s="17" t="str">
        <f aca="false">IF($B186="","",IF($L186="已完成",IF($M186="","",$M186-$B186),IF(设置!$B$6&lt;$B186,"",IF((设置!$B$6-$B186)&gt;=设置!$B$5,"超期"&amp;(设置!$B$6-$B186)&amp;"天","已等"&amp;(设置!$B$6-$B186)&amp;"天"))))</f>
        <v/>
      </c>
      <c r="O186" s="18" t="str">
        <f aca="false">IF(OR($D186="",$E186=""),"",COUNTIFS($D$7:$D186,$D186,$E$7:$E186,$E186))</f>
        <v/>
      </c>
      <c r="P186" s="16"/>
      <c r="Q186" s="19"/>
      <c r="R186" s="10"/>
      <c r="S186" s="16"/>
      <c r="T186" s="0" t="str">
        <f aca="false">IF(OR($D186="",单元查询!$B$3=""),"",IF($D186&lt;&gt;单元查询!$B$3,"",IF(OR(单元查询!$D$3="",$E186&amp;""=单元查询!$D$3&amp;""),IF(ISNUMBER($B186),$B186*10000,0)+ROW(),"")))</f>
        <v/>
      </c>
      <c r="U186" s="0" t="str">
        <f aca="false">IF(OR($B186="",$L186="已完成"),"",IF(ISNUMBER($B186),IF(设置!$B$6&lt;$B186,"",(设置!$B$6-$B186)*100000+ROW()),""))</f>
        <v/>
      </c>
      <c r="V186" s="0" t="str">
        <f aca="false">IF(ISNUMBER($O186),IF($O186&gt;=2,IF(COUNTIFS($D186:$D$2006,$D186,$E186:$E$2006,$E186)=1,ROW(),""),""),"")</f>
        <v/>
      </c>
    </row>
    <row r="187" customFormat="false" ht="15" hidden="false" customHeight="true" outlineLevel="0" collapsed="false">
      <c r="A187" s="13" t="str">
        <f aca="false">IF(AND($B187="",$D187="",$E187="",$F187=""),"",IF(OR($B187="",$D187="",$E187=""),"待补",IF($D187="公共区域","公",IF($D187="商铺","S",SUBSTITUTE($D187,"栋","")))&amp;"-"&amp;$E187&amp;"-"&amp;TEXT(MONTH($B187),"00")&amp;TEXT(DAY($B187),"00")&amp;IF(ISNUMBER($O187),IF($O187&gt;1,"-"&amp;TEXT($O187,"00"),""),"")))</f>
        <v/>
      </c>
      <c r="B187" s="14"/>
      <c r="C187" s="10"/>
      <c r="D187" s="10"/>
      <c r="E187" s="10"/>
      <c r="F187" s="16"/>
      <c r="G187" s="10"/>
      <c r="H187" s="10"/>
      <c r="I187" s="10"/>
      <c r="J187" s="10"/>
      <c r="K187" s="10"/>
      <c r="L187" s="10"/>
      <c r="M187" s="14"/>
      <c r="N187" s="17" t="str">
        <f aca="false">IF($B187="","",IF($L187="已完成",IF($M187="","",$M187-$B187),IF(设置!$B$6&lt;$B187,"",IF((设置!$B$6-$B187)&gt;=设置!$B$5,"超期"&amp;(设置!$B$6-$B187)&amp;"天","已等"&amp;(设置!$B$6-$B187)&amp;"天"))))</f>
        <v/>
      </c>
      <c r="O187" s="18" t="str">
        <f aca="false">IF(OR($D187="",$E187=""),"",COUNTIFS($D$7:$D187,$D187,$E$7:$E187,$E187))</f>
        <v/>
      </c>
      <c r="P187" s="16"/>
      <c r="Q187" s="19"/>
      <c r="R187" s="10"/>
      <c r="S187" s="16"/>
      <c r="T187" s="0" t="str">
        <f aca="false">IF(OR($D187="",单元查询!$B$3=""),"",IF($D187&lt;&gt;单元查询!$B$3,"",IF(OR(单元查询!$D$3="",$E187&amp;""=单元查询!$D$3&amp;""),IF(ISNUMBER($B187),$B187*10000,0)+ROW(),"")))</f>
        <v/>
      </c>
      <c r="U187" s="0" t="str">
        <f aca="false">IF(OR($B187="",$L187="已完成"),"",IF(ISNUMBER($B187),IF(设置!$B$6&lt;$B187,"",(设置!$B$6-$B187)*100000+ROW()),""))</f>
        <v/>
      </c>
      <c r="V187" s="0" t="str">
        <f aca="false">IF(ISNUMBER($O187),IF($O187&gt;=2,IF(COUNTIFS($D187:$D$2006,$D187,$E187:$E$2006,$E187)=1,ROW(),""),""),"")</f>
        <v/>
      </c>
    </row>
    <row r="188" customFormat="false" ht="15" hidden="false" customHeight="true" outlineLevel="0" collapsed="false">
      <c r="A188" s="13" t="str">
        <f aca="false">IF(AND($B188="",$D188="",$E188="",$F188=""),"",IF(OR($B188="",$D188="",$E188=""),"待补",IF($D188="公共区域","公",IF($D188="商铺","S",SUBSTITUTE($D188,"栋","")))&amp;"-"&amp;$E188&amp;"-"&amp;TEXT(MONTH($B188),"00")&amp;TEXT(DAY($B188),"00")&amp;IF(ISNUMBER($O188),IF($O188&gt;1,"-"&amp;TEXT($O188,"00"),""),"")))</f>
        <v/>
      </c>
      <c r="B188" s="14"/>
      <c r="C188" s="10"/>
      <c r="D188" s="10"/>
      <c r="E188" s="10"/>
      <c r="F188" s="16"/>
      <c r="G188" s="10"/>
      <c r="H188" s="10"/>
      <c r="I188" s="10"/>
      <c r="J188" s="10"/>
      <c r="K188" s="10"/>
      <c r="L188" s="10"/>
      <c r="M188" s="14"/>
      <c r="N188" s="17" t="str">
        <f aca="false">IF($B188="","",IF($L188="已完成",IF($M188="","",$M188-$B188),IF(设置!$B$6&lt;$B188,"",IF((设置!$B$6-$B188)&gt;=设置!$B$5,"超期"&amp;(设置!$B$6-$B188)&amp;"天","已等"&amp;(设置!$B$6-$B188)&amp;"天"))))</f>
        <v/>
      </c>
      <c r="O188" s="18" t="str">
        <f aca="false">IF(OR($D188="",$E188=""),"",COUNTIFS($D$7:$D188,$D188,$E$7:$E188,$E188))</f>
        <v/>
      </c>
      <c r="P188" s="16"/>
      <c r="Q188" s="19"/>
      <c r="R188" s="10"/>
      <c r="S188" s="16"/>
      <c r="T188" s="0" t="str">
        <f aca="false">IF(OR($D188="",单元查询!$B$3=""),"",IF($D188&lt;&gt;单元查询!$B$3,"",IF(OR(单元查询!$D$3="",$E188&amp;""=单元查询!$D$3&amp;""),IF(ISNUMBER($B188),$B188*10000,0)+ROW(),"")))</f>
        <v/>
      </c>
      <c r="U188" s="0" t="str">
        <f aca="false">IF(OR($B188="",$L188="已完成"),"",IF(ISNUMBER($B188),IF(设置!$B$6&lt;$B188,"",(设置!$B$6-$B188)*100000+ROW()),""))</f>
        <v/>
      </c>
      <c r="V188" s="0" t="str">
        <f aca="false">IF(ISNUMBER($O188),IF($O188&gt;=2,IF(COUNTIFS($D188:$D$2006,$D188,$E188:$E$2006,$E188)=1,ROW(),""),""),"")</f>
        <v/>
      </c>
    </row>
    <row r="189" customFormat="false" ht="15" hidden="false" customHeight="true" outlineLevel="0" collapsed="false">
      <c r="A189" s="13" t="str">
        <f aca="false">IF(AND($B189="",$D189="",$E189="",$F189=""),"",IF(OR($B189="",$D189="",$E189=""),"待补",IF($D189="公共区域","公",IF($D189="商铺","S",SUBSTITUTE($D189,"栋","")))&amp;"-"&amp;$E189&amp;"-"&amp;TEXT(MONTH($B189),"00")&amp;TEXT(DAY($B189),"00")&amp;IF(ISNUMBER($O189),IF($O189&gt;1,"-"&amp;TEXT($O189,"00"),""),"")))</f>
        <v/>
      </c>
      <c r="B189" s="14"/>
      <c r="C189" s="10"/>
      <c r="D189" s="10"/>
      <c r="E189" s="10"/>
      <c r="F189" s="16"/>
      <c r="G189" s="10"/>
      <c r="H189" s="10"/>
      <c r="I189" s="10"/>
      <c r="J189" s="10"/>
      <c r="K189" s="10"/>
      <c r="L189" s="10"/>
      <c r="M189" s="14"/>
      <c r="N189" s="17" t="str">
        <f aca="false">IF($B189="","",IF($L189="已完成",IF($M189="","",$M189-$B189),IF(设置!$B$6&lt;$B189,"",IF((设置!$B$6-$B189)&gt;=设置!$B$5,"超期"&amp;(设置!$B$6-$B189)&amp;"天","已等"&amp;(设置!$B$6-$B189)&amp;"天"))))</f>
        <v/>
      </c>
      <c r="O189" s="18" t="str">
        <f aca="false">IF(OR($D189="",$E189=""),"",COUNTIFS($D$7:$D189,$D189,$E$7:$E189,$E189))</f>
        <v/>
      </c>
      <c r="P189" s="16"/>
      <c r="Q189" s="19"/>
      <c r="R189" s="10"/>
      <c r="S189" s="16"/>
      <c r="T189" s="0" t="str">
        <f aca="false">IF(OR($D189="",单元查询!$B$3=""),"",IF($D189&lt;&gt;单元查询!$B$3,"",IF(OR(单元查询!$D$3="",$E189&amp;""=单元查询!$D$3&amp;""),IF(ISNUMBER($B189),$B189*10000,0)+ROW(),"")))</f>
        <v/>
      </c>
      <c r="U189" s="0" t="str">
        <f aca="false">IF(OR($B189="",$L189="已完成"),"",IF(ISNUMBER($B189),IF(设置!$B$6&lt;$B189,"",(设置!$B$6-$B189)*100000+ROW()),""))</f>
        <v/>
      </c>
      <c r="V189" s="0" t="str">
        <f aca="false">IF(ISNUMBER($O189),IF($O189&gt;=2,IF(COUNTIFS($D189:$D$2006,$D189,$E189:$E$2006,$E189)=1,ROW(),""),""),"")</f>
        <v/>
      </c>
    </row>
    <row r="190" customFormat="false" ht="15" hidden="false" customHeight="true" outlineLevel="0" collapsed="false">
      <c r="A190" s="13" t="str">
        <f aca="false">IF(AND($B190="",$D190="",$E190="",$F190=""),"",IF(OR($B190="",$D190="",$E190=""),"待补",IF($D190="公共区域","公",IF($D190="商铺","S",SUBSTITUTE($D190,"栋","")))&amp;"-"&amp;$E190&amp;"-"&amp;TEXT(MONTH($B190),"00")&amp;TEXT(DAY($B190),"00")&amp;IF(ISNUMBER($O190),IF($O190&gt;1,"-"&amp;TEXT($O190,"00"),""),"")))</f>
        <v/>
      </c>
      <c r="B190" s="14"/>
      <c r="C190" s="10"/>
      <c r="D190" s="10"/>
      <c r="E190" s="10"/>
      <c r="F190" s="16"/>
      <c r="G190" s="10"/>
      <c r="H190" s="10"/>
      <c r="I190" s="10"/>
      <c r="J190" s="10"/>
      <c r="K190" s="10"/>
      <c r="L190" s="10"/>
      <c r="M190" s="14"/>
      <c r="N190" s="17" t="str">
        <f aca="false">IF($B190="","",IF($L190="已完成",IF($M190="","",$M190-$B190),IF(设置!$B$6&lt;$B190,"",IF((设置!$B$6-$B190)&gt;=设置!$B$5,"超期"&amp;(设置!$B$6-$B190)&amp;"天","已等"&amp;(设置!$B$6-$B190)&amp;"天"))))</f>
        <v/>
      </c>
      <c r="O190" s="18" t="str">
        <f aca="false">IF(OR($D190="",$E190=""),"",COUNTIFS($D$7:$D190,$D190,$E$7:$E190,$E190))</f>
        <v/>
      </c>
      <c r="P190" s="16"/>
      <c r="Q190" s="19"/>
      <c r="R190" s="10"/>
      <c r="S190" s="16"/>
      <c r="T190" s="0" t="str">
        <f aca="false">IF(OR($D190="",单元查询!$B$3=""),"",IF($D190&lt;&gt;单元查询!$B$3,"",IF(OR(单元查询!$D$3="",$E190&amp;""=单元查询!$D$3&amp;""),IF(ISNUMBER($B190),$B190*10000,0)+ROW(),"")))</f>
        <v/>
      </c>
      <c r="U190" s="0" t="str">
        <f aca="false">IF(OR($B190="",$L190="已完成"),"",IF(ISNUMBER($B190),IF(设置!$B$6&lt;$B190,"",(设置!$B$6-$B190)*100000+ROW()),""))</f>
        <v/>
      </c>
      <c r="V190" s="0" t="str">
        <f aca="false">IF(ISNUMBER($O190),IF($O190&gt;=2,IF(COUNTIFS($D190:$D$2006,$D190,$E190:$E$2006,$E190)=1,ROW(),""),""),"")</f>
        <v/>
      </c>
    </row>
    <row r="191" customFormat="false" ht="15" hidden="false" customHeight="true" outlineLevel="0" collapsed="false">
      <c r="A191" s="13" t="str">
        <f aca="false">IF(AND($B191="",$D191="",$E191="",$F191=""),"",IF(OR($B191="",$D191="",$E191=""),"待补",IF($D191="公共区域","公",IF($D191="商铺","S",SUBSTITUTE($D191,"栋","")))&amp;"-"&amp;$E191&amp;"-"&amp;TEXT(MONTH($B191),"00")&amp;TEXT(DAY($B191),"00")&amp;IF(ISNUMBER($O191),IF($O191&gt;1,"-"&amp;TEXT($O191,"00"),""),"")))</f>
        <v/>
      </c>
      <c r="B191" s="14"/>
      <c r="C191" s="10"/>
      <c r="D191" s="10"/>
      <c r="E191" s="10"/>
      <c r="F191" s="16"/>
      <c r="G191" s="10"/>
      <c r="H191" s="10"/>
      <c r="I191" s="10"/>
      <c r="J191" s="10"/>
      <c r="K191" s="10"/>
      <c r="L191" s="10"/>
      <c r="M191" s="14"/>
      <c r="N191" s="17" t="str">
        <f aca="false">IF($B191="","",IF($L191="已完成",IF($M191="","",$M191-$B191),IF(设置!$B$6&lt;$B191,"",IF((设置!$B$6-$B191)&gt;=设置!$B$5,"超期"&amp;(设置!$B$6-$B191)&amp;"天","已等"&amp;(设置!$B$6-$B191)&amp;"天"))))</f>
        <v/>
      </c>
      <c r="O191" s="18" t="str">
        <f aca="false">IF(OR($D191="",$E191=""),"",COUNTIFS($D$7:$D191,$D191,$E$7:$E191,$E191))</f>
        <v/>
      </c>
      <c r="P191" s="16"/>
      <c r="Q191" s="19"/>
      <c r="R191" s="10"/>
      <c r="S191" s="16"/>
      <c r="T191" s="0" t="str">
        <f aca="false">IF(OR($D191="",单元查询!$B$3=""),"",IF($D191&lt;&gt;单元查询!$B$3,"",IF(OR(单元查询!$D$3="",$E191&amp;""=单元查询!$D$3&amp;""),IF(ISNUMBER($B191),$B191*10000,0)+ROW(),"")))</f>
        <v/>
      </c>
      <c r="U191" s="0" t="str">
        <f aca="false">IF(OR($B191="",$L191="已完成"),"",IF(ISNUMBER($B191),IF(设置!$B$6&lt;$B191,"",(设置!$B$6-$B191)*100000+ROW()),""))</f>
        <v/>
      </c>
      <c r="V191" s="0" t="str">
        <f aca="false">IF(ISNUMBER($O191),IF($O191&gt;=2,IF(COUNTIFS($D191:$D$2006,$D191,$E191:$E$2006,$E191)=1,ROW(),""),""),"")</f>
        <v/>
      </c>
    </row>
    <row r="192" customFormat="false" ht="15" hidden="false" customHeight="true" outlineLevel="0" collapsed="false">
      <c r="A192" s="13" t="str">
        <f aca="false">IF(AND($B192="",$D192="",$E192="",$F192=""),"",IF(OR($B192="",$D192="",$E192=""),"待补",IF($D192="公共区域","公",IF($D192="商铺","S",SUBSTITUTE($D192,"栋","")))&amp;"-"&amp;$E192&amp;"-"&amp;TEXT(MONTH($B192),"00")&amp;TEXT(DAY($B192),"00")&amp;IF(ISNUMBER($O192),IF($O192&gt;1,"-"&amp;TEXT($O192,"00"),""),"")))</f>
        <v/>
      </c>
      <c r="B192" s="14"/>
      <c r="C192" s="10"/>
      <c r="D192" s="10"/>
      <c r="E192" s="10"/>
      <c r="F192" s="16"/>
      <c r="G192" s="10"/>
      <c r="H192" s="10"/>
      <c r="I192" s="10"/>
      <c r="J192" s="10"/>
      <c r="K192" s="10"/>
      <c r="L192" s="10"/>
      <c r="M192" s="14"/>
      <c r="N192" s="17" t="str">
        <f aca="false">IF($B192="","",IF($L192="已完成",IF($M192="","",$M192-$B192),IF(设置!$B$6&lt;$B192,"",IF((设置!$B$6-$B192)&gt;=设置!$B$5,"超期"&amp;(设置!$B$6-$B192)&amp;"天","已等"&amp;(设置!$B$6-$B192)&amp;"天"))))</f>
        <v/>
      </c>
      <c r="O192" s="18" t="str">
        <f aca="false">IF(OR($D192="",$E192=""),"",COUNTIFS($D$7:$D192,$D192,$E$7:$E192,$E192))</f>
        <v/>
      </c>
      <c r="P192" s="16"/>
      <c r="Q192" s="19"/>
      <c r="R192" s="10"/>
      <c r="S192" s="16"/>
      <c r="T192" s="0" t="str">
        <f aca="false">IF(OR($D192="",单元查询!$B$3=""),"",IF($D192&lt;&gt;单元查询!$B$3,"",IF(OR(单元查询!$D$3="",$E192&amp;""=单元查询!$D$3&amp;""),IF(ISNUMBER($B192),$B192*10000,0)+ROW(),"")))</f>
        <v/>
      </c>
      <c r="U192" s="0" t="str">
        <f aca="false">IF(OR($B192="",$L192="已完成"),"",IF(ISNUMBER($B192),IF(设置!$B$6&lt;$B192,"",(设置!$B$6-$B192)*100000+ROW()),""))</f>
        <v/>
      </c>
      <c r="V192" s="0" t="str">
        <f aca="false">IF(ISNUMBER($O192),IF($O192&gt;=2,IF(COUNTIFS($D192:$D$2006,$D192,$E192:$E$2006,$E192)=1,ROW(),""),""),"")</f>
        <v/>
      </c>
    </row>
    <row r="193" customFormat="false" ht="15" hidden="false" customHeight="true" outlineLevel="0" collapsed="false">
      <c r="A193" s="13" t="str">
        <f aca="false">IF(AND($B193="",$D193="",$E193="",$F193=""),"",IF(OR($B193="",$D193="",$E193=""),"待补",IF($D193="公共区域","公",IF($D193="商铺","S",SUBSTITUTE($D193,"栋","")))&amp;"-"&amp;$E193&amp;"-"&amp;TEXT(MONTH($B193),"00")&amp;TEXT(DAY($B193),"00")&amp;IF(ISNUMBER($O193),IF($O193&gt;1,"-"&amp;TEXT($O193,"00"),""),"")))</f>
        <v/>
      </c>
      <c r="B193" s="14"/>
      <c r="C193" s="10"/>
      <c r="D193" s="10"/>
      <c r="E193" s="10"/>
      <c r="F193" s="16"/>
      <c r="G193" s="10"/>
      <c r="H193" s="10"/>
      <c r="I193" s="10"/>
      <c r="J193" s="10"/>
      <c r="K193" s="10"/>
      <c r="L193" s="10"/>
      <c r="M193" s="14"/>
      <c r="N193" s="17" t="str">
        <f aca="false">IF($B193="","",IF($L193="已完成",IF($M193="","",$M193-$B193),IF(设置!$B$6&lt;$B193,"",IF((设置!$B$6-$B193)&gt;=设置!$B$5,"超期"&amp;(设置!$B$6-$B193)&amp;"天","已等"&amp;(设置!$B$6-$B193)&amp;"天"))))</f>
        <v/>
      </c>
      <c r="O193" s="18" t="str">
        <f aca="false">IF(OR($D193="",$E193=""),"",COUNTIFS($D$7:$D193,$D193,$E$7:$E193,$E193))</f>
        <v/>
      </c>
      <c r="P193" s="16"/>
      <c r="Q193" s="19"/>
      <c r="R193" s="10"/>
      <c r="S193" s="16"/>
      <c r="T193" s="0" t="str">
        <f aca="false">IF(OR($D193="",单元查询!$B$3=""),"",IF($D193&lt;&gt;单元查询!$B$3,"",IF(OR(单元查询!$D$3="",$E193&amp;""=单元查询!$D$3&amp;""),IF(ISNUMBER($B193),$B193*10000,0)+ROW(),"")))</f>
        <v/>
      </c>
      <c r="U193" s="0" t="str">
        <f aca="false">IF(OR($B193="",$L193="已完成"),"",IF(ISNUMBER($B193),IF(设置!$B$6&lt;$B193,"",(设置!$B$6-$B193)*100000+ROW()),""))</f>
        <v/>
      </c>
      <c r="V193" s="0" t="str">
        <f aca="false">IF(ISNUMBER($O193),IF($O193&gt;=2,IF(COUNTIFS($D193:$D$2006,$D193,$E193:$E$2006,$E193)=1,ROW(),""),""),"")</f>
        <v/>
      </c>
    </row>
    <row r="194" customFormat="false" ht="15" hidden="false" customHeight="true" outlineLevel="0" collapsed="false">
      <c r="A194" s="13" t="str">
        <f aca="false">IF(AND($B194="",$D194="",$E194="",$F194=""),"",IF(OR($B194="",$D194="",$E194=""),"待补",IF($D194="公共区域","公",IF($D194="商铺","S",SUBSTITUTE($D194,"栋","")))&amp;"-"&amp;$E194&amp;"-"&amp;TEXT(MONTH($B194),"00")&amp;TEXT(DAY($B194),"00")&amp;IF(ISNUMBER($O194),IF($O194&gt;1,"-"&amp;TEXT($O194,"00"),""),"")))</f>
        <v/>
      </c>
      <c r="B194" s="14"/>
      <c r="C194" s="10"/>
      <c r="D194" s="10"/>
      <c r="E194" s="10"/>
      <c r="F194" s="16"/>
      <c r="G194" s="10"/>
      <c r="H194" s="10"/>
      <c r="I194" s="10"/>
      <c r="J194" s="10"/>
      <c r="K194" s="10"/>
      <c r="L194" s="10"/>
      <c r="M194" s="14"/>
      <c r="N194" s="17" t="str">
        <f aca="false">IF($B194="","",IF($L194="已完成",IF($M194="","",$M194-$B194),IF(设置!$B$6&lt;$B194,"",IF((设置!$B$6-$B194)&gt;=设置!$B$5,"超期"&amp;(设置!$B$6-$B194)&amp;"天","已等"&amp;(设置!$B$6-$B194)&amp;"天"))))</f>
        <v/>
      </c>
      <c r="O194" s="18" t="str">
        <f aca="false">IF(OR($D194="",$E194=""),"",COUNTIFS($D$7:$D194,$D194,$E$7:$E194,$E194))</f>
        <v/>
      </c>
      <c r="P194" s="16"/>
      <c r="Q194" s="19"/>
      <c r="R194" s="10"/>
      <c r="S194" s="16"/>
      <c r="T194" s="0" t="str">
        <f aca="false">IF(OR($D194="",单元查询!$B$3=""),"",IF($D194&lt;&gt;单元查询!$B$3,"",IF(OR(单元查询!$D$3="",$E194&amp;""=单元查询!$D$3&amp;""),IF(ISNUMBER($B194),$B194*10000,0)+ROW(),"")))</f>
        <v/>
      </c>
      <c r="U194" s="0" t="str">
        <f aca="false">IF(OR($B194="",$L194="已完成"),"",IF(ISNUMBER($B194),IF(设置!$B$6&lt;$B194,"",(设置!$B$6-$B194)*100000+ROW()),""))</f>
        <v/>
      </c>
      <c r="V194" s="0" t="str">
        <f aca="false">IF(ISNUMBER($O194),IF($O194&gt;=2,IF(COUNTIFS($D194:$D$2006,$D194,$E194:$E$2006,$E194)=1,ROW(),""),""),"")</f>
        <v/>
      </c>
    </row>
    <row r="195" customFormat="false" ht="15" hidden="false" customHeight="true" outlineLevel="0" collapsed="false">
      <c r="A195" s="13" t="str">
        <f aca="false">IF(AND($B195="",$D195="",$E195="",$F195=""),"",IF(OR($B195="",$D195="",$E195=""),"待补",IF($D195="公共区域","公",IF($D195="商铺","S",SUBSTITUTE($D195,"栋","")))&amp;"-"&amp;$E195&amp;"-"&amp;TEXT(MONTH($B195),"00")&amp;TEXT(DAY($B195),"00")&amp;IF(ISNUMBER($O195),IF($O195&gt;1,"-"&amp;TEXT($O195,"00"),""),"")))</f>
        <v/>
      </c>
      <c r="B195" s="14"/>
      <c r="C195" s="10"/>
      <c r="D195" s="10"/>
      <c r="E195" s="10"/>
      <c r="F195" s="16"/>
      <c r="G195" s="10"/>
      <c r="H195" s="10"/>
      <c r="I195" s="10"/>
      <c r="J195" s="10"/>
      <c r="K195" s="10"/>
      <c r="L195" s="10"/>
      <c r="M195" s="14"/>
      <c r="N195" s="17" t="str">
        <f aca="false">IF($B195="","",IF($L195="已完成",IF($M195="","",$M195-$B195),IF(设置!$B$6&lt;$B195,"",IF((设置!$B$6-$B195)&gt;=设置!$B$5,"超期"&amp;(设置!$B$6-$B195)&amp;"天","已等"&amp;(设置!$B$6-$B195)&amp;"天"))))</f>
        <v/>
      </c>
      <c r="O195" s="18" t="str">
        <f aca="false">IF(OR($D195="",$E195=""),"",COUNTIFS($D$7:$D195,$D195,$E$7:$E195,$E195))</f>
        <v/>
      </c>
      <c r="P195" s="16"/>
      <c r="Q195" s="19"/>
      <c r="R195" s="10"/>
      <c r="S195" s="16"/>
      <c r="T195" s="0" t="str">
        <f aca="false">IF(OR($D195="",单元查询!$B$3=""),"",IF($D195&lt;&gt;单元查询!$B$3,"",IF(OR(单元查询!$D$3="",$E195&amp;""=单元查询!$D$3&amp;""),IF(ISNUMBER($B195),$B195*10000,0)+ROW(),"")))</f>
        <v/>
      </c>
      <c r="U195" s="0" t="str">
        <f aca="false">IF(OR($B195="",$L195="已完成"),"",IF(ISNUMBER($B195),IF(设置!$B$6&lt;$B195,"",(设置!$B$6-$B195)*100000+ROW()),""))</f>
        <v/>
      </c>
      <c r="V195" s="0" t="str">
        <f aca="false">IF(ISNUMBER($O195),IF($O195&gt;=2,IF(COUNTIFS($D195:$D$2006,$D195,$E195:$E$2006,$E195)=1,ROW(),""),""),"")</f>
        <v/>
      </c>
    </row>
    <row r="196" customFormat="false" ht="15" hidden="false" customHeight="true" outlineLevel="0" collapsed="false">
      <c r="A196" s="13" t="str">
        <f aca="false">IF(AND($B196="",$D196="",$E196="",$F196=""),"",IF(OR($B196="",$D196="",$E196=""),"待补",IF($D196="公共区域","公",IF($D196="商铺","S",SUBSTITUTE($D196,"栋","")))&amp;"-"&amp;$E196&amp;"-"&amp;TEXT(MONTH($B196),"00")&amp;TEXT(DAY($B196),"00")&amp;IF(ISNUMBER($O196),IF($O196&gt;1,"-"&amp;TEXT($O196,"00"),""),"")))</f>
        <v/>
      </c>
      <c r="B196" s="14"/>
      <c r="C196" s="10"/>
      <c r="D196" s="10"/>
      <c r="E196" s="10"/>
      <c r="F196" s="16"/>
      <c r="G196" s="10"/>
      <c r="H196" s="10"/>
      <c r="I196" s="10"/>
      <c r="J196" s="10"/>
      <c r="K196" s="10"/>
      <c r="L196" s="10"/>
      <c r="M196" s="14"/>
      <c r="N196" s="17" t="str">
        <f aca="false">IF($B196="","",IF($L196="已完成",IF($M196="","",$M196-$B196),IF(设置!$B$6&lt;$B196,"",IF((设置!$B$6-$B196)&gt;=设置!$B$5,"超期"&amp;(设置!$B$6-$B196)&amp;"天","已等"&amp;(设置!$B$6-$B196)&amp;"天"))))</f>
        <v/>
      </c>
      <c r="O196" s="18" t="str">
        <f aca="false">IF(OR($D196="",$E196=""),"",COUNTIFS($D$7:$D196,$D196,$E$7:$E196,$E196))</f>
        <v/>
      </c>
      <c r="P196" s="16"/>
      <c r="Q196" s="19"/>
      <c r="R196" s="10"/>
      <c r="S196" s="16"/>
      <c r="T196" s="0" t="str">
        <f aca="false">IF(OR($D196="",单元查询!$B$3=""),"",IF($D196&lt;&gt;单元查询!$B$3,"",IF(OR(单元查询!$D$3="",$E196&amp;""=单元查询!$D$3&amp;""),IF(ISNUMBER($B196),$B196*10000,0)+ROW(),"")))</f>
        <v/>
      </c>
      <c r="U196" s="0" t="str">
        <f aca="false">IF(OR($B196="",$L196="已完成"),"",IF(ISNUMBER($B196),IF(设置!$B$6&lt;$B196,"",(设置!$B$6-$B196)*100000+ROW()),""))</f>
        <v/>
      </c>
      <c r="V196" s="0" t="str">
        <f aca="false">IF(ISNUMBER($O196),IF($O196&gt;=2,IF(COUNTIFS($D196:$D$2006,$D196,$E196:$E$2006,$E196)=1,ROW(),""),""),"")</f>
        <v/>
      </c>
    </row>
    <row r="197" customFormat="false" ht="15" hidden="false" customHeight="true" outlineLevel="0" collapsed="false">
      <c r="A197" s="13" t="str">
        <f aca="false">IF(AND($B197="",$D197="",$E197="",$F197=""),"",IF(OR($B197="",$D197="",$E197=""),"待补",IF($D197="公共区域","公",IF($D197="商铺","S",SUBSTITUTE($D197,"栋","")))&amp;"-"&amp;$E197&amp;"-"&amp;TEXT(MONTH($B197),"00")&amp;TEXT(DAY($B197),"00")&amp;IF(ISNUMBER($O197),IF($O197&gt;1,"-"&amp;TEXT($O197,"00"),""),"")))</f>
        <v/>
      </c>
      <c r="B197" s="14"/>
      <c r="C197" s="10"/>
      <c r="D197" s="10"/>
      <c r="E197" s="10"/>
      <c r="F197" s="16"/>
      <c r="G197" s="10"/>
      <c r="H197" s="10"/>
      <c r="I197" s="10"/>
      <c r="J197" s="10"/>
      <c r="K197" s="10"/>
      <c r="L197" s="10"/>
      <c r="M197" s="14"/>
      <c r="N197" s="17" t="str">
        <f aca="false">IF($B197="","",IF($L197="已完成",IF($M197="","",$M197-$B197),IF(设置!$B$6&lt;$B197,"",IF((设置!$B$6-$B197)&gt;=设置!$B$5,"超期"&amp;(设置!$B$6-$B197)&amp;"天","已等"&amp;(设置!$B$6-$B197)&amp;"天"))))</f>
        <v/>
      </c>
      <c r="O197" s="18" t="str">
        <f aca="false">IF(OR($D197="",$E197=""),"",COUNTIFS($D$7:$D197,$D197,$E$7:$E197,$E197))</f>
        <v/>
      </c>
      <c r="P197" s="16"/>
      <c r="Q197" s="19"/>
      <c r="R197" s="10"/>
      <c r="S197" s="16"/>
      <c r="T197" s="0" t="str">
        <f aca="false">IF(OR($D197="",单元查询!$B$3=""),"",IF($D197&lt;&gt;单元查询!$B$3,"",IF(OR(单元查询!$D$3="",$E197&amp;""=单元查询!$D$3&amp;""),IF(ISNUMBER($B197),$B197*10000,0)+ROW(),"")))</f>
        <v/>
      </c>
      <c r="U197" s="0" t="str">
        <f aca="false">IF(OR($B197="",$L197="已完成"),"",IF(ISNUMBER($B197),IF(设置!$B$6&lt;$B197,"",(设置!$B$6-$B197)*100000+ROW()),""))</f>
        <v/>
      </c>
      <c r="V197" s="0" t="str">
        <f aca="false">IF(ISNUMBER($O197),IF($O197&gt;=2,IF(COUNTIFS($D197:$D$2006,$D197,$E197:$E$2006,$E197)=1,ROW(),""),""),"")</f>
        <v/>
      </c>
    </row>
    <row r="198" customFormat="false" ht="15" hidden="false" customHeight="true" outlineLevel="0" collapsed="false">
      <c r="A198" s="13" t="str">
        <f aca="false">IF(AND($B198="",$D198="",$E198="",$F198=""),"",IF(OR($B198="",$D198="",$E198=""),"待补",IF($D198="公共区域","公",IF($D198="商铺","S",SUBSTITUTE($D198,"栋","")))&amp;"-"&amp;$E198&amp;"-"&amp;TEXT(MONTH($B198),"00")&amp;TEXT(DAY($B198),"00")&amp;IF(ISNUMBER($O198),IF($O198&gt;1,"-"&amp;TEXT($O198,"00"),""),"")))</f>
        <v/>
      </c>
      <c r="B198" s="14"/>
      <c r="C198" s="10"/>
      <c r="D198" s="10"/>
      <c r="E198" s="10"/>
      <c r="F198" s="16"/>
      <c r="G198" s="10"/>
      <c r="H198" s="10"/>
      <c r="I198" s="10"/>
      <c r="J198" s="10"/>
      <c r="K198" s="10"/>
      <c r="L198" s="10"/>
      <c r="M198" s="14"/>
      <c r="N198" s="17" t="str">
        <f aca="false">IF($B198="","",IF($L198="已完成",IF($M198="","",$M198-$B198),IF(设置!$B$6&lt;$B198,"",IF((设置!$B$6-$B198)&gt;=设置!$B$5,"超期"&amp;(设置!$B$6-$B198)&amp;"天","已等"&amp;(设置!$B$6-$B198)&amp;"天"))))</f>
        <v/>
      </c>
      <c r="O198" s="18" t="str">
        <f aca="false">IF(OR($D198="",$E198=""),"",COUNTIFS($D$7:$D198,$D198,$E$7:$E198,$E198))</f>
        <v/>
      </c>
      <c r="P198" s="16"/>
      <c r="Q198" s="19"/>
      <c r="R198" s="10"/>
      <c r="S198" s="16"/>
      <c r="T198" s="0" t="str">
        <f aca="false">IF(OR($D198="",单元查询!$B$3=""),"",IF($D198&lt;&gt;单元查询!$B$3,"",IF(OR(单元查询!$D$3="",$E198&amp;""=单元查询!$D$3&amp;""),IF(ISNUMBER($B198),$B198*10000,0)+ROW(),"")))</f>
        <v/>
      </c>
      <c r="U198" s="0" t="str">
        <f aca="false">IF(OR($B198="",$L198="已完成"),"",IF(ISNUMBER($B198),IF(设置!$B$6&lt;$B198,"",(设置!$B$6-$B198)*100000+ROW()),""))</f>
        <v/>
      </c>
      <c r="V198" s="0" t="str">
        <f aca="false">IF(ISNUMBER($O198),IF($O198&gt;=2,IF(COUNTIFS($D198:$D$2006,$D198,$E198:$E$2006,$E198)=1,ROW(),""),""),"")</f>
        <v/>
      </c>
    </row>
    <row r="199" customFormat="false" ht="15" hidden="false" customHeight="true" outlineLevel="0" collapsed="false">
      <c r="A199" s="13" t="str">
        <f aca="false">IF(AND($B199="",$D199="",$E199="",$F199=""),"",IF(OR($B199="",$D199="",$E199=""),"待补",IF($D199="公共区域","公",IF($D199="商铺","S",SUBSTITUTE($D199,"栋","")))&amp;"-"&amp;$E199&amp;"-"&amp;TEXT(MONTH($B199),"00")&amp;TEXT(DAY($B199),"00")&amp;IF(ISNUMBER($O199),IF($O199&gt;1,"-"&amp;TEXT($O199,"00"),""),"")))</f>
        <v/>
      </c>
      <c r="B199" s="14"/>
      <c r="C199" s="10"/>
      <c r="D199" s="10"/>
      <c r="E199" s="10"/>
      <c r="F199" s="16"/>
      <c r="G199" s="10"/>
      <c r="H199" s="10"/>
      <c r="I199" s="10"/>
      <c r="J199" s="10"/>
      <c r="K199" s="10"/>
      <c r="L199" s="10"/>
      <c r="M199" s="14"/>
      <c r="N199" s="17" t="str">
        <f aca="false">IF($B199="","",IF($L199="已完成",IF($M199="","",$M199-$B199),IF(设置!$B$6&lt;$B199,"",IF((设置!$B$6-$B199)&gt;=设置!$B$5,"超期"&amp;(设置!$B$6-$B199)&amp;"天","已等"&amp;(设置!$B$6-$B199)&amp;"天"))))</f>
        <v/>
      </c>
      <c r="O199" s="18" t="str">
        <f aca="false">IF(OR($D199="",$E199=""),"",COUNTIFS($D$7:$D199,$D199,$E$7:$E199,$E199))</f>
        <v/>
      </c>
      <c r="P199" s="16"/>
      <c r="Q199" s="19"/>
      <c r="R199" s="10"/>
      <c r="S199" s="16"/>
      <c r="T199" s="0" t="str">
        <f aca="false">IF(OR($D199="",单元查询!$B$3=""),"",IF($D199&lt;&gt;单元查询!$B$3,"",IF(OR(单元查询!$D$3="",$E199&amp;""=单元查询!$D$3&amp;""),IF(ISNUMBER($B199),$B199*10000,0)+ROW(),"")))</f>
        <v/>
      </c>
      <c r="U199" s="0" t="str">
        <f aca="false">IF(OR($B199="",$L199="已完成"),"",IF(ISNUMBER($B199),IF(设置!$B$6&lt;$B199,"",(设置!$B$6-$B199)*100000+ROW()),""))</f>
        <v/>
      </c>
      <c r="V199" s="0" t="str">
        <f aca="false">IF(ISNUMBER($O199),IF($O199&gt;=2,IF(COUNTIFS($D199:$D$2006,$D199,$E199:$E$2006,$E199)=1,ROW(),""),""),"")</f>
        <v/>
      </c>
    </row>
    <row r="200" customFormat="false" ht="15" hidden="false" customHeight="true" outlineLevel="0" collapsed="false">
      <c r="A200" s="13" t="str">
        <f aca="false">IF(AND($B200="",$D200="",$E200="",$F200=""),"",IF(OR($B200="",$D200="",$E200=""),"待补",IF($D200="公共区域","公",IF($D200="商铺","S",SUBSTITUTE($D200,"栋","")))&amp;"-"&amp;$E200&amp;"-"&amp;TEXT(MONTH($B200),"00")&amp;TEXT(DAY($B200),"00")&amp;IF(ISNUMBER($O200),IF($O200&gt;1,"-"&amp;TEXT($O200,"00"),""),"")))</f>
        <v/>
      </c>
      <c r="B200" s="14"/>
      <c r="C200" s="10"/>
      <c r="D200" s="10"/>
      <c r="E200" s="10"/>
      <c r="F200" s="16"/>
      <c r="G200" s="10"/>
      <c r="H200" s="10"/>
      <c r="I200" s="10"/>
      <c r="J200" s="10"/>
      <c r="K200" s="10"/>
      <c r="L200" s="10"/>
      <c r="M200" s="14"/>
      <c r="N200" s="17" t="str">
        <f aca="false">IF($B200="","",IF($L200="已完成",IF($M200="","",$M200-$B200),IF(设置!$B$6&lt;$B200,"",IF((设置!$B$6-$B200)&gt;=设置!$B$5,"超期"&amp;(设置!$B$6-$B200)&amp;"天","已等"&amp;(设置!$B$6-$B200)&amp;"天"))))</f>
        <v/>
      </c>
      <c r="O200" s="18" t="str">
        <f aca="false">IF(OR($D200="",$E200=""),"",COUNTIFS($D$7:$D200,$D200,$E$7:$E200,$E200))</f>
        <v/>
      </c>
      <c r="P200" s="16"/>
      <c r="Q200" s="19"/>
      <c r="R200" s="10"/>
      <c r="S200" s="16"/>
      <c r="T200" s="0" t="str">
        <f aca="false">IF(OR($D200="",单元查询!$B$3=""),"",IF($D200&lt;&gt;单元查询!$B$3,"",IF(OR(单元查询!$D$3="",$E200&amp;""=单元查询!$D$3&amp;""),IF(ISNUMBER($B200),$B200*10000,0)+ROW(),"")))</f>
        <v/>
      </c>
      <c r="U200" s="0" t="str">
        <f aca="false">IF(OR($B200="",$L200="已完成"),"",IF(ISNUMBER($B200),IF(设置!$B$6&lt;$B200,"",(设置!$B$6-$B200)*100000+ROW()),""))</f>
        <v/>
      </c>
      <c r="V200" s="0" t="str">
        <f aca="false">IF(ISNUMBER($O200),IF($O200&gt;=2,IF(COUNTIFS($D200:$D$2006,$D200,$E200:$E$2006,$E200)=1,ROW(),""),""),"")</f>
        <v/>
      </c>
    </row>
    <row r="201" customFormat="false" ht="15" hidden="false" customHeight="true" outlineLevel="0" collapsed="false">
      <c r="A201" s="13" t="str">
        <f aca="false">IF(AND($B201="",$D201="",$E201="",$F201=""),"",IF(OR($B201="",$D201="",$E201=""),"待补",IF($D201="公共区域","公",IF($D201="商铺","S",SUBSTITUTE($D201,"栋","")))&amp;"-"&amp;$E201&amp;"-"&amp;TEXT(MONTH($B201),"00")&amp;TEXT(DAY($B201),"00")&amp;IF(ISNUMBER($O201),IF($O201&gt;1,"-"&amp;TEXT($O201,"00"),""),"")))</f>
        <v/>
      </c>
      <c r="B201" s="14"/>
      <c r="C201" s="10"/>
      <c r="D201" s="10"/>
      <c r="E201" s="10"/>
      <c r="F201" s="16"/>
      <c r="G201" s="10"/>
      <c r="H201" s="10"/>
      <c r="I201" s="10"/>
      <c r="J201" s="10"/>
      <c r="K201" s="10"/>
      <c r="L201" s="10"/>
      <c r="M201" s="14"/>
      <c r="N201" s="17" t="str">
        <f aca="false">IF($B201="","",IF($L201="已完成",IF($M201="","",$M201-$B201),IF(设置!$B$6&lt;$B201,"",IF((设置!$B$6-$B201)&gt;=设置!$B$5,"超期"&amp;(设置!$B$6-$B201)&amp;"天","已等"&amp;(设置!$B$6-$B201)&amp;"天"))))</f>
        <v/>
      </c>
      <c r="O201" s="18" t="str">
        <f aca="false">IF(OR($D201="",$E201=""),"",COUNTIFS($D$7:$D201,$D201,$E$7:$E201,$E201))</f>
        <v/>
      </c>
      <c r="P201" s="16"/>
      <c r="Q201" s="19"/>
      <c r="R201" s="10"/>
      <c r="S201" s="16"/>
      <c r="T201" s="0" t="str">
        <f aca="false">IF(OR($D201="",单元查询!$B$3=""),"",IF($D201&lt;&gt;单元查询!$B$3,"",IF(OR(单元查询!$D$3="",$E201&amp;""=单元查询!$D$3&amp;""),IF(ISNUMBER($B201),$B201*10000,0)+ROW(),"")))</f>
        <v/>
      </c>
      <c r="U201" s="0" t="str">
        <f aca="false">IF(OR($B201="",$L201="已完成"),"",IF(ISNUMBER($B201),IF(设置!$B$6&lt;$B201,"",(设置!$B$6-$B201)*100000+ROW()),""))</f>
        <v/>
      </c>
      <c r="V201" s="0" t="str">
        <f aca="false">IF(ISNUMBER($O201),IF($O201&gt;=2,IF(COUNTIFS($D201:$D$2006,$D201,$E201:$E$2006,$E201)=1,ROW(),""),""),"")</f>
        <v/>
      </c>
    </row>
    <row r="202" customFormat="false" ht="15" hidden="false" customHeight="true" outlineLevel="0" collapsed="false">
      <c r="A202" s="13" t="str">
        <f aca="false">IF(AND($B202="",$D202="",$E202="",$F202=""),"",IF(OR($B202="",$D202="",$E202=""),"待补",IF($D202="公共区域","公",IF($D202="商铺","S",SUBSTITUTE($D202,"栋","")))&amp;"-"&amp;$E202&amp;"-"&amp;TEXT(MONTH($B202),"00")&amp;TEXT(DAY($B202),"00")&amp;IF(ISNUMBER($O202),IF($O202&gt;1,"-"&amp;TEXT($O202,"00"),""),"")))</f>
        <v/>
      </c>
      <c r="B202" s="14"/>
      <c r="C202" s="10"/>
      <c r="D202" s="10"/>
      <c r="E202" s="10"/>
      <c r="F202" s="16"/>
      <c r="G202" s="10"/>
      <c r="H202" s="10"/>
      <c r="I202" s="10"/>
      <c r="J202" s="10"/>
      <c r="K202" s="10"/>
      <c r="L202" s="10"/>
      <c r="M202" s="14"/>
      <c r="N202" s="17" t="str">
        <f aca="false">IF($B202="","",IF($L202="已完成",IF($M202="","",$M202-$B202),IF(设置!$B$6&lt;$B202,"",IF((设置!$B$6-$B202)&gt;=设置!$B$5,"超期"&amp;(设置!$B$6-$B202)&amp;"天","已等"&amp;(设置!$B$6-$B202)&amp;"天"))))</f>
        <v/>
      </c>
      <c r="O202" s="18" t="str">
        <f aca="false">IF(OR($D202="",$E202=""),"",COUNTIFS($D$7:$D202,$D202,$E$7:$E202,$E202))</f>
        <v/>
      </c>
      <c r="P202" s="16"/>
      <c r="Q202" s="19"/>
      <c r="R202" s="10"/>
      <c r="S202" s="16"/>
      <c r="T202" s="0" t="str">
        <f aca="false">IF(OR($D202="",单元查询!$B$3=""),"",IF($D202&lt;&gt;单元查询!$B$3,"",IF(OR(单元查询!$D$3="",$E202&amp;""=单元查询!$D$3&amp;""),IF(ISNUMBER($B202),$B202*10000,0)+ROW(),"")))</f>
        <v/>
      </c>
      <c r="U202" s="0" t="str">
        <f aca="false">IF(OR($B202="",$L202="已完成"),"",IF(ISNUMBER($B202),IF(设置!$B$6&lt;$B202,"",(设置!$B$6-$B202)*100000+ROW()),""))</f>
        <v/>
      </c>
      <c r="V202" s="0" t="str">
        <f aca="false">IF(ISNUMBER($O202),IF($O202&gt;=2,IF(COUNTIFS($D202:$D$2006,$D202,$E202:$E$2006,$E202)=1,ROW(),""),""),"")</f>
        <v/>
      </c>
    </row>
    <row r="203" customFormat="false" ht="15" hidden="false" customHeight="true" outlineLevel="0" collapsed="false">
      <c r="A203" s="13" t="str">
        <f aca="false">IF(AND($B203="",$D203="",$E203="",$F203=""),"",IF(OR($B203="",$D203="",$E203=""),"待补",IF($D203="公共区域","公",IF($D203="商铺","S",SUBSTITUTE($D203,"栋","")))&amp;"-"&amp;$E203&amp;"-"&amp;TEXT(MONTH($B203),"00")&amp;TEXT(DAY($B203),"00")&amp;IF(ISNUMBER($O203),IF($O203&gt;1,"-"&amp;TEXT($O203,"00"),""),"")))</f>
        <v/>
      </c>
      <c r="B203" s="14"/>
      <c r="C203" s="10"/>
      <c r="D203" s="10"/>
      <c r="E203" s="10"/>
      <c r="F203" s="16"/>
      <c r="G203" s="10"/>
      <c r="H203" s="10"/>
      <c r="I203" s="10"/>
      <c r="J203" s="10"/>
      <c r="K203" s="10"/>
      <c r="L203" s="10"/>
      <c r="M203" s="14"/>
      <c r="N203" s="17" t="str">
        <f aca="false">IF($B203="","",IF($L203="已完成",IF($M203="","",$M203-$B203),IF(设置!$B$6&lt;$B203,"",IF((设置!$B$6-$B203)&gt;=设置!$B$5,"超期"&amp;(设置!$B$6-$B203)&amp;"天","已等"&amp;(设置!$B$6-$B203)&amp;"天"))))</f>
        <v/>
      </c>
      <c r="O203" s="18" t="str">
        <f aca="false">IF(OR($D203="",$E203=""),"",COUNTIFS($D$7:$D203,$D203,$E$7:$E203,$E203))</f>
        <v/>
      </c>
      <c r="P203" s="16"/>
      <c r="Q203" s="19"/>
      <c r="R203" s="10"/>
      <c r="S203" s="16"/>
      <c r="T203" s="0" t="str">
        <f aca="false">IF(OR($D203="",单元查询!$B$3=""),"",IF($D203&lt;&gt;单元查询!$B$3,"",IF(OR(单元查询!$D$3="",$E203&amp;""=单元查询!$D$3&amp;""),IF(ISNUMBER($B203),$B203*10000,0)+ROW(),"")))</f>
        <v/>
      </c>
      <c r="U203" s="0" t="str">
        <f aca="false">IF(OR($B203="",$L203="已完成"),"",IF(ISNUMBER($B203),IF(设置!$B$6&lt;$B203,"",(设置!$B$6-$B203)*100000+ROW()),""))</f>
        <v/>
      </c>
      <c r="V203" s="0" t="str">
        <f aca="false">IF(ISNUMBER($O203),IF($O203&gt;=2,IF(COUNTIFS($D203:$D$2006,$D203,$E203:$E$2006,$E203)=1,ROW(),""),""),"")</f>
        <v/>
      </c>
    </row>
    <row r="204" customFormat="false" ht="15" hidden="false" customHeight="true" outlineLevel="0" collapsed="false">
      <c r="A204" s="13" t="str">
        <f aca="false">IF(AND($B204="",$D204="",$E204="",$F204=""),"",IF(OR($B204="",$D204="",$E204=""),"待补",IF($D204="公共区域","公",IF($D204="商铺","S",SUBSTITUTE($D204,"栋","")))&amp;"-"&amp;$E204&amp;"-"&amp;TEXT(MONTH($B204),"00")&amp;TEXT(DAY($B204),"00")&amp;IF(ISNUMBER($O204),IF($O204&gt;1,"-"&amp;TEXT($O204,"00"),""),"")))</f>
        <v/>
      </c>
      <c r="B204" s="14"/>
      <c r="C204" s="10"/>
      <c r="D204" s="10"/>
      <c r="E204" s="10"/>
      <c r="F204" s="16"/>
      <c r="G204" s="10"/>
      <c r="H204" s="10"/>
      <c r="I204" s="10"/>
      <c r="J204" s="10"/>
      <c r="K204" s="10"/>
      <c r="L204" s="10"/>
      <c r="M204" s="14"/>
      <c r="N204" s="17" t="str">
        <f aca="false">IF($B204="","",IF($L204="已完成",IF($M204="","",$M204-$B204),IF(设置!$B$6&lt;$B204,"",IF((设置!$B$6-$B204)&gt;=设置!$B$5,"超期"&amp;(设置!$B$6-$B204)&amp;"天","已等"&amp;(设置!$B$6-$B204)&amp;"天"))))</f>
        <v/>
      </c>
      <c r="O204" s="18" t="str">
        <f aca="false">IF(OR($D204="",$E204=""),"",COUNTIFS($D$7:$D204,$D204,$E$7:$E204,$E204))</f>
        <v/>
      </c>
      <c r="P204" s="16"/>
      <c r="Q204" s="19"/>
      <c r="R204" s="10"/>
      <c r="S204" s="16"/>
      <c r="T204" s="0" t="str">
        <f aca="false">IF(OR($D204="",单元查询!$B$3=""),"",IF($D204&lt;&gt;单元查询!$B$3,"",IF(OR(单元查询!$D$3="",$E204&amp;""=单元查询!$D$3&amp;""),IF(ISNUMBER($B204),$B204*10000,0)+ROW(),"")))</f>
        <v/>
      </c>
      <c r="U204" s="0" t="str">
        <f aca="false">IF(OR($B204="",$L204="已完成"),"",IF(ISNUMBER($B204),IF(设置!$B$6&lt;$B204,"",(设置!$B$6-$B204)*100000+ROW()),""))</f>
        <v/>
      </c>
      <c r="V204" s="0" t="str">
        <f aca="false">IF(ISNUMBER($O204),IF($O204&gt;=2,IF(COUNTIFS($D204:$D$2006,$D204,$E204:$E$2006,$E204)=1,ROW(),""),""),"")</f>
        <v/>
      </c>
    </row>
    <row r="205" customFormat="false" ht="15" hidden="false" customHeight="true" outlineLevel="0" collapsed="false">
      <c r="A205" s="13" t="str">
        <f aca="false">IF(AND($B205="",$D205="",$E205="",$F205=""),"",IF(OR($B205="",$D205="",$E205=""),"待补",IF($D205="公共区域","公",IF($D205="商铺","S",SUBSTITUTE($D205,"栋","")))&amp;"-"&amp;$E205&amp;"-"&amp;TEXT(MONTH($B205),"00")&amp;TEXT(DAY($B205),"00")&amp;IF(ISNUMBER($O205),IF($O205&gt;1,"-"&amp;TEXT($O205,"00"),""),"")))</f>
        <v/>
      </c>
      <c r="B205" s="14"/>
      <c r="C205" s="10"/>
      <c r="D205" s="10"/>
      <c r="E205" s="10"/>
      <c r="F205" s="16"/>
      <c r="G205" s="10"/>
      <c r="H205" s="10"/>
      <c r="I205" s="10"/>
      <c r="J205" s="10"/>
      <c r="K205" s="10"/>
      <c r="L205" s="10"/>
      <c r="M205" s="14"/>
      <c r="N205" s="17" t="str">
        <f aca="false">IF($B205="","",IF($L205="已完成",IF($M205="","",$M205-$B205),IF(设置!$B$6&lt;$B205,"",IF((设置!$B$6-$B205)&gt;=设置!$B$5,"超期"&amp;(设置!$B$6-$B205)&amp;"天","已等"&amp;(设置!$B$6-$B205)&amp;"天"))))</f>
        <v/>
      </c>
      <c r="O205" s="18" t="str">
        <f aca="false">IF(OR($D205="",$E205=""),"",COUNTIFS($D$7:$D205,$D205,$E$7:$E205,$E205))</f>
        <v/>
      </c>
      <c r="P205" s="16"/>
      <c r="Q205" s="19"/>
      <c r="R205" s="10"/>
      <c r="S205" s="16"/>
      <c r="T205" s="0" t="str">
        <f aca="false">IF(OR($D205="",单元查询!$B$3=""),"",IF($D205&lt;&gt;单元查询!$B$3,"",IF(OR(单元查询!$D$3="",$E205&amp;""=单元查询!$D$3&amp;""),IF(ISNUMBER($B205),$B205*10000,0)+ROW(),"")))</f>
        <v/>
      </c>
      <c r="U205" s="0" t="str">
        <f aca="false">IF(OR($B205="",$L205="已完成"),"",IF(ISNUMBER($B205),IF(设置!$B$6&lt;$B205,"",(设置!$B$6-$B205)*100000+ROW()),""))</f>
        <v/>
      </c>
      <c r="V205" s="0" t="str">
        <f aca="false">IF(ISNUMBER($O205),IF($O205&gt;=2,IF(COUNTIFS($D205:$D$2006,$D205,$E205:$E$2006,$E205)=1,ROW(),""),""),"")</f>
        <v/>
      </c>
    </row>
    <row r="206" customFormat="false" ht="15" hidden="false" customHeight="true" outlineLevel="0" collapsed="false">
      <c r="A206" s="13" t="str">
        <f aca="false">IF(AND($B206="",$D206="",$E206="",$F206=""),"",IF(OR($B206="",$D206="",$E206=""),"待补",IF($D206="公共区域","公",IF($D206="商铺","S",SUBSTITUTE($D206,"栋","")))&amp;"-"&amp;$E206&amp;"-"&amp;TEXT(MONTH($B206),"00")&amp;TEXT(DAY($B206),"00")&amp;IF(ISNUMBER($O206),IF($O206&gt;1,"-"&amp;TEXT($O206,"00"),""),"")))</f>
        <v/>
      </c>
      <c r="B206" s="14"/>
      <c r="C206" s="10"/>
      <c r="D206" s="10"/>
      <c r="E206" s="10"/>
      <c r="F206" s="16"/>
      <c r="G206" s="10"/>
      <c r="H206" s="10"/>
      <c r="I206" s="10"/>
      <c r="J206" s="10"/>
      <c r="K206" s="10"/>
      <c r="L206" s="10"/>
      <c r="M206" s="14"/>
      <c r="N206" s="17" t="str">
        <f aca="false">IF($B206="","",IF($L206="已完成",IF($M206="","",$M206-$B206),IF(设置!$B$6&lt;$B206,"",IF((设置!$B$6-$B206)&gt;=设置!$B$5,"超期"&amp;(设置!$B$6-$B206)&amp;"天","已等"&amp;(设置!$B$6-$B206)&amp;"天"))))</f>
        <v/>
      </c>
      <c r="O206" s="18" t="str">
        <f aca="false">IF(OR($D206="",$E206=""),"",COUNTIFS($D$7:$D206,$D206,$E$7:$E206,$E206))</f>
        <v/>
      </c>
      <c r="P206" s="16"/>
      <c r="Q206" s="19"/>
      <c r="R206" s="10"/>
      <c r="S206" s="16"/>
      <c r="T206" s="0" t="str">
        <f aca="false">IF(OR($D206="",单元查询!$B$3=""),"",IF($D206&lt;&gt;单元查询!$B$3,"",IF(OR(单元查询!$D$3="",$E206&amp;""=单元查询!$D$3&amp;""),IF(ISNUMBER($B206),$B206*10000,0)+ROW(),"")))</f>
        <v/>
      </c>
      <c r="U206" s="0" t="str">
        <f aca="false">IF(OR($B206="",$L206="已完成"),"",IF(ISNUMBER($B206),IF(设置!$B$6&lt;$B206,"",(设置!$B$6-$B206)*100000+ROW()),""))</f>
        <v/>
      </c>
      <c r="V206" s="0" t="str">
        <f aca="false">IF(ISNUMBER($O206),IF($O206&gt;=2,IF(COUNTIFS($D206:$D$2006,$D206,$E206:$E$2006,$E206)=1,ROW(),""),""),"")</f>
        <v/>
      </c>
    </row>
    <row r="207" customFormat="false" ht="15" hidden="false" customHeight="true" outlineLevel="0" collapsed="false">
      <c r="A207" s="13" t="str">
        <f aca="false">IF(AND($B207="",$D207="",$E207="",$F207=""),"",IF(OR($B207="",$D207="",$E207=""),"待补",IF($D207="公共区域","公",IF($D207="商铺","S",SUBSTITUTE($D207,"栋","")))&amp;"-"&amp;$E207&amp;"-"&amp;TEXT(MONTH($B207),"00")&amp;TEXT(DAY($B207),"00")&amp;IF(ISNUMBER($O207),IF($O207&gt;1,"-"&amp;TEXT($O207,"00"),""),"")))</f>
        <v/>
      </c>
      <c r="B207" s="14"/>
      <c r="C207" s="10"/>
      <c r="D207" s="10"/>
      <c r="E207" s="10"/>
      <c r="F207" s="16"/>
      <c r="G207" s="10"/>
      <c r="H207" s="10"/>
      <c r="I207" s="10"/>
      <c r="J207" s="10"/>
      <c r="K207" s="10"/>
      <c r="L207" s="10"/>
      <c r="M207" s="14"/>
      <c r="N207" s="17" t="str">
        <f aca="false">IF($B207="","",IF($L207="已完成",IF($M207="","",$M207-$B207),IF(设置!$B$6&lt;$B207,"",IF((设置!$B$6-$B207)&gt;=设置!$B$5,"超期"&amp;(设置!$B$6-$B207)&amp;"天","已等"&amp;(设置!$B$6-$B207)&amp;"天"))))</f>
        <v/>
      </c>
      <c r="O207" s="18" t="str">
        <f aca="false">IF(OR($D207="",$E207=""),"",COUNTIFS($D$7:$D207,$D207,$E$7:$E207,$E207))</f>
        <v/>
      </c>
      <c r="P207" s="16"/>
      <c r="Q207" s="19"/>
      <c r="R207" s="10"/>
      <c r="S207" s="16"/>
      <c r="T207" s="0" t="str">
        <f aca="false">IF(OR($D207="",单元查询!$B$3=""),"",IF($D207&lt;&gt;单元查询!$B$3,"",IF(OR(单元查询!$D$3="",$E207&amp;""=单元查询!$D$3&amp;""),IF(ISNUMBER($B207),$B207*10000,0)+ROW(),"")))</f>
        <v/>
      </c>
      <c r="U207" s="0" t="str">
        <f aca="false">IF(OR($B207="",$L207="已完成"),"",IF(ISNUMBER($B207),IF(设置!$B$6&lt;$B207,"",(设置!$B$6-$B207)*100000+ROW()),""))</f>
        <v/>
      </c>
      <c r="V207" s="0" t="str">
        <f aca="false">IF(ISNUMBER($O207),IF($O207&gt;=2,IF(COUNTIFS($D207:$D$2006,$D207,$E207:$E$2006,$E207)=1,ROW(),""),""),"")</f>
        <v/>
      </c>
    </row>
    <row r="208" customFormat="false" ht="15" hidden="false" customHeight="true" outlineLevel="0" collapsed="false">
      <c r="A208" s="13" t="str">
        <f aca="false">IF(AND($B208="",$D208="",$E208="",$F208=""),"",IF(OR($B208="",$D208="",$E208=""),"待补",IF($D208="公共区域","公",IF($D208="商铺","S",SUBSTITUTE($D208,"栋","")))&amp;"-"&amp;$E208&amp;"-"&amp;TEXT(MONTH($B208),"00")&amp;TEXT(DAY($B208),"00")&amp;IF(ISNUMBER($O208),IF($O208&gt;1,"-"&amp;TEXT($O208,"00"),""),"")))</f>
        <v/>
      </c>
      <c r="B208" s="14"/>
      <c r="C208" s="10"/>
      <c r="D208" s="10"/>
      <c r="E208" s="10"/>
      <c r="F208" s="16"/>
      <c r="G208" s="10"/>
      <c r="H208" s="10"/>
      <c r="I208" s="10"/>
      <c r="J208" s="10"/>
      <c r="K208" s="10"/>
      <c r="L208" s="10"/>
      <c r="M208" s="14"/>
      <c r="N208" s="17" t="str">
        <f aca="false">IF($B208="","",IF($L208="已完成",IF($M208="","",$M208-$B208),IF(设置!$B$6&lt;$B208,"",IF((设置!$B$6-$B208)&gt;=设置!$B$5,"超期"&amp;(设置!$B$6-$B208)&amp;"天","已等"&amp;(设置!$B$6-$B208)&amp;"天"))))</f>
        <v/>
      </c>
      <c r="O208" s="18" t="str">
        <f aca="false">IF(OR($D208="",$E208=""),"",COUNTIFS($D$7:$D208,$D208,$E$7:$E208,$E208))</f>
        <v/>
      </c>
      <c r="P208" s="16"/>
      <c r="Q208" s="19"/>
      <c r="R208" s="10"/>
      <c r="S208" s="16"/>
      <c r="T208" s="0" t="str">
        <f aca="false">IF(OR($D208="",单元查询!$B$3=""),"",IF($D208&lt;&gt;单元查询!$B$3,"",IF(OR(单元查询!$D$3="",$E208&amp;""=单元查询!$D$3&amp;""),IF(ISNUMBER($B208),$B208*10000,0)+ROW(),"")))</f>
        <v/>
      </c>
      <c r="U208" s="0" t="str">
        <f aca="false">IF(OR($B208="",$L208="已完成"),"",IF(ISNUMBER($B208),IF(设置!$B$6&lt;$B208,"",(设置!$B$6-$B208)*100000+ROW()),""))</f>
        <v/>
      </c>
      <c r="V208" s="0" t="str">
        <f aca="false">IF(ISNUMBER($O208),IF($O208&gt;=2,IF(COUNTIFS($D208:$D$2006,$D208,$E208:$E$2006,$E208)=1,ROW(),""),""),"")</f>
        <v/>
      </c>
    </row>
    <row r="209" customFormat="false" ht="15" hidden="false" customHeight="true" outlineLevel="0" collapsed="false">
      <c r="A209" s="13" t="str">
        <f aca="false">IF(AND($B209="",$D209="",$E209="",$F209=""),"",IF(OR($B209="",$D209="",$E209=""),"待补",IF($D209="公共区域","公",IF($D209="商铺","S",SUBSTITUTE($D209,"栋","")))&amp;"-"&amp;$E209&amp;"-"&amp;TEXT(MONTH($B209),"00")&amp;TEXT(DAY($B209),"00")&amp;IF(ISNUMBER($O209),IF($O209&gt;1,"-"&amp;TEXT($O209,"00"),""),"")))</f>
        <v/>
      </c>
      <c r="B209" s="14"/>
      <c r="C209" s="10"/>
      <c r="D209" s="10"/>
      <c r="E209" s="10"/>
      <c r="F209" s="16"/>
      <c r="G209" s="10"/>
      <c r="H209" s="10"/>
      <c r="I209" s="10"/>
      <c r="J209" s="10"/>
      <c r="K209" s="10"/>
      <c r="L209" s="10"/>
      <c r="M209" s="14"/>
      <c r="N209" s="17" t="str">
        <f aca="false">IF($B209="","",IF($L209="已完成",IF($M209="","",$M209-$B209),IF(设置!$B$6&lt;$B209,"",IF((设置!$B$6-$B209)&gt;=设置!$B$5,"超期"&amp;(设置!$B$6-$B209)&amp;"天","已等"&amp;(设置!$B$6-$B209)&amp;"天"))))</f>
        <v/>
      </c>
      <c r="O209" s="18" t="str">
        <f aca="false">IF(OR($D209="",$E209=""),"",COUNTIFS($D$7:$D209,$D209,$E$7:$E209,$E209))</f>
        <v/>
      </c>
      <c r="P209" s="16"/>
      <c r="Q209" s="19"/>
      <c r="R209" s="10"/>
      <c r="S209" s="16"/>
      <c r="T209" s="0" t="str">
        <f aca="false">IF(OR($D209="",单元查询!$B$3=""),"",IF($D209&lt;&gt;单元查询!$B$3,"",IF(OR(单元查询!$D$3="",$E209&amp;""=单元查询!$D$3&amp;""),IF(ISNUMBER($B209),$B209*10000,0)+ROW(),"")))</f>
        <v/>
      </c>
      <c r="U209" s="0" t="str">
        <f aca="false">IF(OR($B209="",$L209="已完成"),"",IF(ISNUMBER($B209),IF(设置!$B$6&lt;$B209,"",(设置!$B$6-$B209)*100000+ROW()),""))</f>
        <v/>
      </c>
      <c r="V209" s="0" t="str">
        <f aca="false">IF(ISNUMBER($O209),IF($O209&gt;=2,IF(COUNTIFS($D209:$D$2006,$D209,$E209:$E$2006,$E209)=1,ROW(),""),""),"")</f>
        <v/>
      </c>
    </row>
    <row r="210" customFormat="false" ht="15" hidden="false" customHeight="true" outlineLevel="0" collapsed="false">
      <c r="A210" s="13" t="str">
        <f aca="false">IF(AND($B210="",$D210="",$E210="",$F210=""),"",IF(OR($B210="",$D210="",$E210=""),"待补",IF($D210="公共区域","公",IF($D210="商铺","S",SUBSTITUTE($D210,"栋","")))&amp;"-"&amp;$E210&amp;"-"&amp;TEXT(MONTH($B210),"00")&amp;TEXT(DAY($B210),"00")&amp;IF(ISNUMBER($O210),IF($O210&gt;1,"-"&amp;TEXT($O210,"00"),""),"")))</f>
        <v/>
      </c>
      <c r="B210" s="14"/>
      <c r="C210" s="10"/>
      <c r="D210" s="10"/>
      <c r="E210" s="10"/>
      <c r="F210" s="16"/>
      <c r="G210" s="10"/>
      <c r="H210" s="10"/>
      <c r="I210" s="10"/>
      <c r="J210" s="10"/>
      <c r="K210" s="10"/>
      <c r="L210" s="10"/>
      <c r="M210" s="14"/>
      <c r="N210" s="17" t="str">
        <f aca="false">IF($B210="","",IF($L210="已完成",IF($M210="","",$M210-$B210),IF(设置!$B$6&lt;$B210,"",IF((设置!$B$6-$B210)&gt;=设置!$B$5,"超期"&amp;(设置!$B$6-$B210)&amp;"天","已等"&amp;(设置!$B$6-$B210)&amp;"天"))))</f>
        <v/>
      </c>
      <c r="O210" s="18" t="str">
        <f aca="false">IF(OR($D210="",$E210=""),"",COUNTIFS($D$7:$D210,$D210,$E$7:$E210,$E210))</f>
        <v/>
      </c>
      <c r="P210" s="16"/>
      <c r="Q210" s="19"/>
      <c r="R210" s="10"/>
      <c r="S210" s="16"/>
      <c r="T210" s="0" t="str">
        <f aca="false">IF(OR($D210="",单元查询!$B$3=""),"",IF($D210&lt;&gt;单元查询!$B$3,"",IF(OR(单元查询!$D$3="",$E210&amp;""=单元查询!$D$3&amp;""),IF(ISNUMBER($B210),$B210*10000,0)+ROW(),"")))</f>
        <v/>
      </c>
      <c r="U210" s="0" t="str">
        <f aca="false">IF(OR($B210="",$L210="已完成"),"",IF(ISNUMBER($B210),IF(设置!$B$6&lt;$B210,"",(设置!$B$6-$B210)*100000+ROW()),""))</f>
        <v/>
      </c>
      <c r="V210" s="0" t="str">
        <f aca="false">IF(ISNUMBER($O210),IF($O210&gt;=2,IF(COUNTIFS($D210:$D$2006,$D210,$E210:$E$2006,$E210)=1,ROW(),""),""),"")</f>
        <v/>
      </c>
    </row>
    <row r="211" customFormat="false" ht="15" hidden="false" customHeight="true" outlineLevel="0" collapsed="false">
      <c r="A211" s="13" t="str">
        <f aca="false">IF(AND($B211="",$D211="",$E211="",$F211=""),"",IF(OR($B211="",$D211="",$E211=""),"待补",IF($D211="公共区域","公",IF($D211="商铺","S",SUBSTITUTE($D211,"栋","")))&amp;"-"&amp;$E211&amp;"-"&amp;TEXT(MONTH($B211),"00")&amp;TEXT(DAY($B211),"00")&amp;IF(ISNUMBER($O211),IF($O211&gt;1,"-"&amp;TEXT($O211,"00"),""),"")))</f>
        <v/>
      </c>
      <c r="B211" s="14"/>
      <c r="C211" s="10"/>
      <c r="D211" s="10"/>
      <c r="E211" s="10"/>
      <c r="F211" s="16"/>
      <c r="G211" s="10"/>
      <c r="H211" s="10"/>
      <c r="I211" s="10"/>
      <c r="J211" s="10"/>
      <c r="K211" s="10"/>
      <c r="L211" s="10"/>
      <c r="M211" s="14"/>
      <c r="N211" s="17" t="str">
        <f aca="false">IF($B211="","",IF($L211="已完成",IF($M211="","",$M211-$B211),IF(设置!$B$6&lt;$B211,"",IF((设置!$B$6-$B211)&gt;=设置!$B$5,"超期"&amp;(设置!$B$6-$B211)&amp;"天","已等"&amp;(设置!$B$6-$B211)&amp;"天"))))</f>
        <v/>
      </c>
      <c r="O211" s="18" t="str">
        <f aca="false">IF(OR($D211="",$E211=""),"",COUNTIFS($D$7:$D211,$D211,$E$7:$E211,$E211))</f>
        <v/>
      </c>
      <c r="P211" s="16"/>
      <c r="Q211" s="19"/>
      <c r="R211" s="10"/>
      <c r="S211" s="16"/>
      <c r="T211" s="0" t="str">
        <f aca="false">IF(OR($D211="",单元查询!$B$3=""),"",IF($D211&lt;&gt;单元查询!$B$3,"",IF(OR(单元查询!$D$3="",$E211&amp;""=单元查询!$D$3&amp;""),IF(ISNUMBER($B211),$B211*10000,0)+ROW(),"")))</f>
        <v/>
      </c>
      <c r="U211" s="0" t="str">
        <f aca="false">IF(OR($B211="",$L211="已完成"),"",IF(ISNUMBER($B211),IF(设置!$B$6&lt;$B211,"",(设置!$B$6-$B211)*100000+ROW()),""))</f>
        <v/>
      </c>
      <c r="V211" s="0" t="str">
        <f aca="false">IF(ISNUMBER($O211),IF($O211&gt;=2,IF(COUNTIFS($D211:$D$2006,$D211,$E211:$E$2006,$E211)=1,ROW(),""),""),"")</f>
        <v/>
      </c>
    </row>
    <row r="212" customFormat="false" ht="15" hidden="false" customHeight="true" outlineLevel="0" collapsed="false">
      <c r="A212" s="13" t="str">
        <f aca="false">IF(AND($B212="",$D212="",$E212="",$F212=""),"",IF(OR($B212="",$D212="",$E212=""),"待补",IF($D212="公共区域","公",IF($D212="商铺","S",SUBSTITUTE($D212,"栋","")))&amp;"-"&amp;$E212&amp;"-"&amp;TEXT(MONTH($B212),"00")&amp;TEXT(DAY($B212),"00")&amp;IF(ISNUMBER($O212),IF($O212&gt;1,"-"&amp;TEXT($O212,"00"),""),"")))</f>
        <v/>
      </c>
      <c r="B212" s="14"/>
      <c r="C212" s="10"/>
      <c r="D212" s="10"/>
      <c r="E212" s="10"/>
      <c r="F212" s="16"/>
      <c r="G212" s="10"/>
      <c r="H212" s="10"/>
      <c r="I212" s="10"/>
      <c r="J212" s="10"/>
      <c r="K212" s="10"/>
      <c r="L212" s="10"/>
      <c r="M212" s="14"/>
      <c r="N212" s="17" t="str">
        <f aca="false">IF($B212="","",IF($L212="已完成",IF($M212="","",$M212-$B212),IF(设置!$B$6&lt;$B212,"",IF((设置!$B$6-$B212)&gt;=设置!$B$5,"超期"&amp;(设置!$B$6-$B212)&amp;"天","已等"&amp;(设置!$B$6-$B212)&amp;"天"))))</f>
        <v/>
      </c>
      <c r="O212" s="18" t="str">
        <f aca="false">IF(OR($D212="",$E212=""),"",COUNTIFS($D$7:$D212,$D212,$E$7:$E212,$E212))</f>
        <v/>
      </c>
      <c r="P212" s="16"/>
      <c r="Q212" s="19"/>
      <c r="R212" s="10"/>
      <c r="S212" s="16"/>
      <c r="T212" s="0" t="str">
        <f aca="false">IF(OR($D212="",单元查询!$B$3=""),"",IF($D212&lt;&gt;单元查询!$B$3,"",IF(OR(单元查询!$D$3="",$E212&amp;""=单元查询!$D$3&amp;""),IF(ISNUMBER($B212),$B212*10000,0)+ROW(),"")))</f>
        <v/>
      </c>
      <c r="U212" s="0" t="str">
        <f aca="false">IF(OR($B212="",$L212="已完成"),"",IF(ISNUMBER($B212),IF(设置!$B$6&lt;$B212,"",(设置!$B$6-$B212)*100000+ROW()),""))</f>
        <v/>
      </c>
      <c r="V212" s="0" t="str">
        <f aca="false">IF(ISNUMBER($O212),IF($O212&gt;=2,IF(COUNTIFS($D212:$D$2006,$D212,$E212:$E$2006,$E212)=1,ROW(),""),""),"")</f>
        <v/>
      </c>
    </row>
    <row r="213" customFormat="false" ht="15" hidden="false" customHeight="true" outlineLevel="0" collapsed="false">
      <c r="A213" s="13" t="str">
        <f aca="false">IF(AND($B213="",$D213="",$E213="",$F213=""),"",IF(OR($B213="",$D213="",$E213=""),"待补",IF($D213="公共区域","公",IF($D213="商铺","S",SUBSTITUTE($D213,"栋","")))&amp;"-"&amp;$E213&amp;"-"&amp;TEXT(MONTH($B213),"00")&amp;TEXT(DAY($B213),"00")&amp;IF(ISNUMBER($O213),IF($O213&gt;1,"-"&amp;TEXT($O213,"00"),""),"")))</f>
        <v/>
      </c>
      <c r="B213" s="14"/>
      <c r="C213" s="10"/>
      <c r="D213" s="10"/>
      <c r="E213" s="10"/>
      <c r="F213" s="16"/>
      <c r="G213" s="10"/>
      <c r="H213" s="10"/>
      <c r="I213" s="10"/>
      <c r="J213" s="10"/>
      <c r="K213" s="10"/>
      <c r="L213" s="10"/>
      <c r="M213" s="14"/>
      <c r="N213" s="17" t="str">
        <f aca="false">IF($B213="","",IF($L213="已完成",IF($M213="","",$M213-$B213),IF(设置!$B$6&lt;$B213,"",IF((设置!$B$6-$B213)&gt;=设置!$B$5,"超期"&amp;(设置!$B$6-$B213)&amp;"天","已等"&amp;(设置!$B$6-$B213)&amp;"天"))))</f>
        <v/>
      </c>
      <c r="O213" s="18" t="str">
        <f aca="false">IF(OR($D213="",$E213=""),"",COUNTIFS($D$7:$D213,$D213,$E$7:$E213,$E213))</f>
        <v/>
      </c>
      <c r="P213" s="16"/>
      <c r="Q213" s="19"/>
      <c r="R213" s="10"/>
      <c r="S213" s="16"/>
      <c r="T213" s="0" t="str">
        <f aca="false">IF(OR($D213="",单元查询!$B$3=""),"",IF($D213&lt;&gt;单元查询!$B$3,"",IF(OR(单元查询!$D$3="",$E213&amp;""=单元查询!$D$3&amp;""),IF(ISNUMBER($B213),$B213*10000,0)+ROW(),"")))</f>
        <v/>
      </c>
      <c r="U213" s="0" t="str">
        <f aca="false">IF(OR($B213="",$L213="已完成"),"",IF(ISNUMBER($B213),IF(设置!$B$6&lt;$B213,"",(设置!$B$6-$B213)*100000+ROW()),""))</f>
        <v/>
      </c>
      <c r="V213" s="0" t="str">
        <f aca="false">IF(ISNUMBER($O213),IF($O213&gt;=2,IF(COUNTIFS($D213:$D$2006,$D213,$E213:$E$2006,$E213)=1,ROW(),""),""),"")</f>
        <v/>
      </c>
    </row>
    <row r="214" customFormat="false" ht="15" hidden="false" customHeight="true" outlineLevel="0" collapsed="false">
      <c r="A214" s="13" t="str">
        <f aca="false">IF(AND($B214="",$D214="",$E214="",$F214=""),"",IF(OR($B214="",$D214="",$E214=""),"待补",IF($D214="公共区域","公",IF($D214="商铺","S",SUBSTITUTE($D214,"栋","")))&amp;"-"&amp;$E214&amp;"-"&amp;TEXT(MONTH($B214),"00")&amp;TEXT(DAY($B214),"00")&amp;IF(ISNUMBER($O214),IF($O214&gt;1,"-"&amp;TEXT($O214,"00"),""),"")))</f>
        <v/>
      </c>
      <c r="B214" s="14"/>
      <c r="C214" s="10"/>
      <c r="D214" s="10"/>
      <c r="E214" s="10"/>
      <c r="F214" s="16"/>
      <c r="G214" s="10"/>
      <c r="H214" s="10"/>
      <c r="I214" s="10"/>
      <c r="J214" s="10"/>
      <c r="K214" s="10"/>
      <c r="L214" s="10"/>
      <c r="M214" s="14"/>
      <c r="N214" s="17" t="str">
        <f aca="false">IF($B214="","",IF($L214="已完成",IF($M214="","",$M214-$B214),IF(设置!$B$6&lt;$B214,"",IF((设置!$B$6-$B214)&gt;=设置!$B$5,"超期"&amp;(设置!$B$6-$B214)&amp;"天","已等"&amp;(设置!$B$6-$B214)&amp;"天"))))</f>
        <v/>
      </c>
      <c r="O214" s="18" t="str">
        <f aca="false">IF(OR($D214="",$E214=""),"",COUNTIFS($D$7:$D214,$D214,$E$7:$E214,$E214))</f>
        <v/>
      </c>
      <c r="P214" s="16"/>
      <c r="Q214" s="19"/>
      <c r="R214" s="10"/>
      <c r="S214" s="16"/>
      <c r="T214" s="0" t="str">
        <f aca="false">IF(OR($D214="",单元查询!$B$3=""),"",IF($D214&lt;&gt;单元查询!$B$3,"",IF(OR(单元查询!$D$3="",$E214&amp;""=单元查询!$D$3&amp;""),IF(ISNUMBER($B214),$B214*10000,0)+ROW(),"")))</f>
        <v/>
      </c>
      <c r="U214" s="0" t="str">
        <f aca="false">IF(OR($B214="",$L214="已完成"),"",IF(ISNUMBER($B214),IF(设置!$B$6&lt;$B214,"",(设置!$B$6-$B214)*100000+ROW()),""))</f>
        <v/>
      </c>
      <c r="V214" s="0" t="str">
        <f aca="false">IF(ISNUMBER($O214),IF($O214&gt;=2,IF(COUNTIFS($D214:$D$2006,$D214,$E214:$E$2006,$E214)=1,ROW(),""),""),"")</f>
        <v/>
      </c>
    </row>
    <row r="215" customFormat="false" ht="15" hidden="false" customHeight="true" outlineLevel="0" collapsed="false">
      <c r="A215" s="13" t="str">
        <f aca="false">IF(AND($B215="",$D215="",$E215="",$F215=""),"",IF(OR($B215="",$D215="",$E215=""),"待补",IF($D215="公共区域","公",IF($D215="商铺","S",SUBSTITUTE($D215,"栋","")))&amp;"-"&amp;$E215&amp;"-"&amp;TEXT(MONTH($B215),"00")&amp;TEXT(DAY($B215),"00")&amp;IF(ISNUMBER($O215),IF($O215&gt;1,"-"&amp;TEXT($O215,"00"),""),"")))</f>
        <v/>
      </c>
      <c r="B215" s="14"/>
      <c r="C215" s="10"/>
      <c r="D215" s="10"/>
      <c r="E215" s="10"/>
      <c r="F215" s="16"/>
      <c r="G215" s="10"/>
      <c r="H215" s="10"/>
      <c r="I215" s="10"/>
      <c r="J215" s="10"/>
      <c r="K215" s="10"/>
      <c r="L215" s="10"/>
      <c r="M215" s="14"/>
      <c r="N215" s="17" t="str">
        <f aca="false">IF($B215="","",IF($L215="已完成",IF($M215="","",$M215-$B215),IF(设置!$B$6&lt;$B215,"",IF((设置!$B$6-$B215)&gt;=设置!$B$5,"超期"&amp;(设置!$B$6-$B215)&amp;"天","已等"&amp;(设置!$B$6-$B215)&amp;"天"))))</f>
        <v/>
      </c>
      <c r="O215" s="18" t="str">
        <f aca="false">IF(OR($D215="",$E215=""),"",COUNTIFS($D$7:$D215,$D215,$E$7:$E215,$E215))</f>
        <v/>
      </c>
      <c r="P215" s="16"/>
      <c r="Q215" s="19"/>
      <c r="R215" s="10"/>
      <c r="S215" s="16"/>
      <c r="T215" s="0" t="str">
        <f aca="false">IF(OR($D215="",单元查询!$B$3=""),"",IF($D215&lt;&gt;单元查询!$B$3,"",IF(OR(单元查询!$D$3="",$E215&amp;""=单元查询!$D$3&amp;""),IF(ISNUMBER($B215),$B215*10000,0)+ROW(),"")))</f>
        <v/>
      </c>
      <c r="U215" s="0" t="str">
        <f aca="false">IF(OR($B215="",$L215="已完成"),"",IF(ISNUMBER($B215),IF(设置!$B$6&lt;$B215,"",(设置!$B$6-$B215)*100000+ROW()),""))</f>
        <v/>
      </c>
      <c r="V215" s="0" t="str">
        <f aca="false">IF(ISNUMBER($O215),IF($O215&gt;=2,IF(COUNTIFS($D215:$D$2006,$D215,$E215:$E$2006,$E215)=1,ROW(),""),""),"")</f>
        <v/>
      </c>
    </row>
    <row r="216" customFormat="false" ht="15" hidden="false" customHeight="true" outlineLevel="0" collapsed="false">
      <c r="A216" s="13" t="str">
        <f aca="false">IF(AND($B216="",$D216="",$E216="",$F216=""),"",IF(OR($B216="",$D216="",$E216=""),"待补",IF($D216="公共区域","公",IF($D216="商铺","S",SUBSTITUTE($D216,"栋","")))&amp;"-"&amp;$E216&amp;"-"&amp;TEXT(MONTH($B216),"00")&amp;TEXT(DAY($B216),"00")&amp;IF(ISNUMBER($O216),IF($O216&gt;1,"-"&amp;TEXT($O216,"00"),""),"")))</f>
        <v/>
      </c>
      <c r="B216" s="14"/>
      <c r="C216" s="10"/>
      <c r="D216" s="10"/>
      <c r="E216" s="10"/>
      <c r="F216" s="16"/>
      <c r="G216" s="10"/>
      <c r="H216" s="10"/>
      <c r="I216" s="10"/>
      <c r="J216" s="10"/>
      <c r="K216" s="10"/>
      <c r="L216" s="10"/>
      <c r="M216" s="14"/>
      <c r="N216" s="17" t="str">
        <f aca="false">IF($B216="","",IF($L216="已完成",IF($M216="","",$M216-$B216),IF(设置!$B$6&lt;$B216,"",IF((设置!$B$6-$B216)&gt;=设置!$B$5,"超期"&amp;(设置!$B$6-$B216)&amp;"天","已等"&amp;(设置!$B$6-$B216)&amp;"天"))))</f>
        <v/>
      </c>
      <c r="O216" s="18" t="str">
        <f aca="false">IF(OR($D216="",$E216=""),"",COUNTIFS($D$7:$D216,$D216,$E$7:$E216,$E216))</f>
        <v/>
      </c>
      <c r="P216" s="16"/>
      <c r="Q216" s="19"/>
      <c r="R216" s="10"/>
      <c r="S216" s="16"/>
      <c r="T216" s="0" t="str">
        <f aca="false">IF(OR($D216="",单元查询!$B$3=""),"",IF($D216&lt;&gt;单元查询!$B$3,"",IF(OR(单元查询!$D$3="",$E216&amp;""=单元查询!$D$3&amp;""),IF(ISNUMBER($B216),$B216*10000,0)+ROW(),"")))</f>
        <v/>
      </c>
      <c r="U216" s="0" t="str">
        <f aca="false">IF(OR($B216="",$L216="已完成"),"",IF(ISNUMBER($B216),IF(设置!$B$6&lt;$B216,"",(设置!$B$6-$B216)*100000+ROW()),""))</f>
        <v/>
      </c>
      <c r="V216" s="0" t="str">
        <f aca="false">IF(ISNUMBER($O216),IF($O216&gt;=2,IF(COUNTIFS($D216:$D$2006,$D216,$E216:$E$2006,$E216)=1,ROW(),""),""),"")</f>
        <v/>
      </c>
    </row>
    <row r="217" customFormat="false" ht="15" hidden="false" customHeight="true" outlineLevel="0" collapsed="false">
      <c r="A217" s="13" t="str">
        <f aca="false">IF(AND($B217="",$D217="",$E217="",$F217=""),"",IF(OR($B217="",$D217="",$E217=""),"待补",IF($D217="公共区域","公",IF($D217="商铺","S",SUBSTITUTE($D217,"栋","")))&amp;"-"&amp;$E217&amp;"-"&amp;TEXT(MONTH($B217),"00")&amp;TEXT(DAY($B217),"00")&amp;IF(ISNUMBER($O217),IF($O217&gt;1,"-"&amp;TEXT($O217,"00"),""),"")))</f>
        <v/>
      </c>
      <c r="B217" s="14"/>
      <c r="C217" s="10"/>
      <c r="D217" s="10"/>
      <c r="E217" s="10"/>
      <c r="F217" s="16"/>
      <c r="G217" s="10"/>
      <c r="H217" s="10"/>
      <c r="I217" s="10"/>
      <c r="J217" s="10"/>
      <c r="K217" s="10"/>
      <c r="L217" s="10"/>
      <c r="M217" s="14"/>
      <c r="N217" s="17" t="str">
        <f aca="false">IF($B217="","",IF($L217="已完成",IF($M217="","",$M217-$B217),IF(设置!$B$6&lt;$B217,"",IF((设置!$B$6-$B217)&gt;=设置!$B$5,"超期"&amp;(设置!$B$6-$B217)&amp;"天","已等"&amp;(设置!$B$6-$B217)&amp;"天"))))</f>
        <v/>
      </c>
      <c r="O217" s="18" t="str">
        <f aca="false">IF(OR($D217="",$E217=""),"",COUNTIFS($D$7:$D217,$D217,$E$7:$E217,$E217))</f>
        <v/>
      </c>
      <c r="P217" s="16"/>
      <c r="Q217" s="19"/>
      <c r="R217" s="10"/>
      <c r="S217" s="16"/>
      <c r="T217" s="0" t="str">
        <f aca="false">IF(OR($D217="",单元查询!$B$3=""),"",IF($D217&lt;&gt;单元查询!$B$3,"",IF(OR(单元查询!$D$3="",$E217&amp;""=单元查询!$D$3&amp;""),IF(ISNUMBER($B217),$B217*10000,0)+ROW(),"")))</f>
        <v/>
      </c>
      <c r="U217" s="0" t="str">
        <f aca="false">IF(OR($B217="",$L217="已完成"),"",IF(ISNUMBER($B217),IF(设置!$B$6&lt;$B217,"",(设置!$B$6-$B217)*100000+ROW()),""))</f>
        <v/>
      </c>
      <c r="V217" s="0" t="str">
        <f aca="false">IF(ISNUMBER($O217),IF($O217&gt;=2,IF(COUNTIFS($D217:$D$2006,$D217,$E217:$E$2006,$E217)=1,ROW(),""),""),"")</f>
        <v/>
      </c>
    </row>
    <row r="218" customFormat="false" ht="15" hidden="false" customHeight="true" outlineLevel="0" collapsed="false">
      <c r="A218" s="13" t="str">
        <f aca="false">IF(AND($B218="",$D218="",$E218="",$F218=""),"",IF(OR($B218="",$D218="",$E218=""),"待补",IF($D218="公共区域","公",IF($D218="商铺","S",SUBSTITUTE($D218,"栋","")))&amp;"-"&amp;$E218&amp;"-"&amp;TEXT(MONTH($B218),"00")&amp;TEXT(DAY($B218),"00")&amp;IF(ISNUMBER($O218),IF($O218&gt;1,"-"&amp;TEXT($O218,"00"),""),"")))</f>
        <v/>
      </c>
      <c r="B218" s="14"/>
      <c r="C218" s="10"/>
      <c r="D218" s="10"/>
      <c r="E218" s="10"/>
      <c r="F218" s="16"/>
      <c r="G218" s="10"/>
      <c r="H218" s="10"/>
      <c r="I218" s="10"/>
      <c r="J218" s="10"/>
      <c r="K218" s="10"/>
      <c r="L218" s="10"/>
      <c r="M218" s="14"/>
      <c r="N218" s="17" t="str">
        <f aca="false">IF($B218="","",IF($L218="已完成",IF($M218="","",$M218-$B218),IF(设置!$B$6&lt;$B218,"",IF((设置!$B$6-$B218)&gt;=设置!$B$5,"超期"&amp;(设置!$B$6-$B218)&amp;"天","已等"&amp;(设置!$B$6-$B218)&amp;"天"))))</f>
        <v/>
      </c>
      <c r="O218" s="18" t="str">
        <f aca="false">IF(OR($D218="",$E218=""),"",COUNTIFS($D$7:$D218,$D218,$E$7:$E218,$E218))</f>
        <v/>
      </c>
      <c r="P218" s="16"/>
      <c r="Q218" s="19"/>
      <c r="R218" s="10"/>
      <c r="S218" s="16"/>
      <c r="T218" s="0" t="str">
        <f aca="false">IF(OR($D218="",单元查询!$B$3=""),"",IF($D218&lt;&gt;单元查询!$B$3,"",IF(OR(单元查询!$D$3="",$E218&amp;""=单元查询!$D$3&amp;""),IF(ISNUMBER($B218),$B218*10000,0)+ROW(),"")))</f>
        <v/>
      </c>
      <c r="U218" s="0" t="str">
        <f aca="false">IF(OR($B218="",$L218="已完成"),"",IF(ISNUMBER($B218),IF(设置!$B$6&lt;$B218,"",(设置!$B$6-$B218)*100000+ROW()),""))</f>
        <v/>
      </c>
      <c r="V218" s="0" t="str">
        <f aca="false">IF(ISNUMBER($O218),IF($O218&gt;=2,IF(COUNTIFS($D218:$D$2006,$D218,$E218:$E$2006,$E218)=1,ROW(),""),""),"")</f>
        <v/>
      </c>
    </row>
    <row r="219" customFormat="false" ht="15" hidden="false" customHeight="true" outlineLevel="0" collapsed="false">
      <c r="A219" s="13" t="str">
        <f aca="false">IF(AND($B219="",$D219="",$E219="",$F219=""),"",IF(OR($B219="",$D219="",$E219=""),"待补",IF($D219="公共区域","公",IF($D219="商铺","S",SUBSTITUTE($D219,"栋","")))&amp;"-"&amp;$E219&amp;"-"&amp;TEXT(MONTH($B219),"00")&amp;TEXT(DAY($B219),"00")&amp;IF(ISNUMBER($O219),IF($O219&gt;1,"-"&amp;TEXT($O219,"00"),""),"")))</f>
        <v/>
      </c>
      <c r="B219" s="14"/>
      <c r="C219" s="10"/>
      <c r="D219" s="10"/>
      <c r="E219" s="10"/>
      <c r="F219" s="16"/>
      <c r="G219" s="10"/>
      <c r="H219" s="10"/>
      <c r="I219" s="10"/>
      <c r="J219" s="10"/>
      <c r="K219" s="10"/>
      <c r="L219" s="10"/>
      <c r="M219" s="14"/>
      <c r="N219" s="17" t="str">
        <f aca="false">IF($B219="","",IF($L219="已完成",IF($M219="","",$M219-$B219),IF(设置!$B$6&lt;$B219,"",IF((设置!$B$6-$B219)&gt;=设置!$B$5,"超期"&amp;(设置!$B$6-$B219)&amp;"天","已等"&amp;(设置!$B$6-$B219)&amp;"天"))))</f>
        <v/>
      </c>
      <c r="O219" s="18" t="str">
        <f aca="false">IF(OR($D219="",$E219=""),"",COUNTIFS($D$7:$D219,$D219,$E$7:$E219,$E219))</f>
        <v/>
      </c>
      <c r="P219" s="16"/>
      <c r="Q219" s="19"/>
      <c r="R219" s="10"/>
      <c r="S219" s="16"/>
      <c r="T219" s="0" t="str">
        <f aca="false">IF(OR($D219="",单元查询!$B$3=""),"",IF($D219&lt;&gt;单元查询!$B$3,"",IF(OR(单元查询!$D$3="",$E219&amp;""=单元查询!$D$3&amp;""),IF(ISNUMBER($B219),$B219*10000,0)+ROW(),"")))</f>
        <v/>
      </c>
      <c r="U219" s="0" t="str">
        <f aca="false">IF(OR($B219="",$L219="已完成"),"",IF(ISNUMBER($B219),IF(设置!$B$6&lt;$B219,"",(设置!$B$6-$B219)*100000+ROW()),""))</f>
        <v/>
      </c>
      <c r="V219" s="0" t="str">
        <f aca="false">IF(ISNUMBER($O219),IF($O219&gt;=2,IF(COUNTIFS($D219:$D$2006,$D219,$E219:$E$2006,$E219)=1,ROW(),""),""),"")</f>
        <v/>
      </c>
    </row>
    <row r="220" customFormat="false" ht="15" hidden="false" customHeight="true" outlineLevel="0" collapsed="false">
      <c r="A220" s="13" t="str">
        <f aca="false">IF(AND($B220="",$D220="",$E220="",$F220=""),"",IF(OR($B220="",$D220="",$E220=""),"待补",IF($D220="公共区域","公",IF($D220="商铺","S",SUBSTITUTE($D220,"栋","")))&amp;"-"&amp;$E220&amp;"-"&amp;TEXT(MONTH($B220),"00")&amp;TEXT(DAY($B220),"00")&amp;IF(ISNUMBER($O220),IF($O220&gt;1,"-"&amp;TEXT($O220,"00"),""),"")))</f>
        <v/>
      </c>
      <c r="B220" s="14"/>
      <c r="C220" s="10"/>
      <c r="D220" s="10"/>
      <c r="E220" s="10"/>
      <c r="F220" s="16"/>
      <c r="G220" s="10"/>
      <c r="H220" s="10"/>
      <c r="I220" s="10"/>
      <c r="J220" s="10"/>
      <c r="K220" s="10"/>
      <c r="L220" s="10"/>
      <c r="M220" s="14"/>
      <c r="N220" s="17" t="str">
        <f aca="false">IF($B220="","",IF($L220="已完成",IF($M220="","",$M220-$B220),IF(设置!$B$6&lt;$B220,"",IF((设置!$B$6-$B220)&gt;=设置!$B$5,"超期"&amp;(设置!$B$6-$B220)&amp;"天","已等"&amp;(设置!$B$6-$B220)&amp;"天"))))</f>
        <v/>
      </c>
      <c r="O220" s="18" t="str">
        <f aca="false">IF(OR($D220="",$E220=""),"",COUNTIFS($D$7:$D220,$D220,$E$7:$E220,$E220))</f>
        <v/>
      </c>
      <c r="P220" s="16"/>
      <c r="Q220" s="19"/>
      <c r="R220" s="10"/>
      <c r="S220" s="16"/>
      <c r="T220" s="0" t="str">
        <f aca="false">IF(OR($D220="",单元查询!$B$3=""),"",IF($D220&lt;&gt;单元查询!$B$3,"",IF(OR(单元查询!$D$3="",$E220&amp;""=单元查询!$D$3&amp;""),IF(ISNUMBER($B220),$B220*10000,0)+ROW(),"")))</f>
        <v/>
      </c>
      <c r="U220" s="0" t="str">
        <f aca="false">IF(OR($B220="",$L220="已完成"),"",IF(ISNUMBER($B220),IF(设置!$B$6&lt;$B220,"",(设置!$B$6-$B220)*100000+ROW()),""))</f>
        <v/>
      </c>
      <c r="V220" s="0" t="str">
        <f aca="false">IF(ISNUMBER($O220),IF($O220&gt;=2,IF(COUNTIFS($D220:$D$2006,$D220,$E220:$E$2006,$E220)=1,ROW(),""),""),"")</f>
        <v/>
      </c>
    </row>
    <row r="221" customFormat="false" ht="15" hidden="false" customHeight="true" outlineLevel="0" collapsed="false">
      <c r="A221" s="13" t="str">
        <f aca="false">IF(AND($B221="",$D221="",$E221="",$F221=""),"",IF(OR($B221="",$D221="",$E221=""),"待补",IF($D221="公共区域","公",IF($D221="商铺","S",SUBSTITUTE($D221,"栋","")))&amp;"-"&amp;$E221&amp;"-"&amp;TEXT(MONTH($B221),"00")&amp;TEXT(DAY($B221),"00")&amp;IF(ISNUMBER($O221),IF($O221&gt;1,"-"&amp;TEXT($O221,"00"),""),"")))</f>
        <v/>
      </c>
      <c r="B221" s="14"/>
      <c r="C221" s="10"/>
      <c r="D221" s="10"/>
      <c r="E221" s="10"/>
      <c r="F221" s="16"/>
      <c r="G221" s="10"/>
      <c r="H221" s="10"/>
      <c r="I221" s="10"/>
      <c r="J221" s="10"/>
      <c r="K221" s="10"/>
      <c r="L221" s="10"/>
      <c r="M221" s="14"/>
      <c r="N221" s="17" t="str">
        <f aca="false">IF($B221="","",IF($L221="已完成",IF($M221="","",$M221-$B221),IF(设置!$B$6&lt;$B221,"",IF((设置!$B$6-$B221)&gt;=设置!$B$5,"超期"&amp;(设置!$B$6-$B221)&amp;"天","已等"&amp;(设置!$B$6-$B221)&amp;"天"))))</f>
        <v/>
      </c>
      <c r="O221" s="18" t="str">
        <f aca="false">IF(OR($D221="",$E221=""),"",COUNTIFS($D$7:$D221,$D221,$E$7:$E221,$E221))</f>
        <v/>
      </c>
      <c r="P221" s="16"/>
      <c r="Q221" s="19"/>
      <c r="R221" s="10"/>
      <c r="S221" s="16"/>
      <c r="T221" s="0" t="str">
        <f aca="false">IF(OR($D221="",单元查询!$B$3=""),"",IF($D221&lt;&gt;单元查询!$B$3,"",IF(OR(单元查询!$D$3="",$E221&amp;""=单元查询!$D$3&amp;""),IF(ISNUMBER($B221),$B221*10000,0)+ROW(),"")))</f>
        <v/>
      </c>
      <c r="U221" s="0" t="str">
        <f aca="false">IF(OR($B221="",$L221="已完成"),"",IF(ISNUMBER($B221),IF(设置!$B$6&lt;$B221,"",(设置!$B$6-$B221)*100000+ROW()),""))</f>
        <v/>
      </c>
      <c r="V221" s="0" t="str">
        <f aca="false">IF(ISNUMBER($O221),IF($O221&gt;=2,IF(COUNTIFS($D221:$D$2006,$D221,$E221:$E$2006,$E221)=1,ROW(),""),""),"")</f>
        <v/>
      </c>
    </row>
    <row r="222" customFormat="false" ht="15" hidden="false" customHeight="true" outlineLevel="0" collapsed="false">
      <c r="A222" s="13" t="str">
        <f aca="false">IF(AND($B222="",$D222="",$E222="",$F222=""),"",IF(OR($B222="",$D222="",$E222=""),"待补",IF($D222="公共区域","公",IF($D222="商铺","S",SUBSTITUTE($D222,"栋","")))&amp;"-"&amp;$E222&amp;"-"&amp;TEXT(MONTH($B222),"00")&amp;TEXT(DAY($B222),"00")&amp;IF(ISNUMBER($O222),IF($O222&gt;1,"-"&amp;TEXT($O222,"00"),""),"")))</f>
        <v/>
      </c>
      <c r="B222" s="14"/>
      <c r="C222" s="10"/>
      <c r="D222" s="10"/>
      <c r="E222" s="10"/>
      <c r="F222" s="16"/>
      <c r="G222" s="10"/>
      <c r="H222" s="10"/>
      <c r="I222" s="10"/>
      <c r="J222" s="10"/>
      <c r="K222" s="10"/>
      <c r="L222" s="10"/>
      <c r="M222" s="14"/>
      <c r="N222" s="17" t="str">
        <f aca="false">IF($B222="","",IF($L222="已完成",IF($M222="","",$M222-$B222),IF(设置!$B$6&lt;$B222,"",IF((设置!$B$6-$B222)&gt;=设置!$B$5,"超期"&amp;(设置!$B$6-$B222)&amp;"天","已等"&amp;(设置!$B$6-$B222)&amp;"天"))))</f>
        <v/>
      </c>
      <c r="O222" s="18" t="str">
        <f aca="false">IF(OR($D222="",$E222=""),"",COUNTIFS($D$7:$D222,$D222,$E$7:$E222,$E222))</f>
        <v/>
      </c>
      <c r="P222" s="16"/>
      <c r="Q222" s="19"/>
      <c r="R222" s="10"/>
      <c r="S222" s="16"/>
      <c r="T222" s="0" t="str">
        <f aca="false">IF(OR($D222="",单元查询!$B$3=""),"",IF($D222&lt;&gt;单元查询!$B$3,"",IF(OR(单元查询!$D$3="",$E222&amp;""=单元查询!$D$3&amp;""),IF(ISNUMBER($B222),$B222*10000,0)+ROW(),"")))</f>
        <v/>
      </c>
      <c r="U222" s="0" t="str">
        <f aca="false">IF(OR($B222="",$L222="已完成"),"",IF(ISNUMBER($B222),IF(设置!$B$6&lt;$B222,"",(设置!$B$6-$B222)*100000+ROW()),""))</f>
        <v/>
      </c>
      <c r="V222" s="0" t="str">
        <f aca="false">IF(ISNUMBER($O222),IF($O222&gt;=2,IF(COUNTIFS($D222:$D$2006,$D222,$E222:$E$2006,$E222)=1,ROW(),""),""),"")</f>
        <v/>
      </c>
    </row>
    <row r="223" customFormat="false" ht="15" hidden="false" customHeight="true" outlineLevel="0" collapsed="false">
      <c r="A223" s="13" t="str">
        <f aca="false">IF(AND($B223="",$D223="",$E223="",$F223=""),"",IF(OR($B223="",$D223="",$E223=""),"待补",IF($D223="公共区域","公",IF($D223="商铺","S",SUBSTITUTE($D223,"栋","")))&amp;"-"&amp;$E223&amp;"-"&amp;TEXT(MONTH($B223),"00")&amp;TEXT(DAY($B223),"00")&amp;IF(ISNUMBER($O223),IF($O223&gt;1,"-"&amp;TEXT($O223,"00"),""),"")))</f>
        <v/>
      </c>
      <c r="B223" s="14"/>
      <c r="C223" s="10"/>
      <c r="D223" s="10"/>
      <c r="E223" s="10"/>
      <c r="F223" s="16"/>
      <c r="G223" s="10"/>
      <c r="H223" s="10"/>
      <c r="I223" s="10"/>
      <c r="J223" s="10"/>
      <c r="K223" s="10"/>
      <c r="L223" s="10"/>
      <c r="M223" s="14"/>
      <c r="N223" s="17" t="str">
        <f aca="false">IF($B223="","",IF($L223="已完成",IF($M223="","",$M223-$B223),IF(设置!$B$6&lt;$B223,"",IF((设置!$B$6-$B223)&gt;=设置!$B$5,"超期"&amp;(设置!$B$6-$B223)&amp;"天","已等"&amp;(设置!$B$6-$B223)&amp;"天"))))</f>
        <v/>
      </c>
      <c r="O223" s="18" t="str">
        <f aca="false">IF(OR($D223="",$E223=""),"",COUNTIFS($D$7:$D223,$D223,$E$7:$E223,$E223))</f>
        <v/>
      </c>
      <c r="P223" s="16"/>
      <c r="Q223" s="19"/>
      <c r="R223" s="10"/>
      <c r="S223" s="16"/>
      <c r="T223" s="0" t="str">
        <f aca="false">IF(OR($D223="",单元查询!$B$3=""),"",IF($D223&lt;&gt;单元查询!$B$3,"",IF(OR(单元查询!$D$3="",$E223&amp;""=单元查询!$D$3&amp;""),IF(ISNUMBER($B223),$B223*10000,0)+ROW(),"")))</f>
        <v/>
      </c>
      <c r="U223" s="0" t="str">
        <f aca="false">IF(OR($B223="",$L223="已完成"),"",IF(ISNUMBER($B223),IF(设置!$B$6&lt;$B223,"",(设置!$B$6-$B223)*100000+ROW()),""))</f>
        <v/>
      </c>
      <c r="V223" s="0" t="str">
        <f aca="false">IF(ISNUMBER($O223),IF($O223&gt;=2,IF(COUNTIFS($D223:$D$2006,$D223,$E223:$E$2006,$E223)=1,ROW(),""),""),"")</f>
        <v/>
      </c>
    </row>
    <row r="224" customFormat="false" ht="15" hidden="false" customHeight="true" outlineLevel="0" collapsed="false">
      <c r="A224" s="13" t="str">
        <f aca="false">IF(AND($B224="",$D224="",$E224="",$F224=""),"",IF(OR($B224="",$D224="",$E224=""),"待补",IF($D224="公共区域","公",IF($D224="商铺","S",SUBSTITUTE($D224,"栋","")))&amp;"-"&amp;$E224&amp;"-"&amp;TEXT(MONTH($B224),"00")&amp;TEXT(DAY($B224),"00")&amp;IF(ISNUMBER($O224),IF($O224&gt;1,"-"&amp;TEXT($O224,"00"),""),"")))</f>
        <v/>
      </c>
      <c r="B224" s="14"/>
      <c r="C224" s="10"/>
      <c r="D224" s="10"/>
      <c r="E224" s="10"/>
      <c r="F224" s="16"/>
      <c r="G224" s="10"/>
      <c r="H224" s="10"/>
      <c r="I224" s="10"/>
      <c r="J224" s="10"/>
      <c r="K224" s="10"/>
      <c r="L224" s="10"/>
      <c r="M224" s="14"/>
      <c r="N224" s="17" t="str">
        <f aca="false">IF($B224="","",IF($L224="已完成",IF($M224="","",$M224-$B224),IF(设置!$B$6&lt;$B224,"",IF((设置!$B$6-$B224)&gt;=设置!$B$5,"超期"&amp;(设置!$B$6-$B224)&amp;"天","已等"&amp;(设置!$B$6-$B224)&amp;"天"))))</f>
        <v/>
      </c>
      <c r="O224" s="18" t="str">
        <f aca="false">IF(OR($D224="",$E224=""),"",COUNTIFS($D$7:$D224,$D224,$E$7:$E224,$E224))</f>
        <v/>
      </c>
      <c r="P224" s="16"/>
      <c r="Q224" s="19"/>
      <c r="R224" s="10"/>
      <c r="S224" s="16"/>
      <c r="T224" s="0" t="str">
        <f aca="false">IF(OR($D224="",单元查询!$B$3=""),"",IF($D224&lt;&gt;单元查询!$B$3,"",IF(OR(单元查询!$D$3="",$E224&amp;""=单元查询!$D$3&amp;""),IF(ISNUMBER($B224),$B224*10000,0)+ROW(),"")))</f>
        <v/>
      </c>
      <c r="U224" s="0" t="str">
        <f aca="false">IF(OR($B224="",$L224="已完成"),"",IF(ISNUMBER($B224),IF(设置!$B$6&lt;$B224,"",(设置!$B$6-$B224)*100000+ROW()),""))</f>
        <v/>
      </c>
      <c r="V224" s="0" t="str">
        <f aca="false">IF(ISNUMBER($O224),IF($O224&gt;=2,IF(COUNTIFS($D224:$D$2006,$D224,$E224:$E$2006,$E224)=1,ROW(),""),""),"")</f>
        <v/>
      </c>
    </row>
    <row r="225" customFormat="false" ht="15" hidden="false" customHeight="true" outlineLevel="0" collapsed="false">
      <c r="A225" s="13" t="str">
        <f aca="false">IF(AND($B225="",$D225="",$E225="",$F225=""),"",IF(OR($B225="",$D225="",$E225=""),"待补",IF($D225="公共区域","公",IF($D225="商铺","S",SUBSTITUTE($D225,"栋","")))&amp;"-"&amp;$E225&amp;"-"&amp;TEXT(MONTH($B225),"00")&amp;TEXT(DAY($B225),"00")&amp;IF(ISNUMBER($O225),IF($O225&gt;1,"-"&amp;TEXT($O225,"00"),""),"")))</f>
        <v/>
      </c>
      <c r="B225" s="14"/>
      <c r="C225" s="10"/>
      <c r="D225" s="10"/>
      <c r="E225" s="10"/>
      <c r="F225" s="16"/>
      <c r="G225" s="10"/>
      <c r="H225" s="10"/>
      <c r="I225" s="10"/>
      <c r="J225" s="10"/>
      <c r="K225" s="10"/>
      <c r="L225" s="10"/>
      <c r="M225" s="14"/>
      <c r="N225" s="17" t="str">
        <f aca="false">IF($B225="","",IF($L225="已完成",IF($M225="","",$M225-$B225),IF(设置!$B$6&lt;$B225,"",IF((设置!$B$6-$B225)&gt;=设置!$B$5,"超期"&amp;(设置!$B$6-$B225)&amp;"天","已等"&amp;(设置!$B$6-$B225)&amp;"天"))))</f>
        <v/>
      </c>
      <c r="O225" s="18" t="str">
        <f aca="false">IF(OR($D225="",$E225=""),"",COUNTIFS($D$7:$D225,$D225,$E$7:$E225,$E225))</f>
        <v/>
      </c>
      <c r="P225" s="16"/>
      <c r="Q225" s="19"/>
      <c r="R225" s="10"/>
      <c r="S225" s="16"/>
      <c r="T225" s="0" t="str">
        <f aca="false">IF(OR($D225="",单元查询!$B$3=""),"",IF($D225&lt;&gt;单元查询!$B$3,"",IF(OR(单元查询!$D$3="",$E225&amp;""=单元查询!$D$3&amp;""),IF(ISNUMBER($B225),$B225*10000,0)+ROW(),"")))</f>
        <v/>
      </c>
      <c r="U225" s="0" t="str">
        <f aca="false">IF(OR($B225="",$L225="已完成"),"",IF(ISNUMBER($B225),IF(设置!$B$6&lt;$B225,"",(设置!$B$6-$B225)*100000+ROW()),""))</f>
        <v/>
      </c>
      <c r="V225" s="0" t="str">
        <f aca="false">IF(ISNUMBER($O225),IF($O225&gt;=2,IF(COUNTIFS($D225:$D$2006,$D225,$E225:$E$2006,$E225)=1,ROW(),""),""),"")</f>
        <v/>
      </c>
    </row>
    <row r="226" customFormat="false" ht="15" hidden="false" customHeight="true" outlineLevel="0" collapsed="false">
      <c r="A226" s="13" t="str">
        <f aca="false">IF(AND($B226="",$D226="",$E226="",$F226=""),"",IF(OR($B226="",$D226="",$E226=""),"待补",IF($D226="公共区域","公",IF($D226="商铺","S",SUBSTITUTE($D226,"栋","")))&amp;"-"&amp;$E226&amp;"-"&amp;TEXT(MONTH($B226),"00")&amp;TEXT(DAY($B226),"00")&amp;IF(ISNUMBER($O226),IF($O226&gt;1,"-"&amp;TEXT($O226,"00"),""),"")))</f>
        <v/>
      </c>
      <c r="B226" s="14"/>
      <c r="C226" s="10"/>
      <c r="D226" s="10"/>
      <c r="E226" s="10"/>
      <c r="F226" s="16"/>
      <c r="G226" s="10"/>
      <c r="H226" s="10"/>
      <c r="I226" s="10"/>
      <c r="J226" s="10"/>
      <c r="K226" s="10"/>
      <c r="L226" s="10"/>
      <c r="M226" s="14"/>
      <c r="N226" s="17" t="str">
        <f aca="false">IF($B226="","",IF($L226="已完成",IF($M226="","",$M226-$B226),IF(设置!$B$6&lt;$B226,"",IF((设置!$B$6-$B226)&gt;=设置!$B$5,"超期"&amp;(设置!$B$6-$B226)&amp;"天","已等"&amp;(设置!$B$6-$B226)&amp;"天"))))</f>
        <v/>
      </c>
      <c r="O226" s="18" t="str">
        <f aca="false">IF(OR($D226="",$E226=""),"",COUNTIFS($D$7:$D226,$D226,$E$7:$E226,$E226))</f>
        <v/>
      </c>
      <c r="P226" s="16"/>
      <c r="Q226" s="19"/>
      <c r="R226" s="10"/>
      <c r="S226" s="16"/>
      <c r="T226" s="0" t="str">
        <f aca="false">IF(OR($D226="",单元查询!$B$3=""),"",IF($D226&lt;&gt;单元查询!$B$3,"",IF(OR(单元查询!$D$3="",$E226&amp;""=单元查询!$D$3&amp;""),IF(ISNUMBER($B226),$B226*10000,0)+ROW(),"")))</f>
        <v/>
      </c>
      <c r="U226" s="0" t="str">
        <f aca="false">IF(OR($B226="",$L226="已完成"),"",IF(ISNUMBER($B226),IF(设置!$B$6&lt;$B226,"",(设置!$B$6-$B226)*100000+ROW()),""))</f>
        <v/>
      </c>
      <c r="V226" s="0" t="str">
        <f aca="false">IF(ISNUMBER($O226),IF($O226&gt;=2,IF(COUNTIFS($D226:$D$2006,$D226,$E226:$E$2006,$E226)=1,ROW(),""),""),"")</f>
        <v/>
      </c>
    </row>
    <row r="227" customFormat="false" ht="15" hidden="false" customHeight="true" outlineLevel="0" collapsed="false">
      <c r="A227" s="13" t="str">
        <f aca="false">IF(AND($B227="",$D227="",$E227="",$F227=""),"",IF(OR($B227="",$D227="",$E227=""),"待补",IF($D227="公共区域","公",IF($D227="商铺","S",SUBSTITUTE($D227,"栋","")))&amp;"-"&amp;$E227&amp;"-"&amp;TEXT(MONTH($B227),"00")&amp;TEXT(DAY($B227),"00")&amp;IF(ISNUMBER($O227),IF($O227&gt;1,"-"&amp;TEXT($O227,"00"),""),"")))</f>
        <v/>
      </c>
      <c r="B227" s="14"/>
      <c r="C227" s="10"/>
      <c r="D227" s="10"/>
      <c r="E227" s="10"/>
      <c r="F227" s="16"/>
      <c r="G227" s="10"/>
      <c r="H227" s="10"/>
      <c r="I227" s="10"/>
      <c r="J227" s="10"/>
      <c r="K227" s="10"/>
      <c r="L227" s="10"/>
      <c r="M227" s="14"/>
      <c r="N227" s="17" t="str">
        <f aca="false">IF($B227="","",IF($L227="已完成",IF($M227="","",$M227-$B227),IF(设置!$B$6&lt;$B227,"",IF((设置!$B$6-$B227)&gt;=设置!$B$5,"超期"&amp;(设置!$B$6-$B227)&amp;"天","已等"&amp;(设置!$B$6-$B227)&amp;"天"))))</f>
        <v/>
      </c>
      <c r="O227" s="18" t="str">
        <f aca="false">IF(OR($D227="",$E227=""),"",COUNTIFS($D$7:$D227,$D227,$E$7:$E227,$E227))</f>
        <v/>
      </c>
      <c r="P227" s="16"/>
      <c r="Q227" s="19"/>
      <c r="R227" s="10"/>
      <c r="S227" s="16"/>
      <c r="T227" s="0" t="str">
        <f aca="false">IF(OR($D227="",单元查询!$B$3=""),"",IF($D227&lt;&gt;单元查询!$B$3,"",IF(OR(单元查询!$D$3="",$E227&amp;""=单元查询!$D$3&amp;""),IF(ISNUMBER($B227),$B227*10000,0)+ROW(),"")))</f>
        <v/>
      </c>
      <c r="U227" s="0" t="str">
        <f aca="false">IF(OR($B227="",$L227="已完成"),"",IF(ISNUMBER($B227),IF(设置!$B$6&lt;$B227,"",(设置!$B$6-$B227)*100000+ROW()),""))</f>
        <v/>
      </c>
      <c r="V227" s="0" t="str">
        <f aca="false">IF(ISNUMBER($O227),IF($O227&gt;=2,IF(COUNTIFS($D227:$D$2006,$D227,$E227:$E$2006,$E227)=1,ROW(),""),""),"")</f>
        <v/>
      </c>
    </row>
    <row r="228" customFormat="false" ht="15" hidden="false" customHeight="true" outlineLevel="0" collapsed="false">
      <c r="A228" s="13" t="str">
        <f aca="false">IF(AND($B228="",$D228="",$E228="",$F228=""),"",IF(OR($B228="",$D228="",$E228=""),"待补",IF($D228="公共区域","公",IF($D228="商铺","S",SUBSTITUTE($D228,"栋","")))&amp;"-"&amp;$E228&amp;"-"&amp;TEXT(MONTH($B228),"00")&amp;TEXT(DAY($B228),"00")&amp;IF(ISNUMBER($O228),IF($O228&gt;1,"-"&amp;TEXT($O228,"00"),""),"")))</f>
        <v/>
      </c>
      <c r="B228" s="14"/>
      <c r="C228" s="10"/>
      <c r="D228" s="10"/>
      <c r="E228" s="10"/>
      <c r="F228" s="16"/>
      <c r="G228" s="10"/>
      <c r="H228" s="10"/>
      <c r="I228" s="10"/>
      <c r="J228" s="10"/>
      <c r="K228" s="10"/>
      <c r="L228" s="10"/>
      <c r="M228" s="14"/>
      <c r="N228" s="17" t="str">
        <f aca="false">IF($B228="","",IF($L228="已完成",IF($M228="","",$M228-$B228),IF(设置!$B$6&lt;$B228,"",IF((设置!$B$6-$B228)&gt;=设置!$B$5,"超期"&amp;(设置!$B$6-$B228)&amp;"天","已等"&amp;(设置!$B$6-$B228)&amp;"天"))))</f>
        <v/>
      </c>
      <c r="O228" s="18" t="str">
        <f aca="false">IF(OR($D228="",$E228=""),"",COUNTIFS($D$7:$D228,$D228,$E$7:$E228,$E228))</f>
        <v/>
      </c>
      <c r="P228" s="16"/>
      <c r="Q228" s="19"/>
      <c r="R228" s="10"/>
      <c r="S228" s="16"/>
      <c r="T228" s="0" t="str">
        <f aca="false">IF(OR($D228="",单元查询!$B$3=""),"",IF($D228&lt;&gt;单元查询!$B$3,"",IF(OR(单元查询!$D$3="",$E228&amp;""=单元查询!$D$3&amp;""),IF(ISNUMBER($B228),$B228*10000,0)+ROW(),"")))</f>
        <v/>
      </c>
      <c r="U228" s="0" t="str">
        <f aca="false">IF(OR($B228="",$L228="已完成"),"",IF(ISNUMBER($B228),IF(设置!$B$6&lt;$B228,"",(设置!$B$6-$B228)*100000+ROW()),""))</f>
        <v/>
      </c>
      <c r="V228" s="0" t="str">
        <f aca="false">IF(ISNUMBER($O228),IF($O228&gt;=2,IF(COUNTIFS($D228:$D$2006,$D228,$E228:$E$2006,$E228)=1,ROW(),""),""),"")</f>
        <v/>
      </c>
    </row>
    <row r="229" customFormat="false" ht="15" hidden="false" customHeight="true" outlineLevel="0" collapsed="false">
      <c r="A229" s="13" t="str">
        <f aca="false">IF(AND($B229="",$D229="",$E229="",$F229=""),"",IF(OR($B229="",$D229="",$E229=""),"待补",IF($D229="公共区域","公",IF($D229="商铺","S",SUBSTITUTE($D229,"栋","")))&amp;"-"&amp;$E229&amp;"-"&amp;TEXT(MONTH($B229),"00")&amp;TEXT(DAY($B229),"00")&amp;IF(ISNUMBER($O229),IF($O229&gt;1,"-"&amp;TEXT($O229,"00"),""),"")))</f>
        <v/>
      </c>
      <c r="B229" s="14"/>
      <c r="C229" s="10"/>
      <c r="D229" s="10"/>
      <c r="E229" s="10"/>
      <c r="F229" s="16"/>
      <c r="G229" s="10"/>
      <c r="H229" s="10"/>
      <c r="I229" s="10"/>
      <c r="J229" s="10"/>
      <c r="K229" s="10"/>
      <c r="L229" s="10"/>
      <c r="M229" s="14"/>
      <c r="N229" s="17" t="str">
        <f aca="false">IF($B229="","",IF($L229="已完成",IF($M229="","",$M229-$B229),IF(设置!$B$6&lt;$B229,"",IF((设置!$B$6-$B229)&gt;=设置!$B$5,"超期"&amp;(设置!$B$6-$B229)&amp;"天","已等"&amp;(设置!$B$6-$B229)&amp;"天"))))</f>
        <v/>
      </c>
      <c r="O229" s="18" t="str">
        <f aca="false">IF(OR($D229="",$E229=""),"",COUNTIFS($D$7:$D229,$D229,$E$7:$E229,$E229))</f>
        <v/>
      </c>
      <c r="P229" s="16"/>
      <c r="Q229" s="19"/>
      <c r="R229" s="10"/>
      <c r="S229" s="16"/>
      <c r="T229" s="0" t="str">
        <f aca="false">IF(OR($D229="",单元查询!$B$3=""),"",IF($D229&lt;&gt;单元查询!$B$3,"",IF(OR(单元查询!$D$3="",$E229&amp;""=单元查询!$D$3&amp;""),IF(ISNUMBER($B229),$B229*10000,0)+ROW(),"")))</f>
        <v/>
      </c>
      <c r="U229" s="0" t="str">
        <f aca="false">IF(OR($B229="",$L229="已完成"),"",IF(ISNUMBER($B229),IF(设置!$B$6&lt;$B229,"",(设置!$B$6-$B229)*100000+ROW()),""))</f>
        <v/>
      </c>
      <c r="V229" s="0" t="str">
        <f aca="false">IF(ISNUMBER($O229),IF($O229&gt;=2,IF(COUNTIFS($D229:$D$2006,$D229,$E229:$E$2006,$E229)=1,ROW(),""),""),"")</f>
        <v/>
      </c>
    </row>
    <row r="230" customFormat="false" ht="15" hidden="false" customHeight="true" outlineLevel="0" collapsed="false">
      <c r="A230" s="13" t="str">
        <f aca="false">IF(AND($B230="",$D230="",$E230="",$F230=""),"",IF(OR($B230="",$D230="",$E230=""),"待补",IF($D230="公共区域","公",IF($D230="商铺","S",SUBSTITUTE($D230,"栋","")))&amp;"-"&amp;$E230&amp;"-"&amp;TEXT(MONTH($B230),"00")&amp;TEXT(DAY($B230),"00")&amp;IF(ISNUMBER($O230),IF($O230&gt;1,"-"&amp;TEXT($O230,"00"),""),"")))</f>
        <v/>
      </c>
      <c r="B230" s="14"/>
      <c r="C230" s="10"/>
      <c r="D230" s="10"/>
      <c r="E230" s="10"/>
      <c r="F230" s="16"/>
      <c r="G230" s="10"/>
      <c r="H230" s="10"/>
      <c r="I230" s="10"/>
      <c r="J230" s="10"/>
      <c r="K230" s="10"/>
      <c r="L230" s="10"/>
      <c r="M230" s="14"/>
      <c r="N230" s="17" t="str">
        <f aca="false">IF($B230="","",IF($L230="已完成",IF($M230="","",$M230-$B230),IF(设置!$B$6&lt;$B230,"",IF((设置!$B$6-$B230)&gt;=设置!$B$5,"超期"&amp;(设置!$B$6-$B230)&amp;"天","已等"&amp;(设置!$B$6-$B230)&amp;"天"))))</f>
        <v/>
      </c>
      <c r="O230" s="18" t="str">
        <f aca="false">IF(OR($D230="",$E230=""),"",COUNTIFS($D$7:$D230,$D230,$E$7:$E230,$E230))</f>
        <v/>
      </c>
      <c r="P230" s="16"/>
      <c r="Q230" s="19"/>
      <c r="R230" s="10"/>
      <c r="S230" s="16"/>
      <c r="T230" s="0" t="str">
        <f aca="false">IF(OR($D230="",单元查询!$B$3=""),"",IF($D230&lt;&gt;单元查询!$B$3,"",IF(OR(单元查询!$D$3="",$E230&amp;""=单元查询!$D$3&amp;""),IF(ISNUMBER($B230),$B230*10000,0)+ROW(),"")))</f>
        <v/>
      </c>
      <c r="U230" s="0" t="str">
        <f aca="false">IF(OR($B230="",$L230="已完成"),"",IF(ISNUMBER($B230),IF(设置!$B$6&lt;$B230,"",(设置!$B$6-$B230)*100000+ROW()),""))</f>
        <v/>
      </c>
      <c r="V230" s="0" t="str">
        <f aca="false">IF(ISNUMBER($O230),IF($O230&gt;=2,IF(COUNTIFS($D230:$D$2006,$D230,$E230:$E$2006,$E230)=1,ROW(),""),""),"")</f>
        <v/>
      </c>
    </row>
    <row r="231" customFormat="false" ht="15" hidden="false" customHeight="true" outlineLevel="0" collapsed="false">
      <c r="A231" s="13" t="str">
        <f aca="false">IF(AND($B231="",$D231="",$E231="",$F231=""),"",IF(OR($B231="",$D231="",$E231=""),"待补",IF($D231="公共区域","公",IF($D231="商铺","S",SUBSTITUTE($D231,"栋","")))&amp;"-"&amp;$E231&amp;"-"&amp;TEXT(MONTH($B231),"00")&amp;TEXT(DAY($B231),"00")&amp;IF(ISNUMBER($O231),IF($O231&gt;1,"-"&amp;TEXT($O231,"00"),""),"")))</f>
        <v/>
      </c>
      <c r="B231" s="14"/>
      <c r="C231" s="10"/>
      <c r="D231" s="10"/>
      <c r="E231" s="10"/>
      <c r="F231" s="16"/>
      <c r="G231" s="10"/>
      <c r="H231" s="10"/>
      <c r="I231" s="10"/>
      <c r="J231" s="10"/>
      <c r="K231" s="10"/>
      <c r="L231" s="10"/>
      <c r="M231" s="14"/>
      <c r="N231" s="17" t="str">
        <f aca="false">IF($B231="","",IF($L231="已完成",IF($M231="","",$M231-$B231),IF(设置!$B$6&lt;$B231,"",IF((设置!$B$6-$B231)&gt;=设置!$B$5,"超期"&amp;(设置!$B$6-$B231)&amp;"天","已等"&amp;(设置!$B$6-$B231)&amp;"天"))))</f>
        <v/>
      </c>
      <c r="O231" s="18" t="str">
        <f aca="false">IF(OR($D231="",$E231=""),"",COUNTIFS($D$7:$D231,$D231,$E$7:$E231,$E231))</f>
        <v/>
      </c>
      <c r="P231" s="16"/>
      <c r="Q231" s="19"/>
      <c r="R231" s="10"/>
      <c r="S231" s="16"/>
      <c r="T231" s="0" t="str">
        <f aca="false">IF(OR($D231="",单元查询!$B$3=""),"",IF($D231&lt;&gt;单元查询!$B$3,"",IF(OR(单元查询!$D$3="",$E231&amp;""=单元查询!$D$3&amp;""),IF(ISNUMBER($B231),$B231*10000,0)+ROW(),"")))</f>
        <v/>
      </c>
      <c r="U231" s="0" t="str">
        <f aca="false">IF(OR($B231="",$L231="已完成"),"",IF(ISNUMBER($B231),IF(设置!$B$6&lt;$B231,"",(设置!$B$6-$B231)*100000+ROW()),""))</f>
        <v/>
      </c>
      <c r="V231" s="0" t="str">
        <f aca="false">IF(ISNUMBER($O231),IF($O231&gt;=2,IF(COUNTIFS($D231:$D$2006,$D231,$E231:$E$2006,$E231)=1,ROW(),""),""),"")</f>
        <v/>
      </c>
    </row>
    <row r="232" customFormat="false" ht="15" hidden="false" customHeight="true" outlineLevel="0" collapsed="false">
      <c r="A232" s="13" t="str">
        <f aca="false">IF(AND($B232="",$D232="",$E232="",$F232=""),"",IF(OR($B232="",$D232="",$E232=""),"待补",IF($D232="公共区域","公",IF($D232="商铺","S",SUBSTITUTE($D232,"栋","")))&amp;"-"&amp;$E232&amp;"-"&amp;TEXT(MONTH($B232),"00")&amp;TEXT(DAY($B232),"00")&amp;IF(ISNUMBER($O232),IF($O232&gt;1,"-"&amp;TEXT($O232,"00"),""),"")))</f>
        <v/>
      </c>
      <c r="B232" s="14"/>
      <c r="C232" s="10"/>
      <c r="D232" s="10"/>
      <c r="E232" s="10"/>
      <c r="F232" s="16"/>
      <c r="G232" s="10"/>
      <c r="H232" s="10"/>
      <c r="I232" s="10"/>
      <c r="J232" s="10"/>
      <c r="K232" s="10"/>
      <c r="L232" s="10"/>
      <c r="M232" s="14"/>
      <c r="N232" s="17" t="str">
        <f aca="false">IF($B232="","",IF($L232="已完成",IF($M232="","",$M232-$B232),IF(设置!$B$6&lt;$B232,"",IF((设置!$B$6-$B232)&gt;=设置!$B$5,"超期"&amp;(设置!$B$6-$B232)&amp;"天","已等"&amp;(设置!$B$6-$B232)&amp;"天"))))</f>
        <v/>
      </c>
      <c r="O232" s="18" t="str">
        <f aca="false">IF(OR($D232="",$E232=""),"",COUNTIFS($D$7:$D232,$D232,$E$7:$E232,$E232))</f>
        <v/>
      </c>
      <c r="P232" s="16"/>
      <c r="Q232" s="19"/>
      <c r="R232" s="10"/>
      <c r="S232" s="16"/>
      <c r="T232" s="0" t="str">
        <f aca="false">IF(OR($D232="",单元查询!$B$3=""),"",IF($D232&lt;&gt;单元查询!$B$3,"",IF(OR(单元查询!$D$3="",$E232&amp;""=单元查询!$D$3&amp;""),IF(ISNUMBER($B232),$B232*10000,0)+ROW(),"")))</f>
        <v/>
      </c>
      <c r="U232" s="0" t="str">
        <f aca="false">IF(OR($B232="",$L232="已完成"),"",IF(ISNUMBER($B232),IF(设置!$B$6&lt;$B232,"",(设置!$B$6-$B232)*100000+ROW()),""))</f>
        <v/>
      </c>
      <c r="V232" s="0" t="str">
        <f aca="false">IF(ISNUMBER($O232),IF($O232&gt;=2,IF(COUNTIFS($D232:$D$2006,$D232,$E232:$E$2006,$E232)=1,ROW(),""),""),"")</f>
        <v/>
      </c>
    </row>
    <row r="233" customFormat="false" ht="15" hidden="false" customHeight="true" outlineLevel="0" collapsed="false">
      <c r="A233" s="13" t="str">
        <f aca="false">IF(AND($B233="",$D233="",$E233="",$F233=""),"",IF(OR($B233="",$D233="",$E233=""),"待补",IF($D233="公共区域","公",IF($D233="商铺","S",SUBSTITUTE($D233,"栋","")))&amp;"-"&amp;$E233&amp;"-"&amp;TEXT(MONTH($B233),"00")&amp;TEXT(DAY($B233),"00")&amp;IF(ISNUMBER($O233),IF($O233&gt;1,"-"&amp;TEXT($O233,"00"),""),"")))</f>
        <v/>
      </c>
      <c r="B233" s="14"/>
      <c r="C233" s="10"/>
      <c r="D233" s="10"/>
      <c r="E233" s="10"/>
      <c r="F233" s="16"/>
      <c r="G233" s="10"/>
      <c r="H233" s="10"/>
      <c r="I233" s="10"/>
      <c r="J233" s="10"/>
      <c r="K233" s="10"/>
      <c r="L233" s="10"/>
      <c r="M233" s="14"/>
      <c r="N233" s="17" t="str">
        <f aca="false">IF($B233="","",IF($L233="已完成",IF($M233="","",$M233-$B233),IF(设置!$B$6&lt;$B233,"",IF((设置!$B$6-$B233)&gt;=设置!$B$5,"超期"&amp;(设置!$B$6-$B233)&amp;"天","已等"&amp;(设置!$B$6-$B233)&amp;"天"))))</f>
        <v/>
      </c>
      <c r="O233" s="18" t="str">
        <f aca="false">IF(OR($D233="",$E233=""),"",COUNTIFS($D$7:$D233,$D233,$E$7:$E233,$E233))</f>
        <v/>
      </c>
      <c r="P233" s="16"/>
      <c r="Q233" s="19"/>
      <c r="R233" s="10"/>
      <c r="S233" s="16"/>
      <c r="T233" s="0" t="str">
        <f aca="false">IF(OR($D233="",单元查询!$B$3=""),"",IF($D233&lt;&gt;单元查询!$B$3,"",IF(OR(单元查询!$D$3="",$E233&amp;""=单元查询!$D$3&amp;""),IF(ISNUMBER($B233),$B233*10000,0)+ROW(),"")))</f>
        <v/>
      </c>
      <c r="U233" s="0" t="str">
        <f aca="false">IF(OR($B233="",$L233="已完成"),"",IF(ISNUMBER($B233),IF(设置!$B$6&lt;$B233,"",(设置!$B$6-$B233)*100000+ROW()),""))</f>
        <v/>
      </c>
      <c r="V233" s="0" t="str">
        <f aca="false">IF(ISNUMBER($O233),IF($O233&gt;=2,IF(COUNTIFS($D233:$D$2006,$D233,$E233:$E$2006,$E233)=1,ROW(),""),""),"")</f>
        <v/>
      </c>
    </row>
    <row r="234" customFormat="false" ht="15" hidden="false" customHeight="true" outlineLevel="0" collapsed="false">
      <c r="A234" s="13" t="str">
        <f aca="false">IF(AND($B234="",$D234="",$E234="",$F234=""),"",IF(OR($B234="",$D234="",$E234=""),"待补",IF($D234="公共区域","公",IF($D234="商铺","S",SUBSTITUTE($D234,"栋","")))&amp;"-"&amp;$E234&amp;"-"&amp;TEXT(MONTH($B234),"00")&amp;TEXT(DAY($B234),"00")&amp;IF(ISNUMBER($O234),IF($O234&gt;1,"-"&amp;TEXT($O234,"00"),""),"")))</f>
        <v/>
      </c>
      <c r="B234" s="14"/>
      <c r="C234" s="10"/>
      <c r="D234" s="10"/>
      <c r="E234" s="10"/>
      <c r="F234" s="16"/>
      <c r="G234" s="10"/>
      <c r="H234" s="10"/>
      <c r="I234" s="10"/>
      <c r="J234" s="10"/>
      <c r="K234" s="10"/>
      <c r="L234" s="10"/>
      <c r="M234" s="14"/>
      <c r="N234" s="17" t="str">
        <f aca="false">IF($B234="","",IF($L234="已完成",IF($M234="","",$M234-$B234),IF(设置!$B$6&lt;$B234,"",IF((设置!$B$6-$B234)&gt;=设置!$B$5,"超期"&amp;(设置!$B$6-$B234)&amp;"天","已等"&amp;(设置!$B$6-$B234)&amp;"天"))))</f>
        <v/>
      </c>
      <c r="O234" s="18" t="str">
        <f aca="false">IF(OR($D234="",$E234=""),"",COUNTIFS($D$7:$D234,$D234,$E$7:$E234,$E234))</f>
        <v/>
      </c>
      <c r="P234" s="16"/>
      <c r="Q234" s="19"/>
      <c r="R234" s="10"/>
      <c r="S234" s="16"/>
      <c r="T234" s="0" t="str">
        <f aca="false">IF(OR($D234="",单元查询!$B$3=""),"",IF($D234&lt;&gt;单元查询!$B$3,"",IF(OR(单元查询!$D$3="",$E234&amp;""=单元查询!$D$3&amp;""),IF(ISNUMBER($B234),$B234*10000,0)+ROW(),"")))</f>
        <v/>
      </c>
      <c r="U234" s="0" t="str">
        <f aca="false">IF(OR($B234="",$L234="已完成"),"",IF(ISNUMBER($B234),IF(设置!$B$6&lt;$B234,"",(设置!$B$6-$B234)*100000+ROW()),""))</f>
        <v/>
      </c>
      <c r="V234" s="0" t="str">
        <f aca="false">IF(ISNUMBER($O234),IF($O234&gt;=2,IF(COUNTIFS($D234:$D$2006,$D234,$E234:$E$2006,$E234)=1,ROW(),""),""),"")</f>
        <v/>
      </c>
    </row>
    <row r="235" customFormat="false" ht="15" hidden="false" customHeight="true" outlineLevel="0" collapsed="false">
      <c r="A235" s="13" t="str">
        <f aca="false">IF(AND($B235="",$D235="",$E235="",$F235=""),"",IF(OR($B235="",$D235="",$E235=""),"待补",IF($D235="公共区域","公",IF($D235="商铺","S",SUBSTITUTE($D235,"栋","")))&amp;"-"&amp;$E235&amp;"-"&amp;TEXT(MONTH($B235),"00")&amp;TEXT(DAY($B235),"00")&amp;IF(ISNUMBER($O235),IF($O235&gt;1,"-"&amp;TEXT($O235,"00"),""),"")))</f>
        <v/>
      </c>
      <c r="B235" s="14"/>
      <c r="C235" s="10"/>
      <c r="D235" s="10"/>
      <c r="E235" s="10"/>
      <c r="F235" s="16"/>
      <c r="G235" s="10"/>
      <c r="H235" s="10"/>
      <c r="I235" s="10"/>
      <c r="J235" s="10"/>
      <c r="K235" s="10"/>
      <c r="L235" s="10"/>
      <c r="M235" s="14"/>
      <c r="N235" s="17" t="str">
        <f aca="false">IF($B235="","",IF($L235="已完成",IF($M235="","",$M235-$B235),IF(设置!$B$6&lt;$B235,"",IF((设置!$B$6-$B235)&gt;=设置!$B$5,"超期"&amp;(设置!$B$6-$B235)&amp;"天","已等"&amp;(设置!$B$6-$B235)&amp;"天"))))</f>
        <v/>
      </c>
      <c r="O235" s="18" t="str">
        <f aca="false">IF(OR($D235="",$E235=""),"",COUNTIFS($D$7:$D235,$D235,$E$7:$E235,$E235))</f>
        <v/>
      </c>
      <c r="P235" s="16"/>
      <c r="Q235" s="19"/>
      <c r="R235" s="10"/>
      <c r="S235" s="16"/>
      <c r="T235" s="0" t="str">
        <f aca="false">IF(OR($D235="",单元查询!$B$3=""),"",IF($D235&lt;&gt;单元查询!$B$3,"",IF(OR(单元查询!$D$3="",$E235&amp;""=单元查询!$D$3&amp;""),IF(ISNUMBER($B235),$B235*10000,0)+ROW(),"")))</f>
        <v/>
      </c>
      <c r="U235" s="0" t="str">
        <f aca="false">IF(OR($B235="",$L235="已完成"),"",IF(ISNUMBER($B235),IF(设置!$B$6&lt;$B235,"",(设置!$B$6-$B235)*100000+ROW()),""))</f>
        <v/>
      </c>
      <c r="V235" s="0" t="str">
        <f aca="false">IF(ISNUMBER($O235),IF($O235&gt;=2,IF(COUNTIFS($D235:$D$2006,$D235,$E235:$E$2006,$E235)=1,ROW(),""),""),"")</f>
        <v/>
      </c>
    </row>
    <row r="236" customFormat="false" ht="15" hidden="false" customHeight="true" outlineLevel="0" collapsed="false">
      <c r="A236" s="13" t="str">
        <f aca="false">IF(AND($B236="",$D236="",$E236="",$F236=""),"",IF(OR($B236="",$D236="",$E236=""),"待补",IF($D236="公共区域","公",IF($D236="商铺","S",SUBSTITUTE($D236,"栋","")))&amp;"-"&amp;$E236&amp;"-"&amp;TEXT(MONTH($B236),"00")&amp;TEXT(DAY($B236),"00")&amp;IF(ISNUMBER($O236),IF($O236&gt;1,"-"&amp;TEXT($O236,"00"),""),"")))</f>
        <v/>
      </c>
      <c r="B236" s="14"/>
      <c r="C236" s="10"/>
      <c r="D236" s="10"/>
      <c r="E236" s="10"/>
      <c r="F236" s="16"/>
      <c r="G236" s="10"/>
      <c r="H236" s="10"/>
      <c r="I236" s="10"/>
      <c r="J236" s="10"/>
      <c r="K236" s="10"/>
      <c r="L236" s="10"/>
      <c r="M236" s="14"/>
      <c r="N236" s="17" t="str">
        <f aca="false">IF($B236="","",IF($L236="已完成",IF($M236="","",$M236-$B236),IF(设置!$B$6&lt;$B236,"",IF((设置!$B$6-$B236)&gt;=设置!$B$5,"超期"&amp;(设置!$B$6-$B236)&amp;"天","已等"&amp;(设置!$B$6-$B236)&amp;"天"))))</f>
        <v/>
      </c>
      <c r="O236" s="18" t="str">
        <f aca="false">IF(OR($D236="",$E236=""),"",COUNTIFS($D$7:$D236,$D236,$E$7:$E236,$E236))</f>
        <v/>
      </c>
      <c r="P236" s="16"/>
      <c r="Q236" s="19"/>
      <c r="R236" s="10"/>
      <c r="S236" s="16"/>
      <c r="T236" s="0" t="str">
        <f aca="false">IF(OR($D236="",单元查询!$B$3=""),"",IF($D236&lt;&gt;单元查询!$B$3,"",IF(OR(单元查询!$D$3="",$E236&amp;""=单元查询!$D$3&amp;""),IF(ISNUMBER($B236),$B236*10000,0)+ROW(),"")))</f>
        <v/>
      </c>
      <c r="U236" s="0" t="str">
        <f aca="false">IF(OR($B236="",$L236="已完成"),"",IF(ISNUMBER($B236),IF(设置!$B$6&lt;$B236,"",(设置!$B$6-$B236)*100000+ROW()),""))</f>
        <v/>
      </c>
      <c r="V236" s="0" t="str">
        <f aca="false">IF(ISNUMBER($O236),IF($O236&gt;=2,IF(COUNTIFS($D236:$D$2006,$D236,$E236:$E$2006,$E236)=1,ROW(),""),""),"")</f>
        <v/>
      </c>
    </row>
    <row r="237" customFormat="false" ht="15" hidden="false" customHeight="true" outlineLevel="0" collapsed="false">
      <c r="A237" s="13" t="str">
        <f aca="false">IF(AND($B237="",$D237="",$E237="",$F237=""),"",IF(OR($B237="",$D237="",$E237=""),"待补",IF($D237="公共区域","公",IF($D237="商铺","S",SUBSTITUTE($D237,"栋","")))&amp;"-"&amp;$E237&amp;"-"&amp;TEXT(MONTH($B237),"00")&amp;TEXT(DAY($B237),"00")&amp;IF(ISNUMBER($O237),IF($O237&gt;1,"-"&amp;TEXT($O237,"00"),""),"")))</f>
        <v/>
      </c>
      <c r="B237" s="14"/>
      <c r="C237" s="10"/>
      <c r="D237" s="10"/>
      <c r="E237" s="10"/>
      <c r="F237" s="16"/>
      <c r="G237" s="10"/>
      <c r="H237" s="10"/>
      <c r="I237" s="10"/>
      <c r="J237" s="10"/>
      <c r="K237" s="10"/>
      <c r="L237" s="10"/>
      <c r="M237" s="14"/>
      <c r="N237" s="17" t="str">
        <f aca="false">IF($B237="","",IF($L237="已完成",IF($M237="","",$M237-$B237),IF(设置!$B$6&lt;$B237,"",IF((设置!$B$6-$B237)&gt;=设置!$B$5,"超期"&amp;(设置!$B$6-$B237)&amp;"天","已等"&amp;(设置!$B$6-$B237)&amp;"天"))))</f>
        <v/>
      </c>
      <c r="O237" s="18" t="str">
        <f aca="false">IF(OR($D237="",$E237=""),"",COUNTIFS($D$7:$D237,$D237,$E$7:$E237,$E237))</f>
        <v/>
      </c>
      <c r="P237" s="16"/>
      <c r="Q237" s="19"/>
      <c r="R237" s="10"/>
      <c r="S237" s="16"/>
      <c r="T237" s="0" t="str">
        <f aca="false">IF(OR($D237="",单元查询!$B$3=""),"",IF($D237&lt;&gt;单元查询!$B$3,"",IF(OR(单元查询!$D$3="",$E237&amp;""=单元查询!$D$3&amp;""),IF(ISNUMBER($B237),$B237*10000,0)+ROW(),"")))</f>
        <v/>
      </c>
      <c r="U237" s="0" t="str">
        <f aca="false">IF(OR($B237="",$L237="已完成"),"",IF(ISNUMBER($B237),IF(设置!$B$6&lt;$B237,"",(设置!$B$6-$B237)*100000+ROW()),""))</f>
        <v/>
      </c>
      <c r="V237" s="0" t="str">
        <f aca="false">IF(ISNUMBER($O237),IF($O237&gt;=2,IF(COUNTIFS($D237:$D$2006,$D237,$E237:$E$2006,$E237)=1,ROW(),""),""),"")</f>
        <v/>
      </c>
    </row>
    <row r="238" customFormat="false" ht="15" hidden="false" customHeight="true" outlineLevel="0" collapsed="false">
      <c r="A238" s="13" t="str">
        <f aca="false">IF(AND($B238="",$D238="",$E238="",$F238=""),"",IF(OR($B238="",$D238="",$E238=""),"待补",IF($D238="公共区域","公",IF($D238="商铺","S",SUBSTITUTE($D238,"栋","")))&amp;"-"&amp;$E238&amp;"-"&amp;TEXT(MONTH($B238),"00")&amp;TEXT(DAY($B238),"00")&amp;IF(ISNUMBER($O238),IF($O238&gt;1,"-"&amp;TEXT($O238,"00"),""),"")))</f>
        <v/>
      </c>
      <c r="B238" s="14"/>
      <c r="C238" s="10"/>
      <c r="D238" s="10"/>
      <c r="E238" s="10"/>
      <c r="F238" s="16"/>
      <c r="G238" s="10"/>
      <c r="H238" s="10"/>
      <c r="I238" s="10"/>
      <c r="J238" s="10"/>
      <c r="K238" s="10"/>
      <c r="L238" s="10"/>
      <c r="M238" s="14"/>
      <c r="N238" s="17" t="str">
        <f aca="false">IF($B238="","",IF($L238="已完成",IF($M238="","",$M238-$B238),IF(设置!$B$6&lt;$B238,"",IF((设置!$B$6-$B238)&gt;=设置!$B$5,"超期"&amp;(设置!$B$6-$B238)&amp;"天","已等"&amp;(设置!$B$6-$B238)&amp;"天"))))</f>
        <v/>
      </c>
      <c r="O238" s="18" t="str">
        <f aca="false">IF(OR($D238="",$E238=""),"",COUNTIFS($D$7:$D238,$D238,$E$7:$E238,$E238))</f>
        <v/>
      </c>
      <c r="P238" s="16"/>
      <c r="Q238" s="19"/>
      <c r="R238" s="10"/>
      <c r="S238" s="16"/>
      <c r="T238" s="0" t="str">
        <f aca="false">IF(OR($D238="",单元查询!$B$3=""),"",IF($D238&lt;&gt;单元查询!$B$3,"",IF(OR(单元查询!$D$3="",$E238&amp;""=单元查询!$D$3&amp;""),IF(ISNUMBER($B238),$B238*10000,0)+ROW(),"")))</f>
        <v/>
      </c>
      <c r="U238" s="0" t="str">
        <f aca="false">IF(OR($B238="",$L238="已完成"),"",IF(ISNUMBER($B238),IF(设置!$B$6&lt;$B238,"",(设置!$B$6-$B238)*100000+ROW()),""))</f>
        <v/>
      </c>
      <c r="V238" s="0" t="str">
        <f aca="false">IF(ISNUMBER($O238),IF($O238&gt;=2,IF(COUNTIFS($D238:$D$2006,$D238,$E238:$E$2006,$E238)=1,ROW(),""),""),"")</f>
        <v/>
      </c>
    </row>
    <row r="239" customFormat="false" ht="15" hidden="false" customHeight="true" outlineLevel="0" collapsed="false">
      <c r="A239" s="13" t="str">
        <f aca="false">IF(AND($B239="",$D239="",$E239="",$F239=""),"",IF(OR($B239="",$D239="",$E239=""),"待补",IF($D239="公共区域","公",IF($D239="商铺","S",SUBSTITUTE($D239,"栋","")))&amp;"-"&amp;$E239&amp;"-"&amp;TEXT(MONTH($B239),"00")&amp;TEXT(DAY($B239),"00")&amp;IF(ISNUMBER($O239),IF($O239&gt;1,"-"&amp;TEXT($O239,"00"),""),"")))</f>
        <v/>
      </c>
      <c r="B239" s="14"/>
      <c r="C239" s="10"/>
      <c r="D239" s="10"/>
      <c r="E239" s="10"/>
      <c r="F239" s="16"/>
      <c r="G239" s="10"/>
      <c r="H239" s="10"/>
      <c r="I239" s="10"/>
      <c r="J239" s="10"/>
      <c r="K239" s="10"/>
      <c r="L239" s="10"/>
      <c r="M239" s="14"/>
      <c r="N239" s="17" t="str">
        <f aca="false">IF($B239="","",IF($L239="已完成",IF($M239="","",$M239-$B239),IF(设置!$B$6&lt;$B239,"",IF((设置!$B$6-$B239)&gt;=设置!$B$5,"超期"&amp;(设置!$B$6-$B239)&amp;"天","已等"&amp;(设置!$B$6-$B239)&amp;"天"))))</f>
        <v/>
      </c>
      <c r="O239" s="18" t="str">
        <f aca="false">IF(OR($D239="",$E239=""),"",COUNTIFS($D$7:$D239,$D239,$E$7:$E239,$E239))</f>
        <v/>
      </c>
      <c r="P239" s="16"/>
      <c r="Q239" s="19"/>
      <c r="R239" s="10"/>
      <c r="S239" s="16"/>
      <c r="T239" s="0" t="str">
        <f aca="false">IF(OR($D239="",单元查询!$B$3=""),"",IF($D239&lt;&gt;单元查询!$B$3,"",IF(OR(单元查询!$D$3="",$E239&amp;""=单元查询!$D$3&amp;""),IF(ISNUMBER($B239),$B239*10000,0)+ROW(),"")))</f>
        <v/>
      </c>
      <c r="U239" s="0" t="str">
        <f aca="false">IF(OR($B239="",$L239="已完成"),"",IF(ISNUMBER($B239),IF(设置!$B$6&lt;$B239,"",(设置!$B$6-$B239)*100000+ROW()),""))</f>
        <v/>
      </c>
      <c r="V239" s="0" t="str">
        <f aca="false">IF(ISNUMBER($O239),IF($O239&gt;=2,IF(COUNTIFS($D239:$D$2006,$D239,$E239:$E$2006,$E239)=1,ROW(),""),""),"")</f>
        <v/>
      </c>
    </row>
    <row r="240" customFormat="false" ht="15" hidden="false" customHeight="true" outlineLevel="0" collapsed="false">
      <c r="A240" s="13" t="str">
        <f aca="false">IF(AND($B240="",$D240="",$E240="",$F240=""),"",IF(OR($B240="",$D240="",$E240=""),"待补",IF($D240="公共区域","公",IF($D240="商铺","S",SUBSTITUTE($D240,"栋","")))&amp;"-"&amp;$E240&amp;"-"&amp;TEXT(MONTH($B240),"00")&amp;TEXT(DAY($B240),"00")&amp;IF(ISNUMBER($O240),IF($O240&gt;1,"-"&amp;TEXT($O240,"00"),""),"")))</f>
        <v/>
      </c>
      <c r="B240" s="14"/>
      <c r="C240" s="10"/>
      <c r="D240" s="10"/>
      <c r="E240" s="10"/>
      <c r="F240" s="16"/>
      <c r="G240" s="10"/>
      <c r="H240" s="10"/>
      <c r="I240" s="10"/>
      <c r="J240" s="10"/>
      <c r="K240" s="10"/>
      <c r="L240" s="10"/>
      <c r="M240" s="14"/>
      <c r="N240" s="17" t="str">
        <f aca="false">IF($B240="","",IF($L240="已完成",IF($M240="","",$M240-$B240),IF(设置!$B$6&lt;$B240,"",IF((设置!$B$6-$B240)&gt;=设置!$B$5,"超期"&amp;(设置!$B$6-$B240)&amp;"天","已等"&amp;(设置!$B$6-$B240)&amp;"天"))))</f>
        <v/>
      </c>
      <c r="O240" s="18" t="str">
        <f aca="false">IF(OR($D240="",$E240=""),"",COUNTIFS($D$7:$D240,$D240,$E$7:$E240,$E240))</f>
        <v/>
      </c>
      <c r="P240" s="16"/>
      <c r="Q240" s="19"/>
      <c r="R240" s="10"/>
      <c r="S240" s="16"/>
      <c r="T240" s="0" t="str">
        <f aca="false">IF(OR($D240="",单元查询!$B$3=""),"",IF($D240&lt;&gt;单元查询!$B$3,"",IF(OR(单元查询!$D$3="",$E240&amp;""=单元查询!$D$3&amp;""),IF(ISNUMBER($B240),$B240*10000,0)+ROW(),"")))</f>
        <v/>
      </c>
      <c r="U240" s="0" t="str">
        <f aca="false">IF(OR($B240="",$L240="已完成"),"",IF(ISNUMBER($B240),IF(设置!$B$6&lt;$B240,"",(设置!$B$6-$B240)*100000+ROW()),""))</f>
        <v/>
      </c>
      <c r="V240" s="0" t="str">
        <f aca="false">IF(ISNUMBER($O240),IF($O240&gt;=2,IF(COUNTIFS($D240:$D$2006,$D240,$E240:$E$2006,$E240)=1,ROW(),""),""),"")</f>
        <v/>
      </c>
    </row>
    <row r="241" customFormat="false" ht="15" hidden="false" customHeight="true" outlineLevel="0" collapsed="false">
      <c r="A241" s="13" t="str">
        <f aca="false">IF(AND($B241="",$D241="",$E241="",$F241=""),"",IF(OR($B241="",$D241="",$E241=""),"待补",IF($D241="公共区域","公",IF($D241="商铺","S",SUBSTITUTE($D241,"栋","")))&amp;"-"&amp;$E241&amp;"-"&amp;TEXT(MONTH($B241),"00")&amp;TEXT(DAY($B241),"00")&amp;IF(ISNUMBER($O241),IF($O241&gt;1,"-"&amp;TEXT($O241,"00"),""),"")))</f>
        <v/>
      </c>
      <c r="B241" s="14"/>
      <c r="C241" s="10"/>
      <c r="D241" s="10"/>
      <c r="E241" s="10"/>
      <c r="F241" s="16"/>
      <c r="G241" s="10"/>
      <c r="H241" s="10"/>
      <c r="I241" s="10"/>
      <c r="J241" s="10"/>
      <c r="K241" s="10"/>
      <c r="L241" s="10"/>
      <c r="M241" s="14"/>
      <c r="N241" s="17" t="str">
        <f aca="false">IF($B241="","",IF($L241="已完成",IF($M241="","",$M241-$B241),IF(设置!$B$6&lt;$B241,"",IF((设置!$B$6-$B241)&gt;=设置!$B$5,"超期"&amp;(设置!$B$6-$B241)&amp;"天","已等"&amp;(设置!$B$6-$B241)&amp;"天"))))</f>
        <v/>
      </c>
      <c r="O241" s="18" t="str">
        <f aca="false">IF(OR($D241="",$E241=""),"",COUNTIFS($D$7:$D241,$D241,$E$7:$E241,$E241))</f>
        <v/>
      </c>
      <c r="P241" s="16"/>
      <c r="Q241" s="19"/>
      <c r="R241" s="10"/>
      <c r="S241" s="16"/>
      <c r="T241" s="0" t="str">
        <f aca="false">IF(OR($D241="",单元查询!$B$3=""),"",IF($D241&lt;&gt;单元查询!$B$3,"",IF(OR(单元查询!$D$3="",$E241&amp;""=单元查询!$D$3&amp;""),IF(ISNUMBER($B241),$B241*10000,0)+ROW(),"")))</f>
        <v/>
      </c>
      <c r="U241" s="0" t="str">
        <f aca="false">IF(OR($B241="",$L241="已完成"),"",IF(ISNUMBER($B241),IF(设置!$B$6&lt;$B241,"",(设置!$B$6-$B241)*100000+ROW()),""))</f>
        <v/>
      </c>
      <c r="V241" s="0" t="str">
        <f aca="false">IF(ISNUMBER($O241),IF($O241&gt;=2,IF(COUNTIFS($D241:$D$2006,$D241,$E241:$E$2006,$E241)=1,ROW(),""),""),"")</f>
        <v/>
      </c>
    </row>
    <row r="242" customFormat="false" ht="15" hidden="false" customHeight="true" outlineLevel="0" collapsed="false">
      <c r="A242" s="13" t="str">
        <f aca="false">IF(AND($B242="",$D242="",$E242="",$F242=""),"",IF(OR($B242="",$D242="",$E242=""),"待补",IF($D242="公共区域","公",IF($D242="商铺","S",SUBSTITUTE($D242,"栋","")))&amp;"-"&amp;$E242&amp;"-"&amp;TEXT(MONTH($B242),"00")&amp;TEXT(DAY($B242),"00")&amp;IF(ISNUMBER($O242),IF($O242&gt;1,"-"&amp;TEXT($O242,"00"),""),"")))</f>
        <v/>
      </c>
      <c r="B242" s="14"/>
      <c r="C242" s="10"/>
      <c r="D242" s="10"/>
      <c r="E242" s="10"/>
      <c r="F242" s="16"/>
      <c r="G242" s="10"/>
      <c r="H242" s="10"/>
      <c r="I242" s="10"/>
      <c r="J242" s="10"/>
      <c r="K242" s="10"/>
      <c r="L242" s="10"/>
      <c r="M242" s="14"/>
      <c r="N242" s="17" t="str">
        <f aca="false">IF($B242="","",IF($L242="已完成",IF($M242="","",$M242-$B242),IF(设置!$B$6&lt;$B242,"",IF((设置!$B$6-$B242)&gt;=设置!$B$5,"超期"&amp;(设置!$B$6-$B242)&amp;"天","已等"&amp;(设置!$B$6-$B242)&amp;"天"))))</f>
        <v/>
      </c>
      <c r="O242" s="18" t="str">
        <f aca="false">IF(OR($D242="",$E242=""),"",COUNTIFS($D$7:$D242,$D242,$E$7:$E242,$E242))</f>
        <v/>
      </c>
      <c r="P242" s="16"/>
      <c r="Q242" s="19"/>
      <c r="R242" s="10"/>
      <c r="S242" s="16"/>
      <c r="T242" s="0" t="str">
        <f aca="false">IF(OR($D242="",单元查询!$B$3=""),"",IF($D242&lt;&gt;单元查询!$B$3,"",IF(OR(单元查询!$D$3="",$E242&amp;""=单元查询!$D$3&amp;""),IF(ISNUMBER($B242),$B242*10000,0)+ROW(),"")))</f>
        <v/>
      </c>
      <c r="U242" s="0" t="str">
        <f aca="false">IF(OR($B242="",$L242="已完成"),"",IF(ISNUMBER($B242),IF(设置!$B$6&lt;$B242,"",(设置!$B$6-$B242)*100000+ROW()),""))</f>
        <v/>
      </c>
      <c r="V242" s="0" t="str">
        <f aca="false">IF(ISNUMBER($O242),IF($O242&gt;=2,IF(COUNTIFS($D242:$D$2006,$D242,$E242:$E$2006,$E242)=1,ROW(),""),""),"")</f>
        <v/>
      </c>
    </row>
    <row r="243" customFormat="false" ht="15" hidden="false" customHeight="true" outlineLevel="0" collapsed="false">
      <c r="A243" s="13" t="str">
        <f aca="false">IF(AND($B243="",$D243="",$E243="",$F243=""),"",IF(OR($B243="",$D243="",$E243=""),"待补",IF($D243="公共区域","公",IF($D243="商铺","S",SUBSTITUTE($D243,"栋","")))&amp;"-"&amp;$E243&amp;"-"&amp;TEXT(MONTH($B243),"00")&amp;TEXT(DAY($B243),"00")&amp;IF(ISNUMBER($O243),IF($O243&gt;1,"-"&amp;TEXT($O243,"00"),""),"")))</f>
        <v/>
      </c>
      <c r="B243" s="14"/>
      <c r="C243" s="10"/>
      <c r="D243" s="10"/>
      <c r="E243" s="10"/>
      <c r="F243" s="16"/>
      <c r="G243" s="10"/>
      <c r="H243" s="10"/>
      <c r="I243" s="10"/>
      <c r="J243" s="10"/>
      <c r="K243" s="10"/>
      <c r="L243" s="10"/>
      <c r="M243" s="14"/>
      <c r="N243" s="17" t="str">
        <f aca="false">IF($B243="","",IF($L243="已完成",IF($M243="","",$M243-$B243),IF(设置!$B$6&lt;$B243,"",IF((设置!$B$6-$B243)&gt;=设置!$B$5,"超期"&amp;(设置!$B$6-$B243)&amp;"天","已等"&amp;(设置!$B$6-$B243)&amp;"天"))))</f>
        <v/>
      </c>
      <c r="O243" s="18" t="str">
        <f aca="false">IF(OR($D243="",$E243=""),"",COUNTIFS($D$7:$D243,$D243,$E$7:$E243,$E243))</f>
        <v/>
      </c>
      <c r="P243" s="16"/>
      <c r="Q243" s="19"/>
      <c r="R243" s="10"/>
      <c r="S243" s="16"/>
      <c r="T243" s="0" t="str">
        <f aca="false">IF(OR($D243="",单元查询!$B$3=""),"",IF($D243&lt;&gt;单元查询!$B$3,"",IF(OR(单元查询!$D$3="",$E243&amp;""=单元查询!$D$3&amp;""),IF(ISNUMBER($B243),$B243*10000,0)+ROW(),"")))</f>
        <v/>
      </c>
      <c r="U243" s="0" t="str">
        <f aca="false">IF(OR($B243="",$L243="已完成"),"",IF(ISNUMBER($B243),IF(设置!$B$6&lt;$B243,"",(设置!$B$6-$B243)*100000+ROW()),""))</f>
        <v/>
      </c>
      <c r="V243" s="0" t="str">
        <f aca="false">IF(ISNUMBER($O243),IF($O243&gt;=2,IF(COUNTIFS($D243:$D$2006,$D243,$E243:$E$2006,$E243)=1,ROW(),""),""),"")</f>
        <v/>
      </c>
    </row>
    <row r="244" customFormat="false" ht="15" hidden="false" customHeight="true" outlineLevel="0" collapsed="false">
      <c r="A244" s="13" t="str">
        <f aca="false">IF(AND($B244="",$D244="",$E244="",$F244=""),"",IF(OR($B244="",$D244="",$E244=""),"待补",IF($D244="公共区域","公",IF($D244="商铺","S",SUBSTITUTE($D244,"栋","")))&amp;"-"&amp;$E244&amp;"-"&amp;TEXT(MONTH($B244),"00")&amp;TEXT(DAY($B244),"00")&amp;IF(ISNUMBER($O244),IF($O244&gt;1,"-"&amp;TEXT($O244,"00"),""),"")))</f>
        <v/>
      </c>
      <c r="B244" s="14"/>
      <c r="C244" s="10"/>
      <c r="D244" s="10"/>
      <c r="E244" s="10"/>
      <c r="F244" s="16"/>
      <c r="G244" s="10"/>
      <c r="H244" s="10"/>
      <c r="I244" s="10"/>
      <c r="J244" s="10"/>
      <c r="K244" s="10"/>
      <c r="L244" s="10"/>
      <c r="M244" s="14"/>
      <c r="N244" s="17" t="str">
        <f aca="false">IF($B244="","",IF($L244="已完成",IF($M244="","",$M244-$B244),IF(设置!$B$6&lt;$B244,"",IF((设置!$B$6-$B244)&gt;=设置!$B$5,"超期"&amp;(设置!$B$6-$B244)&amp;"天","已等"&amp;(设置!$B$6-$B244)&amp;"天"))))</f>
        <v/>
      </c>
      <c r="O244" s="18" t="str">
        <f aca="false">IF(OR($D244="",$E244=""),"",COUNTIFS($D$7:$D244,$D244,$E$7:$E244,$E244))</f>
        <v/>
      </c>
      <c r="P244" s="16"/>
      <c r="Q244" s="19"/>
      <c r="R244" s="10"/>
      <c r="S244" s="16"/>
      <c r="T244" s="0" t="str">
        <f aca="false">IF(OR($D244="",单元查询!$B$3=""),"",IF($D244&lt;&gt;单元查询!$B$3,"",IF(OR(单元查询!$D$3="",$E244&amp;""=单元查询!$D$3&amp;""),IF(ISNUMBER($B244),$B244*10000,0)+ROW(),"")))</f>
        <v/>
      </c>
      <c r="U244" s="0" t="str">
        <f aca="false">IF(OR($B244="",$L244="已完成"),"",IF(ISNUMBER($B244),IF(设置!$B$6&lt;$B244,"",(设置!$B$6-$B244)*100000+ROW()),""))</f>
        <v/>
      </c>
      <c r="V244" s="0" t="str">
        <f aca="false">IF(ISNUMBER($O244),IF($O244&gt;=2,IF(COUNTIFS($D244:$D$2006,$D244,$E244:$E$2006,$E244)=1,ROW(),""),""),"")</f>
        <v/>
      </c>
    </row>
    <row r="245" customFormat="false" ht="15" hidden="false" customHeight="true" outlineLevel="0" collapsed="false">
      <c r="A245" s="13" t="str">
        <f aca="false">IF(AND($B245="",$D245="",$E245="",$F245=""),"",IF(OR($B245="",$D245="",$E245=""),"待补",IF($D245="公共区域","公",IF($D245="商铺","S",SUBSTITUTE($D245,"栋","")))&amp;"-"&amp;$E245&amp;"-"&amp;TEXT(MONTH($B245),"00")&amp;TEXT(DAY($B245),"00")&amp;IF(ISNUMBER($O245),IF($O245&gt;1,"-"&amp;TEXT($O245,"00"),""),"")))</f>
        <v/>
      </c>
      <c r="B245" s="14"/>
      <c r="C245" s="10"/>
      <c r="D245" s="10"/>
      <c r="E245" s="10"/>
      <c r="F245" s="16"/>
      <c r="G245" s="10"/>
      <c r="H245" s="10"/>
      <c r="I245" s="10"/>
      <c r="J245" s="10"/>
      <c r="K245" s="10"/>
      <c r="L245" s="10"/>
      <c r="M245" s="14"/>
      <c r="N245" s="17" t="str">
        <f aca="false">IF($B245="","",IF($L245="已完成",IF($M245="","",$M245-$B245),IF(设置!$B$6&lt;$B245,"",IF((设置!$B$6-$B245)&gt;=设置!$B$5,"超期"&amp;(设置!$B$6-$B245)&amp;"天","已等"&amp;(设置!$B$6-$B245)&amp;"天"))))</f>
        <v/>
      </c>
      <c r="O245" s="18" t="str">
        <f aca="false">IF(OR($D245="",$E245=""),"",COUNTIFS($D$7:$D245,$D245,$E$7:$E245,$E245))</f>
        <v/>
      </c>
      <c r="P245" s="16"/>
      <c r="Q245" s="19"/>
      <c r="R245" s="10"/>
      <c r="S245" s="16"/>
      <c r="T245" s="0" t="str">
        <f aca="false">IF(OR($D245="",单元查询!$B$3=""),"",IF($D245&lt;&gt;单元查询!$B$3,"",IF(OR(单元查询!$D$3="",$E245&amp;""=单元查询!$D$3&amp;""),IF(ISNUMBER($B245),$B245*10000,0)+ROW(),"")))</f>
        <v/>
      </c>
      <c r="U245" s="0" t="str">
        <f aca="false">IF(OR($B245="",$L245="已完成"),"",IF(ISNUMBER($B245),IF(设置!$B$6&lt;$B245,"",(设置!$B$6-$B245)*100000+ROW()),""))</f>
        <v/>
      </c>
      <c r="V245" s="0" t="str">
        <f aca="false">IF(ISNUMBER($O245),IF($O245&gt;=2,IF(COUNTIFS($D245:$D$2006,$D245,$E245:$E$2006,$E245)=1,ROW(),""),""),"")</f>
        <v/>
      </c>
    </row>
    <row r="246" customFormat="false" ht="15" hidden="false" customHeight="true" outlineLevel="0" collapsed="false">
      <c r="A246" s="13" t="str">
        <f aca="false">IF(AND($B246="",$D246="",$E246="",$F246=""),"",IF(OR($B246="",$D246="",$E246=""),"待补",IF($D246="公共区域","公",IF($D246="商铺","S",SUBSTITUTE($D246,"栋","")))&amp;"-"&amp;$E246&amp;"-"&amp;TEXT(MONTH($B246),"00")&amp;TEXT(DAY($B246),"00")&amp;IF(ISNUMBER($O246),IF($O246&gt;1,"-"&amp;TEXT($O246,"00"),""),"")))</f>
        <v/>
      </c>
      <c r="B246" s="14"/>
      <c r="C246" s="10"/>
      <c r="D246" s="10"/>
      <c r="E246" s="10"/>
      <c r="F246" s="16"/>
      <c r="G246" s="10"/>
      <c r="H246" s="10"/>
      <c r="I246" s="10"/>
      <c r="J246" s="10"/>
      <c r="K246" s="10"/>
      <c r="L246" s="10"/>
      <c r="M246" s="14"/>
      <c r="N246" s="17" t="str">
        <f aca="false">IF($B246="","",IF($L246="已完成",IF($M246="","",$M246-$B246),IF(设置!$B$6&lt;$B246,"",IF((设置!$B$6-$B246)&gt;=设置!$B$5,"超期"&amp;(设置!$B$6-$B246)&amp;"天","已等"&amp;(设置!$B$6-$B246)&amp;"天"))))</f>
        <v/>
      </c>
      <c r="O246" s="18" t="str">
        <f aca="false">IF(OR($D246="",$E246=""),"",COUNTIFS($D$7:$D246,$D246,$E$7:$E246,$E246))</f>
        <v/>
      </c>
      <c r="P246" s="16"/>
      <c r="Q246" s="19"/>
      <c r="R246" s="10"/>
      <c r="S246" s="16"/>
      <c r="T246" s="0" t="str">
        <f aca="false">IF(OR($D246="",单元查询!$B$3=""),"",IF($D246&lt;&gt;单元查询!$B$3,"",IF(OR(单元查询!$D$3="",$E246&amp;""=单元查询!$D$3&amp;""),IF(ISNUMBER($B246),$B246*10000,0)+ROW(),"")))</f>
        <v/>
      </c>
      <c r="U246" s="0" t="str">
        <f aca="false">IF(OR($B246="",$L246="已完成"),"",IF(ISNUMBER($B246),IF(设置!$B$6&lt;$B246,"",(设置!$B$6-$B246)*100000+ROW()),""))</f>
        <v/>
      </c>
      <c r="V246" s="0" t="str">
        <f aca="false">IF(ISNUMBER($O246),IF($O246&gt;=2,IF(COUNTIFS($D246:$D$2006,$D246,$E246:$E$2006,$E246)=1,ROW(),""),""),"")</f>
        <v/>
      </c>
    </row>
    <row r="247" customFormat="false" ht="15" hidden="false" customHeight="true" outlineLevel="0" collapsed="false">
      <c r="A247" s="13" t="str">
        <f aca="false">IF(AND($B247="",$D247="",$E247="",$F247=""),"",IF(OR($B247="",$D247="",$E247=""),"待补",IF($D247="公共区域","公",IF($D247="商铺","S",SUBSTITUTE($D247,"栋","")))&amp;"-"&amp;$E247&amp;"-"&amp;TEXT(MONTH($B247),"00")&amp;TEXT(DAY($B247),"00")&amp;IF(ISNUMBER($O247),IF($O247&gt;1,"-"&amp;TEXT($O247,"00"),""),"")))</f>
        <v/>
      </c>
      <c r="B247" s="14"/>
      <c r="C247" s="10"/>
      <c r="D247" s="10"/>
      <c r="E247" s="10"/>
      <c r="F247" s="16"/>
      <c r="G247" s="10"/>
      <c r="H247" s="10"/>
      <c r="I247" s="10"/>
      <c r="J247" s="10"/>
      <c r="K247" s="10"/>
      <c r="L247" s="10"/>
      <c r="M247" s="14"/>
      <c r="N247" s="17" t="str">
        <f aca="false">IF($B247="","",IF($L247="已完成",IF($M247="","",$M247-$B247),IF(设置!$B$6&lt;$B247,"",IF((设置!$B$6-$B247)&gt;=设置!$B$5,"超期"&amp;(设置!$B$6-$B247)&amp;"天","已等"&amp;(设置!$B$6-$B247)&amp;"天"))))</f>
        <v/>
      </c>
      <c r="O247" s="18" t="str">
        <f aca="false">IF(OR($D247="",$E247=""),"",COUNTIFS($D$7:$D247,$D247,$E$7:$E247,$E247))</f>
        <v/>
      </c>
      <c r="P247" s="16"/>
      <c r="Q247" s="19"/>
      <c r="R247" s="10"/>
      <c r="S247" s="16"/>
      <c r="T247" s="0" t="str">
        <f aca="false">IF(OR($D247="",单元查询!$B$3=""),"",IF($D247&lt;&gt;单元查询!$B$3,"",IF(OR(单元查询!$D$3="",$E247&amp;""=单元查询!$D$3&amp;""),IF(ISNUMBER($B247),$B247*10000,0)+ROW(),"")))</f>
        <v/>
      </c>
      <c r="U247" s="0" t="str">
        <f aca="false">IF(OR($B247="",$L247="已完成"),"",IF(ISNUMBER($B247),IF(设置!$B$6&lt;$B247,"",(设置!$B$6-$B247)*100000+ROW()),""))</f>
        <v/>
      </c>
      <c r="V247" s="0" t="str">
        <f aca="false">IF(ISNUMBER($O247),IF($O247&gt;=2,IF(COUNTIFS($D247:$D$2006,$D247,$E247:$E$2006,$E247)=1,ROW(),""),""),"")</f>
        <v/>
      </c>
    </row>
    <row r="248" customFormat="false" ht="15" hidden="false" customHeight="true" outlineLevel="0" collapsed="false">
      <c r="A248" s="13" t="str">
        <f aca="false">IF(AND($B248="",$D248="",$E248="",$F248=""),"",IF(OR($B248="",$D248="",$E248=""),"待补",IF($D248="公共区域","公",IF($D248="商铺","S",SUBSTITUTE($D248,"栋","")))&amp;"-"&amp;$E248&amp;"-"&amp;TEXT(MONTH($B248),"00")&amp;TEXT(DAY($B248),"00")&amp;IF(ISNUMBER($O248),IF($O248&gt;1,"-"&amp;TEXT($O248,"00"),""),"")))</f>
        <v/>
      </c>
      <c r="B248" s="14"/>
      <c r="C248" s="10"/>
      <c r="D248" s="10"/>
      <c r="E248" s="10"/>
      <c r="F248" s="16"/>
      <c r="G248" s="10"/>
      <c r="H248" s="10"/>
      <c r="I248" s="10"/>
      <c r="J248" s="10"/>
      <c r="K248" s="10"/>
      <c r="L248" s="10"/>
      <c r="M248" s="14"/>
      <c r="N248" s="17" t="str">
        <f aca="false">IF($B248="","",IF($L248="已完成",IF($M248="","",$M248-$B248),IF(设置!$B$6&lt;$B248,"",IF((设置!$B$6-$B248)&gt;=设置!$B$5,"超期"&amp;(设置!$B$6-$B248)&amp;"天","已等"&amp;(设置!$B$6-$B248)&amp;"天"))))</f>
        <v/>
      </c>
      <c r="O248" s="18" t="str">
        <f aca="false">IF(OR($D248="",$E248=""),"",COUNTIFS($D$7:$D248,$D248,$E$7:$E248,$E248))</f>
        <v/>
      </c>
      <c r="P248" s="16"/>
      <c r="Q248" s="19"/>
      <c r="R248" s="10"/>
      <c r="S248" s="16"/>
      <c r="T248" s="0" t="str">
        <f aca="false">IF(OR($D248="",单元查询!$B$3=""),"",IF($D248&lt;&gt;单元查询!$B$3,"",IF(OR(单元查询!$D$3="",$E248&amp;""=单元查询!$D$3&amp;""),IF(ISNUMBER($B248),$B248*10000,0)+ROW(),"")))</f>
        <v/>
      </c>
      <c r="U248" s="0" t="str">
        <f aca="false">IF(OR($B248="",$L248="已完成"),"",IF(ISNUMBER($B248),IF(设置!$B$6&lt;$B248,"",(设置!$B$6-$B248)*100000+ROW()),""))</f>
        <v/>
      </c>
      <c r="V248" s="0" t="str">
        <f aca="false">IF(ISNUMBER($O248),IF($O248&gt;=2,IF(COUNTIFS($D248:$D$2006,$D248,$E248:$E$2006,$E248)=1,ROW(),""),""),"")</f>
        <v/>
      </c>
    </row>
    <row r="249" customFormat="false" ht="15" hidden="false" customHeight="true" outlineLevel="0" collapsed="false">
      <c r="A249" s="13" t="str">
        <f aca="false">IF(AND($B249="",$D249="",$E249="",$F249=""),"",IF(OR($B249="",$D249="",$E249=""),"待补",IF($D249="公共区域","公",IF($D249="商铺","S",SUBSTITUTE($D249,"栋","")))&amp;"-"&amp;$E249&amp;"-"&amp;TEXT(MONTH($B249),"00")&amp;TEXT(DAY($B249),"00")&amp;IF(ISNUMBER($O249),IF($O249&gt;1,"-"&amp;TEXT($O249,"00"),""),"")))</f>
        <v/>
      </c>
      <c r="B249" s="14"/>
      <c r="C249" s="10"/>
      <c r="D249" s="10"/>
      <c r="E249" s="10"/>
      <c r="F249" s="16"/>
      <c r="G249" s="10"/>
      <c r="H249" s="10"/>
      <c r="I249" s="10"/>
      <c r="J249" s="10"/>
      <c r="K249" s="10"/>
      <c r="L249" s="10"/>
      <c r="M249" s="14"/>
      <c r="N249" s="17" t="str">
        <f aca="false">IF($B249="","",IF($L249="已完成",IF($M249="","",$M249-$B249),IF(设置!$B$6&lt;$B249,"",IF((设置!$B$6-$B249)&gt;=设置!$B$5,"超期"&amp;(设置!$B$6-$B249)&amp;"天","已等"&amp;(设置!$B$6-$B249)&amp;"天"))))</f>
        <v/>
      </c>
      <c r="O249" s="18" t="str">
        <f aca="false">IF(OR($D249="",$E249=""),"",COUNTIFS($D$7:$D249,$D249,$E$7:$E249,$E249))</f>
        <v/>
      </c>
      <c r="P249" s="16"/>
      <c r="Q249" s="19"/>
      <c r="R249" s="10"/>
      <c r="S249" s="16"/>
      <c r="T249" s="0" t="str">
        <f aca="false">IF(OR($D249="",单元查询!$B$3=""),"",IF($D249&lt;&gt;单元查询!$B$3,"",IF(OR(单元查询!$D$3="",$E249&amp;""=单元查询!$D$3&amp;""),IF(ISNUMBER($B249),$B249*10000,0)+ROW(),"")))</f>
        <v/>
      </c>
      <c r="U249" s="0" t="str">
        <f aca="false">IF(OR($B249="",$L249="已完成"),"",IF(ISNUMBER($B249),IF(设置!$B$6&lt;$B249,"",(设置!$B$6-$B249)*100000+ROW()),""))</f>
        <v/>
      </c>
      <c r="V249" s="0" t="str">
        <f aca="false">IF(ISNUMBER($O249),IF($O249&gt;=2,IF(COUNTIFS($D249:$D$2006,$D249,$E249:$E$2006,$E249)=1,ROW(),""),""),"")</f>
        <v/>
      </c>
    </row>
    <row r="250" customFormat="false" ht="15" hidden="false" customHeight="true" outlineLevel="0" collapsed="false">
      <c r="A250" s="13" t="str">
        <f aca="false">IF(AND($B250="",$D250="",$E250="",$F250=""),"",IF(OR($B250="",$D250="",$E250=""),"待补",IF($D250="公共区域","公",IF($D250="商铺","S",SUBSTITUTE($D250,"栋","")))&amp;"-"&amp;$E250&amp;"-"&amp;TEXT(MONTH($B250),"00")&amp;TEXT(DAY($B250),"00")&amp;IF(ISNUMBER($O250),IF($O250&gt;1,"-"&amp;TEXT($O250,"00"),""),"")))</f>
        <v/>
      </c>
      <c r="B250" s="14"/>
      <c r="C250" s="10"/>
      <c r="D250" s="10"/>
      <c r="E250" s="10"/>
      <c r="F250" s="16"/>
      <c r="G250" s="10"/>
      <c r="H250" s="10"/>
      <c r="I250" s="10"/>
      <c r="J250" s="10"/>
      <c r="K250" s="10"/>
      <c r="L250" s="10"/>
      <c r="M250" s="14"/>
      <c r="N250" s="17" t="str">
        <f aca="false">IF($B250="","",IF($L250="已完成",IF($M250="","",$M250-$B250),IF(设置!$B$6&lt;$B250,"",IF((设置!$B$6-$B250)&gt;=设置!$B$5,"超期"&amp;(设置!$B$6-$B250)&amp;"天","已等"&amp;(设置!$B$6-$B250)&amp;"天"))))</f>
        <v/>
      </c>
      <c r="O250" s="18" t="str">
        <f aca="false">IF(OR($D250="",$E250=""),"",COUNTIFS($D$7:$D250,$D250,$E$7:$E250,$E250))</f>
        <v/>
      </c>
      <c r="P250" s="16"/>
      <c r="Q250" s="19"/>
      <c r="R250" s="10"/>
      <c r="S250" s="16"/>
      <c r="T250" s="0" t="str">
        <f aca="false">IF(OR($D250="",单元查询!$B$3=""),"",IF($D250&lt;&gt;单元查询!$B$3,"",IF(OR(单元查询!$D$3="",$E250&amp;""=单元查询!$D$3&amp;""),IF(ISNUMBER($B250),$B250*10000,0)+ROW(),"")))</f>
        <v/>
      </c>
      <c r="U250" s="0" t="str">
        <f aca="false">IF(OR($B250="",$L250="已完成"),"",IF(ISNUMBER($B250),IF(设置!$B$6&lt;$B250,"",(设置!$B$6-$B250)*100000+ROW()),""))</f>
        <v/>
      </c>
      <c r="V250" s="0" t="str">
        <f aca="false">IF(ISNUMBER($O250),IF($O250&gt;=2,IF(COUNTIFS($D250:$D$2006,$D250,$E250:$E$2006,$E250)=1,ROW(),""),""),"")</f>
        <v/>
      </c>
    </row>
    <row r="251" customFormat="false" ht="15" hidden="false" customHeight="true" outlineLevel="0" collapsed="false">
      <c r="A251" s="13" t="str">
        <f aca="false">IF(AND($B251="",$D251="",$E251="",$F251=""),"",IF(OR($B251="",$D251="",$E251=""),"待补",IF($D251="公共区域","公",IF($D251="商铺","S",SUBSTITUTE($D251,"栋","")))&amp;"-"&amp;$E251&amp;"-"&amp;TEXT(MONTH($B251),"00")&amp;TEXT(DAY($B251),"00")&amp;IF(ISNUMBER($O251),IF($O251&gt;1,"-"&amp;TEXT($O251,"00"),""),"")))</f>
        <v/>
      </c>
      <c r="B251" s="14"/>
      <c r="C251" s="10"/>
      <c r="D251" s="10"/>
      <c r="E251" s="10"/>
      <c r="F251" s="16"/>
      <c r="G251" s="10"/>
      <c r="H251" s="10"/>
      <c r="I251" s="10"/>
      <c r="J251" s="10"/>
      <c r="K251" s="10"/>
      <c r="L251" s="10"/>
      <c r="M251" s="14"/>
      <c r="N251" s="17" t="str">
        <f aca="false">IF($B251="","",IF($L251="已完成",IF($M251="","",$M251-$B251),IF(设置!$B$6&lt;$B251,"",IF((设置!$B$6-$B251)&gt;=设置!$B$5,"超期"&amp;(设置!$B$6-$B251)&amp;"天","已等"&amp;(设置!$B$6-$B251)&amp;"天"))))</f>
        <v/>
      </c>
      <c r="O251" s="18" t="str">
        <f aca="false">IF(OR($D251="",$E251=""),"",COUNTIFS($D$7:$D251,$D251,$E$7:$E251,$E251))</f>
        <v/>
      </c>
      <c r="P251" s="16"/>
      <c r="Q251" s="19"/>
      <c r="R251" s="10"/>
      <c r="S251" s="16"/>
      <c r="T251" s="0" t="str">
        <f aca="false">IF(OR($D251="",单元查询!$B$3=""),"",IF($D251&lt;&gt;单元查询!$B$3,"",IF(OR(单元查询!$D$3="",$E251&amp;""=单元查询!$D$3&amp;""),IF(ISNUMBER($B251),$B251*10000,0)+ROW(),"")))</f>
        <v/>
      </c>
      <c r="U251" s="0" t="str">
        <f aca="false">IF(OR($B251="",$L251="已完成"),"",IF(ISNUMBER($B251),IF(设置!$B$6&lt;$B251,"",(设置!$B$6-$B251)*100000+ROW()),""))</f>
        <v/>
      </c>
      <c r="V251" s="0" t="str">
        <f aca="false">IF(ISNUMBER($O251),IF($O251&gt;=2,IF(COUNTIFS($D251:$D$2006,$D251,$E251:$E$2006,$E251)=1,ROW(),""),""),"")</f>
        <v/>
      </c>
    </row>
    <row r="252" customFormat="false" ht="15" hidden="false" customHeight="true" outlineLevel="0" collapsed="false">
      <c r="A252" s="13" t="str">
        <f aca="false">IF(AND($B252="",$D252="",$E252="",$F252=""),"",IF(OR($B252="",$D252="",$E252=""),"待补",IF($D252="公共区域","公",IF($D252="商铺","S",SUBSTITUTE($D252,"栋","")))&amp;"-"&amp;$E252&amp;"-"&amp;TEXT(MONTH($B252),"00")&amp;TEXT(DAY($B252),"00")&amp;IF(ISNUMBER($O252),IF($O252&gt;1,"-"&amp;TEXT($O252,"00"),""),"")))</f>
        <v/>
      </c>
      <c r="B252" s="14"/>
      <c r="C252" s="10"/>
      <c r="D252" s="10"/>
      <c r="E252" s="10"/>
      <c r="F252" s="16"/>
      <c r="G252" s="10"/>
      <c r="H252" s="10"/>
      <c r="I252" s="10"/>
      <c r="J252" s="10"/>
      <c r="K252" s="10"/>
      <c r="L252" s="10"/>
      <c r="M252" s="14"/>
      <c r="N252" s="17" t="str">
        <f aca="false">IF($B252="","",IF($L252="已完成",IF($M252="","",$M252-$B252),IF(设置!$B$6&lt;$B252,"",IF((设置!$B$6-$B252)&gt;=设置!$B$5,"超期"&amp;(设置!$B$6-$B252)&amp;"天","已等"&amp;(设置!$B$6-$B252)&amp;"天"))))</f>
        <v/>
      </c>
      <c r="O252" s="18" t="str">
        <f aca="false">IF(OR($D252="",$E252=""),"",COUNTIFS($D$7:$D252,$D252,$E$7:$E252,$E252))</f>
        <v/>
      </c>
      <c r="P252" s="16"/>
      <c r="Q252" s="19"/>
      <c r="R252" s="10"/>
      <c r="S252" s="16"/>
      <c r="T252" s="0" t="str">
        <f aca="false">IF(OR($D252="",单元查询!$B$3=""),"",IF($D252&lt;&gt;单元查询!$B$3,"",IF(OR(单元查询!$D$3="",$E252&amp;""=单元查询!$D$3&amp;""),IF(ISNUMBER($B252),$B252*10000,0)+ROW(),"")))</f>
        <v/>
      </c>
      <c r="U252" s="0" t="str">
        <f aca="false">IF(OR($B252="",$L252="已完成"),"",IF(ISNUMBER($B252),IF(设置!$B$6&lt;$B252,"",(设置!$B$6-$B252)*100000+ROW()),""))</f>
        <v/>
      </c>
      <c r="V252" s="0" t="str">
        <f aca="false">IF(ISNUMBER($O252),IF($O252&gt;=2,IF(COUNTIFS($D252:$D$2006,$D252,$E252:$E$2006,$E252)=1,ROW(),""),""),"")</f>
        <v/>
      </c>
    </row>
    <row r="253" customFormat="false" ht="15" hidden="false" customHeight="true" outlineLevel="0" collapsed="false">
      <c r="A253" s="13" t="str">
        <f aca="false">IF(AND($B253="",$D253="",$E253="",$F253=""),"",IF(OR($B253="",$D253="",$E253=""),"待补",IF($D253="公共区域","公",IF($D253="商铺","S",SUBSTITUTE($D253,"栋","")))&amp;"-"&amp;$E253&amp;"-"&amp;TEXT(MONTH($B253),"00")&amp;TEXT(DAY($B253),"00")&amp;IF(ISNUMBER($O253),IF($O253&gt;1,"-"&amp;TEXT($O253,"00"),""),"")))</f>
        <v/>
      </c>
      <c r="B253" s="14"/>
      <c r="C253" s="10"/>
      <c r="D253" s="10"/>
      <c r="E253" s="10"/>
      <c r="F253" s="16"/>
      <c r="G253" s="10"/>
      <c r="H253" s="10"/>
      <c r="I253" s="10"/>
      <c r="J253" s="10"/>
      <c r="K253" s="10"/>
      <c r="L253" s="10"/>
      <c r="M253" s="14"/>
      <c r="N253" s="17" t="str">
        <f aca="false">IF($B253="","",IF($L253="已完成",IF($M253="","",$M253-$B253),IF(设置!$B$6&lt;$B253,"",IF((设置!$B$6-$B253)&gt;=设置!$B$5,"超期"&amp;(设置!$B$6-$B253)&amp;"天","已等"&amp;(设置!$B$6-$B253)&amp;"天"))))</f>
        <v/>
      </c>
      <c r="O253" s="18" t="str">
        <f aca="false">IF(OR($D253="",$E253=""),"",COUNTIFS($D$7:$D253,$D253,$E$7:$E253,$E253))</f>
        <v/>
      </c>
      <c r="P253" s="16"/>
      <c r="Q253" s="19"/>
      <c r="R253" s="10"/>
      <c r="S253" s="16"/>
      <c r="T253" s="0" t="str">
        <f aca="false">IF(OR($D253="",单元查询!$B$3=""),"",IF($D253&lt;&gt;单元查询!$B$3,"",IF(OR(单元查询!$D$3="",$E253&amp;""=单元查询!$D$3&amp;""),IF(ISNUMBER($B253),$B253*10000,0)+ROW(),"")))</f>
        <v/>
      </c>
      <c r="U253" s="0" t="str">
        <f aca="false">IF(OR($B253="",$L253="已完成"),"",IF(ISNUMBER($B253),IF(设置!$B$6&lt;$B253,"",(设置!$B$6-$B253)*100000+ROW()),""))</f>
        <v/>
      </c>
      <c r="V253" s="0" t="str">
        <f aca="false">IF(ISNUMBER($O253),IF($O253&gt;=2,IF(COUNTIFS($D253:$D$2006,$D253,$E253:$E$2006,$E253)=1,ROW(),""),""),"")</f>
        <v/>
      </c>
    </row>
    <row r="254" customFormat="false" ht="15" hidden="false" customHeight="true" outlineLevel="0" collapsed="false">
      <c r="A254" s="13" t="str">
        <f aca="false">IF(AND($B254="",$D254="",$E254="",$F254=""),"",IF(OR($B254="",$D254="",$E254=""),"待补",IF($D254="公共区域","公",IF($D254="商铺","S",SUBSTITUTE($D254,"栋","")))&amp;"-"&amp;$E254&amp;"-"&amp;TEXT(MONTH($B254),"00")&amp;TEXT(DAY($B254),"00")&amp;IF(ISNUMBER($O254),IF($O254&gt;1,"-"&amp;TEXT($O254,"00"),""),"")))</f>
        <v/>
      </c>
      <c r="B254" s="14"/>
      <c r="C254" s="10"/>
      <c r="D254" s="10"/>
      <c r="E254" s="10"/>
      <c r="F254" s="16"/>
      <c r="G254" s="10"/>
      <c r="H254" s="10"/>
      <c r="I254" s="10"/>
      <c r="J254" s="10"/>
      <c r="K254" s="10"/>
      <c r="L254" s="10"/>
      <c r="M254" s="14"/>
      <c r="N254" s="17" t="str">
        <f aca="false">IF($B254="","",IF($L254="已完成",IF($M254="","",$M254-$B254),IF(设置!$B$6&lt;$B254,"",IF((设置!$B$6-$B254)&gt;=设置!$B$5,"超期"&amp;(设置!$B$6-$B254)&amp;"天","已等"&amp;(设置!$B$6-$B254)&amp;"天"))))</f>
        <v/>
      </c>
      <c r="O254" s="18" t="str">
        <f aca="false">IF(OR($D254="",$E254=""),"",COUNTIFS($D$7:$D254,$D254,$E$7:$E254,$E254))</f>
        <v/>
      </c>
      <c r="P254" s="16"/>
      <c r="Q254" s="19"/>
      <c r="R254" s="10"/>
      <c r="S254" s="16"/>
      <c r="T254" s="0" t="str">
        <f aca="false">IF(OR($D254="",单元查询!$B$3=""),"",IF($D254&lt;&gt;单元查询!$B$3,"",IF(OR(单元查询!$D$3="",$E254&amp;""=单元查询!$D$3&amp;""),IF(ISNUMBER($B254),$B254*10000,0)+ROW(),"")))</f>
        <v/>
      </c>
      <c r="U254" s="0" t="str">
        <f aca="false">IF(OR($B254="",$L254="已完成"),"",IF(ISNUMBER($B254),IF(设置!$B$6&lt;$B254,"",(设置!$B$6-$B254)*100000+ROW()),""))</f>
        <v/>
      </c>
      <c r="V254" s="0" t="str">
        <f aca="false">IF(ISNUMBER($O254),IF($O254&gt;=2,IF(COUNTIFS($D254:$D$2006,$D254,$E254:$E$2006,$E254)=1,ROW(),""),""),"")</f>
        <v/>
      </c>
    </row>
    <row r="255" customFormat="false" ht="15" hidden="false" customHeight="true" outlineLevel="0" collapsed="false">
      <c r="A255" s="13" t="str">
        <f aca="false">IF(AND($B255="",$D255="",$E255="",$F255=""),"",IF(OR($B255="",$D255="",$E255=""),"待补",IF($D255="公共区域","公",IF($D255="商铺","S",SUBSTITUTE($D255,"栋","")))&amp;"-"&amp;$E255&amp;"-"&amp;TEXT(MONTH($B255),"00")&amp;TEXT(DAY($B255),"00")&amp;IF(ISNUMBER($O255),IF($O255&gt;1,"-"&amp;TEXT($O255,"00"),""),"")))</f>
        <v/>
      </c>
      <c r="B255" s="14"/>
      <c r="C255" s="10"/>
      <c r="D255" s="10"/>
      <c r="E255" s="10"/>
      <c r="F255" s="16"/>
      <c r="G255" s="10"/>
      <c r="H255" s="10"/>
      <c r="I255" s="10"/>
      <c r="J255" s="10"/>
      <c r="K255" s="10"/>
      <c r="L255" s="10"/>
      <c r="M255" s="14"/>
      <c r="N255" s="17" t="str">
        <f aca="false">IF($B255="","",IF($L255="已完成",IF($M255="","",$M255-$B255),IF(设置!$B$6&lt;$B255,"",IF((设置!$B$6-$B255)&gt;=设置!$B$5,"超期"&amp;(设置!$B$6-$B255)&amp;"天","已等"&amp;(设置!$B$6-$B255)&amp;"天"))))</f>
        <v/>
      </c>
      <c r="O255" s="18" t="str">
        <f aca="false">IF(OR($D255="",$E255=""),"",COUNTIFS($D$7:$D255,$D255,$E$7:$E255,$E255))</f>
        <v/>
      </c>
      <c r="P255" s="16"/>
      <c r="Q255" s="19"/>
      <c r="R255" s="10"/>
      <c r="S255" s="16"/>
      <c r="T255" s="0" t="str">
        <f aca="false">IF(OR($D255="",单元查询!$B$3=""),"",IF($D255&lt;&gt;单元查询!$B$3,"",IF(OR(单元查询!$D$3="",$E255&amp;""=单元查询!$D$3&amp;""),IF(ISNUMBER($B255),$B255*10000,0)+ROW(),"")))</f>
        <v/>
      </c>
      <c r="U255" s="0" t="str">
        <f aca="false">IF(OR($B255="",$L255="已完成"),"",IF(ISNUMBER($B255),IF(设置!$B$6&lt;$B255,"",(设置!$B$6-$B255)*100000+ROW()),""))</f>
        <v/>
      </c>
      <c r="V255" s="0" t="str">
        <f aca="false">IF(ISNUMBER($O255),IF($O255&gt;=2,IF(COUNTIFS($D255:$D$2006,$D255,$E255:$E$2006,$E255)=1,ROW(),""),""),"")</f>
        <v/>
      </c>
    </row>
    <row r="256" customFormat="false" ht="15" hidden="false" customHeight="true" outlineLevel="0" collapsed="false">
      <c r="A256" s="13" t="str">
        <f aca="false">IF(AND($B256="",$D256="",$E256="",$F256=""),"",IF(OR($B256="",$D256="",$E256=""),"待补",IF($D256="公共区域","公",IF($D256="商铺","S",SUBSTITUTE($D256,"栋","")))&amp;"-"&amp;$E256&amp;"-"&amp;TEXT(MONTH($B256),"00")&amp;TEXT(DAY($B256),"00")&amp;IF(ISNUMBER($O256),IF($O256&gt;1,"-"&amp;TEXT($O256,"00"),""),"")))</f>
        <v/>
      </c>
      <c r="B256" s="14"/>
      <c r="C256" s="10"/>
      <c r="D256" s="10"/>
      <c r="E256" s="10"/>
      <c r="F256" s="16"/>
      <c r="G256" s="10"/>
      <c r="H256" s="10"/>
      <c r="I256" s="10"/>
      <c r="J256" s="10"/>
      <c r="K256" s="10"/>
      <c r="L256" s="10"/>
      <c r="M256" s="14"/>
      <c r="N256" s="17" t="str">
        <f aca="false">IF($B256="","",IF($L256="已完成",IF($M256="","",$M256-$B256),IF(设置!$B$6&lt;$B256,"",IF((设置!$B$6-$B256)&gt;=设置!$B$5,"超期"&amp;(设置!$B$6-$B256)&amp;"天","已等"&amp;(设置!$B$6-$B256)&amp;"天"))))</f>
        <v/>
      </c>
      <c r="O256" s="18" t="str">
        <f aca="false">IF(OR($D256="",$E256=""),"",COUNTIFS($D$7:$D256,$D256,$E$7:$E256,$E256))</f>
        <v/>
      </c>
      <c r="P256" s="16"/>
      <c r="Q256" s="19"/>
      <c r="R256" s="10"/>
      <c r="S256" s="16"/>
      <c r="T256" s="0" t="str">
        <f aca="false">IF(OR($D256="",单元查询!$B$3=""),"",IF($D256&lt;&gt;单元查询!$B$3,"",IF(OR(单元查询!$D$3="",$E256&amp;""=单元查询!$D$3&amp;""),IF(ISNUMBER($B256),$B256*10000,0)+ROW(),"")))</f>
        <v/>
      </c>
      <c r="U256" s="0" t="str">
        <f aca="false">IF(OR($B256="",$L256="已完成"),"",IF(ISNUMBER($B256),IF(设置!$B$6&lt;$B256,"",(设置!$B$6-$B256)*100000+ROW()),""))</f>
        <v/>
      </c>
      <c r="V256" s="0" t="str">
        <f aca="false">IF(ISNUMBER($O256),IF($O256&gt;=2,IF(COUNTIFS($D256:$D$2006,$D256,$E256:$E$2006,$E256)=1,ROW(),""),""),"")</f>
        <v/>
      </c>
    </row>
    <row r="257" customFormat="false" ht="15" hidden="false" customHeight="true" outlineLevel="0" collapsed="false">
      <c r="A257" s="13" t="str">
        <f aca="false">IF(AND($B257="",$D257="",$E257="",$F257=""),"",IF(OR($B257="",$D257="",$E257=""),"待补",IF($D257="公共区域","公",IF($D257="商铺","S",SUBSTITUTE($D257,"栋","")))&amp;"-"&amp;$E257&amp;"-"&amp;TEXT(MONTH($B257),"00")&amp;TEXT(DAY($B257),"00")&amp;IF(ISNUMBER($O257),IF($O257&gt;1,"-"&amp;TEXT($O257,"00"),""),"")))</f>
        <v/>
      </c>
      <c r="B257" s="14"/>
      <c r="C257" s="10"/>
      <c r="D257" s="10"/>
      <c r="E257" s="10"/>
      <c r="F257" s="16"/>
      <c r="G257" s="10"/>
      <c r="H257" s="10"/>
      <c r="I257" s="10"/>
      <c r="J257" s="10"/>
      <c r="K257" s="10"/>
      <c r="L257" s="10"/>
      <c r="M257" s="14"/>
      <c r="N257" s="17" t="str">
        <f aca="false">IF($B257="","",IF($L257="已完成",IF($M257="","",$M257-$B257),IF(设置!$B$6&lt;$B257,"",IF((设置!$B$6-$B257)&gt;=设置!$B$5,"超期"&amp;(设置!$B$6-$B257)&amp;"天","已等"&amp;(设置!$B$6-$B257)&amp;"天"))))</f>
        <v/>
      </c>
      <c r="O257" s="18" t="str">
        <f aca="false">IF(OR($D257="",$E257=""),"",COUNTIFS($D$7:$D257,$D257,$E$7:$E257,$E257))</f>
        <v/>
      </c>
      <c r="P257" s="16"/>
      <c r="Q257" s="19"/>
      <c r="R257" s="10"/>
      <c r="S257" s="16"/>
      <c r="T257" s="0" t="str">
        <f aca="false">IF(OR($D257="",单元查询!$B$3=""),"",IF($D257&lt;&gt;单元查询!$B$3,"",IF(OR(单元查询!$D$3="",$E257&amp;""=单元查询!$D$3&amp;""),IF(ISNUMBER($B257),$B257*10000,0)+ROW(),"")))</f>
        <v/>
      </c>
      <c r="U257" s="0" t="str">
        <f aca="false">IF(OR($B257="",$L257="已完成"),"",IF(ISNUMBER($B257),IF(设置!$B$6&lt;$B257,"",(设置!$B$6-$B257)*100000+ROW()),""))</f>
        <v/>
      </c>
      <c r="V257" s="0" t="str">
        <f aca="false">IF(ISNUMBER($O257),IF($O257&gt;=2,IF(COUNTIFS($D257:$D$2006,$D257,$E257:$E$2006,$E257)=1,ROW(),""),""),"")</f>
        <v/>
      </c>
    </row>
    <row r="258" customFormat="false" ht="15" hidden="false" customHeight="true" outlineLevel="0" collapsed="false">
      <c r="A258" s="13" t="str">
        <f aca="false">IF(AND($B258="",$D258="",$E258="",$F258=""),"",IF(OR($B258="",$D258="",$E258=""),"待补",IF($D258="公共区域","公",IF($D258="商铺","S",SUBSTITUTE($D258,"栋","")))&amp;"-"&amp;$E258&amp;"-"&amp;TEXT(MONTH($B258),"00")&amp;TEXT(DAY($B258),"00")&amp;IF(ISNUMBER($O258),IF($O258&gt;1,"-"&amp;TEXT($O258,"00"),""),"")))</f>
        <v/>
      </c>
      <c r="B258" s="14"/>
      <c r="C258" s="10"/>
      <c r="D258" s="10"/>
      <c r="E258" s="10"/>
      <c r="F258" s="16"/>
      <c r="G258" s="10"/>
      <c r="H258" s="10"/>
      <c r="I258" s="10"/>
      <c r="J258" s="10"/>
      <c r="K258" s="10"/>
      <c r="L258" s="10"/>
      <c r="M258" s="14"/>
      <c r="N258" s="17" t="str">
        <f aca="false">IF($B258="","",IF($L258="已完成",IF($M258="","",$M258-$B258),IF(设置!$B$6&lt;$B258,"",IF((设置!$B$6-$B258)&gt;=设置!$B$5,"超期"&amp;(设置!$B$6-$B258)&amp;"天","已等"&amp;(设置!$B$6-$B258)&amp;"天"))))</f>
        <v/>
      </c>
      <c r="O258" s="18" t="str">
        <f aca="false">IF(OR($D258="",$E258=""),"",COUNTIFS($D$7:$D258,$D258,$E$7:$E258,$E258))</f>
        <v/>
      </c>
      <c r="P258" s="16"/>
      <c r="Q258" s="19"/>
      <c r="R258" s="10"/>
      <c r="S258" s="16"/>
      <c r="T258" s="0" t="str">
        <f aca="false">IF(OR($D258="",单元查询!$B$3=""),"",IF($D258&lt;&gt;单元查询!$B$3,"",IF(OR(单元查询!$D$3="",$E258&amp;""=单元查询!$D$3&amp;""),IF(ISNUMBER($B258),$B258*10000,0)+ROW(),"")))</f>
        <v/>
      </c>
      <c r="U258" s="0" t="str">
        <f aca="false">IF(OR($B258="",$L258="已完成"),"",IF(ISNUMBER($B258),IF(设置!$B$6&lt;$B258,"",(设置!$B$6-$B258)*100000+ROW()),""))</f>
        <v/>
      </c>
      <c r="V258" s="0" t="str">
        <f aca="false">IF(ISNUMBER($O258),IF($O258&gt;=2,IF(COUNTIFS($D258:$D$2006,$D258,$E258:$E$2006,$E258)=1,ROW(),""),""),"")</f>
        <v/>
      </c>
    </row>
    <row r="259" customFormat="false" ht="15" hidden="false" customHeight="true" outlineLevel="0" collapsed="false">
      <c r="A259" s="13" t="str">
        <f aca="false">IF(AND($B259="",$D259="",$E259="",$F259=""),"",IF(OR($B259="",$D259="",$E259=""),"待补",IF($D259="公共区域","公",IF($D259="商铺","S",SUBSTITUTE($D259,"栋","")))&amp;"-"&amp;$E259&amp;"-"&amp;TEXT(MONTH($B259),"00")&amp;TEXT(DAY($B259),"00")&amp;IF(ISNUMBER($O259),IF($O259&gt;1,"-"&amp;TEXT($O259,"00"),""),"")))</f>
        <v/>
      </c>
      <c r="B259" s="14"/>
      <c r="C259" s="10"/>
      <c r="D259" s="10"/>
      <c r="E259" s="10"/>
      <c r="F259" s="16"/>
      <c r="G259" s="10"/>
      <c r="H259" s="10"/>
      <c r="I259" s="10"/>
      <c r="J259" s="10"/>
      <c r="K259" s="10"/>
      <c r="L259" s="10"/>
      <c r="M259" s="14"/>
      <c r="N259" s="17" t="str">
        <f aca="false">IF($B259="","",IF($L259="已完成",IF($M259="","",$M259-$B259),IF(设置!$B$6&lt;$B259,"",IF((设置!$B$6-$B259)&gt;=设置!$B$5,"超期"&amp;(设置!$B$6-$B259)&amp;"天","已等"&amp;(设置!$B$6-$B259)&amp;"天"))))</f>
        <v/>
      </c>
      <c r="O259" s="18" t="str">
        <f aca="false">IF(OR($D259="",$E259=""),"",COUNTIFS($D$7:$D259,$D259,$E$7:$E259,$E259))</f>
        <v/>
      </c>
      <c r="P259" s="16"/>
      <c r="Q259" s="19"/>
      <c r="R259" s="10"/>
      <c r="S259" s="16"/>
      <c r="T259" s="0" t="str">
        <f aca="false">IF(OR($D259="",单元查询!$B$3=""),"",IF($D259&lt;&gt;单元查询!$B$3,"",IF(OR(单元查询!$D$3="",$E259&amp;""=单元查询!$D$3&amp;""),IF(ISNUMBER($B259),$B259*10000,0)+ROW(),"")))</f>
        <v/>
      </c>
      <c r="U259" s="0" t="str">
        <f aca="false">IF(OR($B259="",$L259="已完成"),"",IF(ISNUMBER($B259),IF(设置!$B$6&lt;$B259,"",(设置!$B$6-$B259)*100000+ROW()),""))</f>
        <v/>
      </c>
      <c r="V259" s="0" t="str">
        <f aca="false">IF(ISNUMBER($O259),IF($O259&gt;=2,IF(COUNTIFS($D259:$D$2006,$D259,$E259:$E$2006,$E259)=1,ROW(),""),""),"")</f>
        <v/>
      </c>
    </row>
    <row r="260" customFormat="false" ht="15" hidden="false" customHeight="true" outlineLevel="0" collapsed="false">
      <c r="A260" s="13" t="str">
        <f aca="false">IF(AND($B260="",$D260="",$E260="",$F260=""),"",IF(OR($B260="",$D260="",$E260=""),"待补",IF($D260="公共区域","公",IF($D260="商铺","S",SUBSTITUTE($D260,"栋","")))&amp;"-"&amp;$E260&amp;"-"&amp;TEXT(MONTH($B260),"00")&amp;TEXT(DAY($B260),"00")&amp;IF(ISNUMBER($O260),IF($O260&gt;1,"-"&amp;TEXT($O260,"00"),""),"")))</f>
        <v/>
      </c>
      <c r="B260" s="14"/>
      <c r="C260" s="10"/>
      <c r="D260" s="10"/>
      <c r="E260" s="10"/>
      <c r="F260" s="16"/>
      <c r="G260" s="10"/>
      <c r="H260" s="10"/>
      <c r="I260" s="10"/>
      <c r="J260" s="10"/>
      <c r="K260" s="10"/>
      <c r="L260" s="10"/>
      <c r="M260" s="14"/>
      <c r="N260" s="17" t="str">
        <f aca="false">IF($B260="","",IF($L260="已完成",IF($M260="","",$M260-$B260),IF(设置!$B$6&lt;$B260,"",IF((设置!$B$6-$B260)&gt;=设置!$B$5,"超期"&amp;(设置!$B$6-$B260)&amp;"天","已等"&amp;(设置!$B$6-$B260)&amp;"天"))))</f>
        <v/>
      </c>
      <c r="O260" s="18" t="str">
        <f aca="false">IF(OR($D260="",$E260=""),"",COUNTIFS($D$7:$D260,$D260,$E$7:$E260,$E260))</f>
        <v/>
      </c>
      <c r="P260" s="16"/>
      <c r="Q260" s="19"/>
      <c r="R260" s="10"/>
      <c r="S260" s="16"/>
      <c r="T260" s="0" t="str">
        <f aca="false">IF(OR($D260="",单元查询!$B$3=""),"",IF($D260&lt;&gt;单元查询!$B$3,"",IF(OR(单元查询!$D$3="",$E260&amp;""=单元查询!$D$3&amp;""),IF(ISNUMBER($B260),$B260*10000,0)+ROW(),"")))</f>
        <v/>
      </c>
      <c r="U260" s="0" t="str">
        <f aca="false">IF(OR($B260="",$L260="已完成"),"",IF(ISNUMBER($B260),IF(设置!$B$6&lt;$B260,"",(设置!$B$6-$B260)*100000+ROW()),""))</f>
        <v/>
      </c>
      <c r="V260" s="0" t="str">
        <f aca="false">IF(ISNUMBER($O260),IF($O260&gt;=2,IF(COUNTIFS($D260:$D$2006,$D260,$E260:$E$2006,$E260)=1,ROW(),""),""),"")</f>
        <v/>
      </c>
    </row>
    <row r="261" customFormat="false" ht="15" hidden="false" customHeight="true" outlineLevel="0" collapsed="false">
      <c r="A261" s="13" t="str">
        <f aca="false">IF(AND($B261="",$D261="",$E261="",$F261=""),"",IF(OR($B261="",$D261="",$E261=""),"待补",IF($D261="公共区域","公",IF($D261="商铺","S",SUBSTITUTE($D261,"栋","")))&amp;"-"&amp;$E261&amp;"-"&amp;TEXT(MONTH($B261),"00")&amp;TEXT(DAY($B261),"00")&amp;IF(ISNUMBER($O261),IF($O261&gt;1,"-"&amp;TEXT($O261,"00"),""),"")))</f>
        <v/>
      </c>
      <c r="B261" s="14"/>
      <c r="C261" s="10"/>
      <c r="D261" s="10"/>
      <c r="E261" s="10"/>
      <c r="F261" s="16"/>
      <c r="G261" s="10"/>
      <c r="H261" s="10"/>
      <c r="I261" s="10"/>
      <c r="J261" s="10"/>
      <c r="K261" s="10"/>
      <c r="L261" s="10"/>
      <c r="M261" s="14"/>
      <c r="N261" s="17" t="str">
        <f aca="false">IF($B261="","",IF($L261="已完成",IF($M261="","",$M261-$B261),IF(设置!$B$6&lt;$B261,"",IF((设置!$B$6-$B261)&gt;=设置!$B$5,"超期"&amp;(设置!$B$6-$B261)&amp;"天","已等"&amp;(设置!$B$6-$B261)&amp;"天"))))</f>
        <v/>
      </c>
      <c r="O261" s="18" t="str">
        <f aca="false">IF(OR($D261="",$E261=""),"",COUNTIFS($D$7:$D261,$D261,$E$7:$E261,$E261))</f>
        <v/>
      </c>
      <c r="P261" s="16"/>
      <c r="Q261" s="19"/>
      <c r="R261" s="10"/>
      <c r="S261" s="16"/>
      <c r="T261" s="0" t="str">
        <f aca="false">IF(OR($D261="",单元查询!$B$3=""),"",IF($D261&lt;&gt;单元查询!$B$3,"",IF(OR(单元查询!$D$3="",$E261&amp;""=单元查询!$D$3&amp;""),IF(ISNUMBER($B261),$B261*10000,0)+ROW(),"")))</f>
        <v/>
      </c>
      <c r="U261" s="0" t="str">
        <f aca="false">IF(OR($B261="",$L261="已完成"),"",IF(ISNUMBER($B261),IF(设置!$B$6&lt;$B261,"",(设置!$B$6-$B261)*100000+ROW()),""))</f>
        <v/>
      </c>
      <c r="V261" s="0" t="str">
        <f aca="false">IF(ISNUMBER($O261),IF($O261&gt;=2,IF(COUNTIFS($D261:$D$2006,$D261,$E261:$E$2006,$E261)=1,ROW(),""),""),"")</f>
        <v/>
      </c>
    </row>
    <row r="262" customFormat="false" ht="15" hidden="false" customHeight="true" outlineLevel="0" collapsed="false">
      <c r="A262" s="13" t="str">
        <f aca="false">IF(AND($B262="",$D262="",$E262="",$F262=""),"",IF(OR($B262="",$D262="",$E262=""),"待补",IF($D262="公共区域","公",IF($D262="商铺","S",SUBSTITUTE($D262,"栋","")))&amp;"-"&amp;$E262&amp;"-"&amp;TEXT(MONTH($B262),"00")&amp;TEXT(DAY($B262),"00")&amp;IF(ISNUMBER($O262),IF($O262&gt;1,"-"&amp;TEXT($O262,"00"),""),"")))</f>
        <v/>
      </c>
      <c r="B262" s="14"/>
      <c r="C262" s="10"/>
      <c r="D262" s="10"/>
      <c r="E262" s="10"/>
      <c r="F262" s="16"/>
      <c r="G262" s="10"/>
      <c r="H262" s="10"/>
      <c r="I262" s="10"/>
      <c r="J262" s="10"/>
      <c r="K262" s="10"/>
      <c r="L262" s="10"/>
      <c r="M262" s="14"/>
      <c r="N262" s="17" t="str">
        <f aca="false">IF($B262="","",IF($L262="已完成",IF($M262="","",$M262-$B262),IF(设置!$B$6&lt;$B262,"",IF((设置!$B$6-$B262)&gt;=设置!$B$5,"超期"&amp;(设置!$B$6-$B262)&amp;"天","已等"&amp;(设置!$B$6-$B262)&amp;"天"))))</f>
        <v/>
      </c>
      <c r="O262" s="18" t="str">
        <f aca="false">IF(OR($D262="",$E262=""),"",COUNTIFS($D$7:$D262,$D262,$E$7:$E262,$E262))</f>
        <v/>
      </c>
      <c r="P262" s="16"/>
      <c r="Q262" s="19"/>
      <c r="R262" s="10"/>
      <c r="S262" s="16"/>
      <c r="T262" s="0" t="str">
        <f aca="false">IF(OR($D262="",单元查询!$B$3=""),"",IF($D262&lt;&gt;单元查询!$B$3,"",IF(OR(单元查询!$D$3="",$E262&amp;""=单元查询!$D$3&amp;""),IF(ISNUMBER($B262),$B262*10000,0)+ROW(),"")))</f>
        <v/>
      </c>
      <c r="U262" s="0" t="str">
        <f aca="false">IF(OR($B262="",$L262="已完成"),"",IF(ISNUMBER($B262),IF(设置!$B$6&lt;$B262,"",(设置!$B$6-$B262)*100000+ROW()),""))</f>
        <v/>
      </c>
      <c r="V262" s="0" t="str">
        <f aca="false">IF(ISNUMBER($O262),IF($O262&gt;=2,IF(COUNTIFS($D262:$D$2006,$D262,$E262:$E$2006,$E262)=1,ROW(),""),""),"")</f>
        <v/>
      </c>
    </row>
    <row r="263" customFormat="false" ht="15" hidden="false" customHeight="true" outlineLevel="0" collapsed="false">
      <c r="A263" s="13" t="str">
        <f aca="false">IF(AND($B263="",$D263="",$E263="",$F263=""),"",IF(OR($B263="",$D263="",$E263=""),"待补",IF($D263="公共区域","公",IF($D263="商铺","S",SUBSTITUTE($D263,"栋","")))&amp;"-"&amp;$E263&amp;"-"&amp;TEXT(MONTH($B263),"00")&amp;TEXT(DAY($B263),"00")&amp;IF(ISNUMBER($O263),IF($O263&gt;1,"-"&amp;TEXT($O263,"00"),""),"")))</f>
        <v/>
      </c>
      <c r="B263" s="14"/>
      <c r="C263" s="10"/>
      <c r="D263" s="10"/>
      <c r="E263" s="10"/>
      <c r="F263" s="16"/>
      <c r="G263" s="10"/>
      <c r="H263" s="10"/>
      <c r="I263" s="10"/>
      <c r="J263" s="10"/>
      <c r="K263" s="10"/>
      <c r="L263" s="10"/>
      <c r="M263" s="14"/>
      <c r="N263" s="17" t="str">
        <f aca="false">IF($B263="","",IF($L263="已完成",IF($M263="","",$M263-$B263),IF(设置!$B$6&lt;$B263,"",IF((设置!$B$6-$B263)&gt;=设置!$B$5,"超期"&amp;(设置!$B$6-$B263)&amp;"天","已等"&amp;(设置!$B$6-$B263)&amp;"天"))))</f>
        <v/>
      </c>
      <c r="O263" s="18" t="str">
        <f aca="false">IF(OR($D263="",$E263=""),"",COUNTIFS($D$7:$D263,$D263,$E$7:$E263,$E263))</f>
        <v/>
      </c>
      <c r="P263" s="16"/>
      <c r="Q263" s="19"/>
      <c r="R263" s="10"/>
      <c r="S263" s="16"/>
      <c r="T263" s="0" t="str">
        <f aca="false">IF(OR($D263="",单元查询!$B$3=""),"",IF($D263&lt;&gt;单元查询!$B$3,"",IF(OR(单元查询!$D$3="",$E263&amp;""=单元查询!$D$3&amp;""),IF(ISNUMBER($B263),$B263*10000,0)+ROW(),"")))</f>
        <v/>
      </c>
      <c r="U263" s="0" t="str">
        <f aca="false">IF(OR($B263="",$L263="已完成"),"",IF(ISNUMBER($B263),IF(设置!$B$6&lt;$B263,"",(设置!$B$6-$B263)*100000+ROW()),""))</f>
        <v/>
      </c>
      <c r="V263" s="0" t="str">
        <f aca="false">IF(ISNUMBER($O263),IF($O263&gt;=2,IF(COUNTIFS($D263:$D$2006,$D263,$E263:$E$2006,$E263)=1,ROW(),""),""),"")</f>
        <v/>
      </c>
    </row>
    <row r="264" customFormat="false" ht="15" hidden="false" customHeight="true" outlineLevel="0" collapsed="false">
      <c r="A264" s="13" t="str">
        <f aca="false">IF(AND($B264="",$D264="",$E264="",$F264=""),"",IF(OR($B264="",$D264="",$E264=""),"待补",IF($D264="公共区域","公",IF($D264="商铺","S",SUBSTITUTE($D264,"栋","")))&amp;"-"&amp;$E264&amp;"-"&amp;TEXT(MONTH($B264),"00")&amp;TEXT(DAY($B264),"00")&amp;IF(ISNUMBER($O264),IF($O264&gt;1,"-"&amp;TEXT($O264,"00"),""),"")))</f>
        <v/>
      </c>
      <c r="B264" s="14"/>
      <c r="C264" s="10"/>
      <c r="D264" s="10"/>
      <c r="E264" s="10"/>
      <c r="F264" s="16"/>
      <c r="G264" s="10"/>
      <c r="H264" s="10"/>
      <c r="I264" s="10"/>
      <c r="J264" s="10"/>
      <c r="K264" s="10"/>
      <c r="L264" s="10"/>
      <c r="M264" s="14"/>
      <c r="N264" s="17" t="str">
        <f aca="false">IF($B264="","",IF($L264="已完成",IF($M264="","",$M264-$B264),IF(设置!$B$6&lt;$B264,"",IF((设置!$B$6-$B264)&gt;=设置!$B$5,"超期"&amp;(设置!$B$6-$B264)&amp;"天","已等"&amp;(设置!$B$6-$B264)&amp;"天"))))</f>
        <v/>
      </c>
      <c r="O264" s="18" t="str">
        <f aca="false">IF(OR($D264="",$E264=""),"",COUNTIFS($D$7:$D264,$D264,$E$7:$E264,$E264))</f>
        <v/>
      </c>
      <c r="P264" s="16"/>
      <c r="Q264" s="19"/>
      <c r="R264" s="10"/>
      <c r="S264" s="16"/>
      <c r="T264" s="0" t="str">
        <f aca="false">IF(OR($D264="",单元查询!$B$3=""),"",IF($D264&lt;&gt;单元查询!$B$3,"",IF(OR(单元查询!$D$3="",$E264&amp;""=单元查询!$D$3&amp;""),IF(ISNUMBER($B264),$B264*10000,0)+ROW(),"")))</f>
        <v/>
      </c>
      <c r="U264" s="0" t="str">
        <f aca="false">IF(OR($B264="",$L264="已完成"),"",IF(ISNUMBER($B264),IF(设置!$B$6&lt;$B264,"",(设置!$B$6-$B264)*100000+ROW()),""))</f>
        <v/>
      </c>
      <c r="V264" s="0" t="str">
        <f aca="false">IF(ISNUMBER($O264),IF($O264&gt;=2,IF(COUNTIFS($D264:$D$2006,$D264,$E264:$E$2006,$E264)=1,ROW(),""),""),"")</f>
        <v/>
      </c>
    </row>
    <row r="265" customFormat="false" ht="15" hidden="false" customHeight="true" outlineLevel="0" collapsed="false">
      <c r="A265" s="13" t="str">
        <f aca="false">IF(AND($B265="",$D265="",$E265="",$F265=""),"",IF(OR($B265="",$D265="",$E265=""),"待补",IF($D265="公共区域","公",IF($D265="商铺","S",SUBSTITUTE($D265,"栋","")))&amp;"-"&amp;$E265&amp;"-"&amp;TEXT(MONTH($B265),"00")&amp;TEXT(DAY($B265),"00")&amp;IF(ISNUMBER($O265),IF($O265&gt;1,"-"&amp;TEXT($O265,"00"),""),"")))</f>
        <v/>
      </c>
      <c r="B265" s="14"/>
      <c r="C265" s="10"/>
      <c r="D265" s="10"/>
      <c r="E265" s="10"/>
      <c r="F265" s="16"/>
      <c r="G265" s="10"/>
      <c r="H265" s="10"/>
      <c r="I265" s="10"/>
      <c r="J265" s="10"/>
      <c r="K265" s="10"/>
      <c r="L265" s="10"/>
      <c r="M265" s="14"/>
      <c r="N265" s="17" t="str">
        <f aca="false">IF($B265="","",IF($L265="已完成",IF($M265="","",$M265-$B265),IF(设置!$B$6&lt;$B265,"",IF((设置!$B$6-$B265)&gt;=设置!$B$5,"超期"&amp;(设置!$B$6-$B265)&amp;"天","已等"&amp;(设置!$B$6-$B265)&amp;"天"))))</f>
        <v/>
      </c>
      <c r="O265" s="18" t="str">
        <f aca="false">IF(OR($D265="",$E265=""),"",COUNTIFS($D$7:$D265,$D265,$E$7:$E265,$E265))</f>
        <v/>
      </c>
      <c r="P265" s="16"/>
      <c r="Q265" s="19"/>
      <c r="R265" s="10"/>
      <c r="S265" s="16"/>
      <c r="T265" s="0" t="str">
        <f aca="false">IF(OR($D265="",单元查询!$B$3=""),"",IF($D265&lt;&gt;单元查询!$B$3,"",IF(OR(单元查询!$D$3="",$E265&amp;""=单元查询!$D$3&amp;""),IF(ISNUMBER($B265),$B265*10000,0)+ROW(),"")))</f>
        <v/>
      </c>
      <c r="U265" s="0" t="str">
        <f aca="false">IF(OR($B265="",$L265="已完成"),"",IF(ISNUMBER($B265),IF(设置!$B$6&lt;$B265,"",(设置!$B$6-$B265)*100000+ROW()),""))</f>
        <v/>
      </c>
      <c r="V265" s="0" t="str">
        <f aca="false">IF(ISNUMBER($O265),IF($O265&gt;=2,IF(COUNTIFS($D265:$D$2006,$D265,$E265:$E$2006,$E265)=1,ROW(),""),""),"")</f>
        <v/>
      </c>
    </row>
    <row r="266" customFormat="false" ht="15" hidden="false" customHeight="true" outlineLevel="0" collapsed="false">
      <c r="A266" s="13" t="str">
        <f aca="false">IF(AND($B266="",$D266="",$E266="",$F266=""),"",IF(OR($B266="",$D266="",$E266=""),"待补",IF($D266="公共区域","公",IF($D266="商铺","S",SUBSTITUTE($D266,"栋","")))&amp;"-"&amp;$E266&amp;"-"&amp;TEXT(MONTH($B266),"00")&amp;TEXT(DAY($B266),"00")&amp;IF(ISNUMBER($O266),IF($O266&gt;1,"-"&amp;TEXT($O266,"00"),""),"")))</f>
        <v/>
      </c>
      <c r="B266" s="14"/>
      <c r="C266" s="10"/>
      <c r="D266" s="10"/>
      <c r="E266" s="10"/>
      <c r="F266" s="16"/>
      <c r="G266" s="10"/>
      <c r="H266" s="10"/>
      <c r="I266" s="10"/>
      <c r="J266" s="10"/>
      <c r="K266" s="10"/>
      <c r="L266" s="10"/>
      <c r="M266" s="14"/>
      <c r="N266" s="17" t="str">
        <f aca="false">IF($B266="","",IF($L266="已完成",IF($M266="","",$M266-$B266),IF(设置!$B$6&lt;$B266,"",IF((设置!$B$6-$B266)&gt;=设置!$B$5,"超期"&amp;(设置!$B$6-$B266)&amp;"天","已等"&amp;(设置!$B$6-$B266)&amp;"天"))))</f>
        <v/>
      </c>
      <c r="O266" s="18" t="str">
        <f aca="false">IF(OR($D266="",$E266=""),"",COUNTIFS($D$7:$D266,$D266,$E$7:$E266,$E266))</f>
        <v/>
      </c>
      <c r="P266" s="16"/>
      <c r="Q266" s="19"/>
      <c r="R266" s="10"/>
      <c r="S266" s="16"/>
      <c r="T266" s="0" t="str">
        <f aca="false">IF(OR($D266="",单元查询!$B$3=""),"",IF($D266&lt;&gt;单元查询!$B$3,"",IF(OR(单元查询!$D$3="",$E266&amp;""=单元查询!$D$3&amp;""),IF(ISNUMBER($B266),$B266*10000,0)+ROW(),"")))</f>
        <v/>
      </c>
      <c r="U266" s="0" t="str">
        <f aca="false">IF(OR($B266="",$L266="已完成"),"",IF(ISNUMBER($B266),IF(设置!$B$6&lt;$B266,"",(设置!$B$6-$B266)*100000+ROW()),""))</f>
        <v/>
      </c>
      <c r="V266" s="0" t="str">
        <f aca="false">IF(ISNUMBER($O266),IF($O266&gt;=2,IF(COUNTIFS($D266:$D$2006,$D266,$E266:$E$2006,$E266)=1,ROW(),""),""),"")</f>
        <v/>
      </c>
    </row>
    <row r="267" customFormat="false" ht="15" hidden="false" customHeight="true" outlineLevel="0" collapsed="false">
      <c r="A267" s="13" t="str">
        <f aca="false">IF(AND($B267="",$D267="",$E267="",$F267=""),"",IF(OR($B267="",$D267="",$E267=""),"待补",IF($D267="公共区域","公",IF($D267="商铺","S",SUBSTITUTE($D267,"栋","")))&amp;"-"&amp;$E267&amp;"-"&amp;TEXT(MONTH($B267),"00")&amp;TEXT(DAY($B267),"00")&amp;IF(ISNUMBER($O267),IF($O267&gt;1,"-"&amp;TEXT($O267,"00"),""),"")))</f>
        <v/>
      </c>
      <c r="B267" s="14"/>
      <c r="C267" s="10"/>
      <c r="D267" s="10"/>
      <c r="E267" s="10"/>
      <c r="F267" s="16"/>
      <c r="G267" s="10"/>
      <c r="H267" s="10"/>
      <c r="I267" s="10"/>
      <c r="J267" s="10"/>
      <c r="K267" s="10"/>
      <c r="L267" s="10"/>
      <c r="M267" s="14"/>
      <c r="N267" s="17" t="str">
        <f aca="false">IF($B267="","",IF($L267="已完成",IF($M267="","",$M267-$B267),IF(设置!$B$6&lt;$B267,"",IF((设置!$B$6-$B267)&gt;=设置!$B$5,"超期"&amp;(设置!$B$6-$B267)&amp;"天","已等"&amp;(设置!$B$6-$B267)&amp;"天"))))</f>
        <v/>
      </c>
      <c r="O267" s="18" t="str">
        <f aca="false">IF(OR($D267="",$E267=""),"",COUNTIFS($D$7:$D267,$D267,$E$7:$E267,$E267))</f>
        <v/>
      </c>
      <c r="P267" s="16"/>
      <c r="Q267" s="19"/>
      <c r="R267" s="10"/>
      <c r="S267" s="16"/>
      <c r="T267" s="0" t="str">
        <f aca="false">IF(OR($D267="",单元查询!$B$3=""),"",IF($D267&lt;&gt;单元查询!$B$3,"",IF(OR(单元查询!$D$3="",$E267&amp;""=单元查询!$D$3&amp;""),IF(ISNUMBER($B267),$B267*10000,0)+ROW(),"")))</f>
        <v/>
      </c>
      <c r="U267" s="0" t="str">
        <f aca="false">IF(OR($B267="",$L267="已完成"),"",IF(ISNUMBER($B267),IF(设置!$B$6&lt;$B267,"",(设置!$B$6-$B267)*100000+ROW()),""))</f>
        <v/>
      </c>
      <c r="V267" s="0" t="str">
        <f aca="false">IF(ISNUMBER($O267),IF($O267&gt;=2,IF(COUNTIFS($D267:$D$2006,$D267,$E267:$E$2006,$E267)=1,ROW(),""),""),"")</f>
        <v/>
      </c>
    </row>
    <row r="268" customFormat="false" ht="15" hidden="false" customHeight="true" outlineLevel="0" collapsed="false">
      <c r="A268" s="13" t="str">
        <f aca="false">IF(AND($B268="",$D268="",$E268="",$F268=""),"",IF(OR($B268="",$D268="",$E268=""),"待补",IF($D268="公共区域","公",IF($D268="商铺","S",SUBSTITUTE($D268,"栋","")))&amp;"-"&amp;$E268&amp;"-"&amp;TEXT(MONTH($B268),"00")&amp;TEXT(DAY($B268),"00")&amp;IF(ISNUMBER($O268),IF($O268&gt;1,"-"&amp;TEXT($O268,"00"),""),"")))</f>
        <v/>
      </c>
      <c r="B268" s="14"/>
      <c r="C268" s="10"/>
      <c r="D268" s="10"/>
      <c r="E268" s="10"/>
      <c r="F268" s="16"/>
      <c r="G268" s="10"/>
      <c r="H268" s="10"/>
      <c r="I268" s="10"/>
      <c r="J268" s="10"/>
      <c r="K268" s="10"/>
      <c r="L268" s="10"/>
      <c r="M268" s="14"/>
      <c r="N268" s="17" t="str">
        <f aca="false">IF($B268="","",IF($L268="已完成",IF($M268="","",$M268-$B268),IF(设置!$B$6&lt;$B268,"",IF((设置!$B$6-$B268)&gt;=设置!$B$5,"超期"&amp;(设置!$B$6-$B268)&amp;"天","已等"&amp;(设置!$B$6-$B268)&amp;"天"))))</f>
        <v/>
      </c>
      <c r="O268" s="18" t="str">
        <f aca="false">IF(OR($D268="",$E268=""),"",COUNTIFS($D$7:$D268,$D268,$E$7:$E268,$E268))</f>
        <v/>
      </c>
      <c r="P268" s="16"/>
      <c r="Q268" s="19"/>
      <c r="R268" s="10"/>
      <c r="S268" s="16"/>
      <c r="T268" s="0" t="str">
        <f aca="false">IF(OR($D268="",单元查询!$B$3=""),"",IF($D268&lt;&gt;单元查询!$B$3,"",IF(OR(单元查询!$D$3="",$E268&amp;""=单元查询!$D$3&amp;""),IF(ISNUMBER($B268),$B268*10000,0)+ROW(),"")))</f>
        <v/>
      </c>
      <c r="U268" s="0" t="str">
        <f aca="false">IF(OR($B268="",$L268="已完成"),"",IF(ISNUMBER($B268),IF(设置!$B$6&lt;$B268,"",(设置!$B$6-$B268)*100000+ROW()),""))</f>
        <v/>
      </c>
      <c r="V268" s="0" t="str">
        <f aca="false">IF(ISNUMBER($O268),IF($O268&gt;=2,IF(COUNTIFS($D268:$D$2006,$D268,$E268:$E$2006,$E268)=1,ROW(),""),""),"")</f>
        <v/>
      </c>
    </row>
    <row r="269" customFormat="false" ht="15" hidden="false" customHeight="true" outlineLevel="0" collapsed="false">
      <c r="A269" s="13" t="str">
        <f aca="false">IF(AND($B269="",$D269="",$E269="",$F269=""),"",IF(OR($B269="",$D269="",$E269=""),"待补",IF($D269="公共区域","公",IF($D269="商铺","S",SUBSTITUTE($D269,"栋","")))&amp;"-"&amp;$E269&amp;"-"&amp;TEXT(MONTH($B269),"00")&amp;TEXT(DAY($B269),"00")&amp;IF(ISNUMBER($O269),IF($O269&gt;1,"-"&amp;TEXT($O269,"00"),""),"")))</f>
        <v/>
      </c>
      <c r="B269" s="14"/>
      <c r="C269" s="10"/>
      <c r="D269" s="10"/>
      <c r="E269" s="10"/>
      <c r="F269" s="16"/>
      <c r="G269" s="10"/>
      <c r="H269" s="10"/>
      <c r="I269" s="10"/>
      <c r="J269" s="10"/>
      <c r="K269" s="10"/>
      <c r="L269" s="10"/>
      <c r="M269" s="14"/>
      <c r="N269" s="17" t="str">
        <f aca="false">IF($B269="","",IF($L269="已完成",IF($M269="","",$M269-$B269),IF(设置!$B$6&lt;$B269,"",IF((设置!$B$6-$B269)&gt;=设置!$B$5,"超期"&amp;(设置!$B$6-$B269)&amp;"天","已等"&amp;(设置!$B$6-$B269)&amp;"天"))))</f>
        <v/>
      </c>
      <c r="O269" s="18" t="str">
        <f aca="false">IF(OR($D269="",$E269=""),"",COUNTIFS($D$7:$D269,$D269,$E$7:$E269,$E269))</f>
        <v/>
      </c>
      <c r="P269" s="16"/>
      <c r="Q269" s="19"/>
      <c r="R269" s="10"/>
      <c r="S269" s="16"/>
      <c r="T269" s="0" t="str">
        <f aca="false">IF(OR($D269="",单元查询!$B$3=""),"",IF($D269&lt;&gt;单元查询!$B$3,"",IF(OR(单元查询!$D$3="",$E269&amp;""=单元查询!$D$3&amp;""),IF(ISNUMBER($B269),$B269*10000,0)+ROW(),"")))</f>
        <v/>
      </c>
      <c r="U269" s="0" t="str">
        <f aca="false">IF(OR($B269="",$L269="已完成"),"",IF(ISNUMBER($B269),IF(设置!$B$6&lt;$B269,"",(设置!$B$6-$B269)*100000+ROW()),""))</f>
        <v/>
      </c>
      <c r="V269" s="0" t="str">
        <f aca="false">IF(ISNUMBER($O269),IF($O269&gt;=2,IF(COUNTIFS($D269:$D$2006,$D269,$E269:$E$2006,$E269)=1,ROW(),""),""),"")</f>
        <v/>
      </c>
    </row>
    <row r="270" customFormat="false" ht="15" hidden="false" customHeight="true" outlineLevel="0" collapsed="false">
      <c r="A270" s="13" t="str">
        <f aca="false">IF(AND($B270="",$D270="",$E270="",$F270=""),"",IF(OR($B270="",$D270="",$E270=""),"待补",IF($D270="公共区域","公",IF($D270="商铺","S",SUBSTITUTE($D270,"栋","")))&amp;"-"&amp;$E270&amp;"-"&amp;TEXT(MONTH($B270),"00")&amp;TEXT(DAY($B270),"00")&amp;IF(ISNUMBER($O270),IF($O270&gt;1,"-"&amp;TEXT($O270,"00"),""),"")))</f>
        <v/>
      </c>
      <c r="B270" s="14"/>
      <c r="C270" s="10"/>
      <c r="D270" s="10"/>
      <c r="E270" s="10"/>
      <c r="F270" s="16"/>
      <c r="G270" s="10"/>
      <c r="H270" s="10"/>
      <c r="I270" s="10"/>
      <c r="J270" s="10"/>
      <c r="K270" s="10"/>
      <c r="L270" s="10"/>
      <c r="M270" s="14"/>
      <c r="N270" s="17" t="str">
        <f aca="false">IF($B270="","",IF($L270="已完成",IF($M270="","",$M270-$B270),IF(设置!$B$6&lt;$B270,"",IF((设置!$B$6-$B270)&gt;=设置!$B$5,"超期"&amp;(设置!$B$6-$B270)&amp;"天","已等"&amp;(设置!$B$6-$B270)&amp;"天"))))</f>
        <v/>
      </c>
      <c r="O270" s="18" t="str">
        <f aca="false">IF(OR($D270="",$E270=""),"",COUNTIFS($D$7:$D270,$D270,$E$7:$E270,$E270))</f>
        <v/>
      </c>
      <c r="P270" s="16"/>
      <c r="Q270" s="19"/>
      <c r="R270" s="10"/>
      <c r="S270" s="16"/>
      <c r="T270" s="0" t="str">
        <f aca="false">IF(OR($D270="",单元查询!$B$3=""),"",IF($D270&lt;&gt;单元查询!$B$3,"",IF(OR(单元查询!$D$3="",$E270&amp;""=单元查询!$D$3&amp;""),IF(ISNUMBER($B270),$B270*10000,0)+ROW(),"")))</f>
        <v/>
      </c>
      <c r="U270" s="0" t="str">
        <f aca="false">IF(OR($B270="",$L270="已完成"),"",IF(ISNUMBER($B270),IF(设置!$B$6&lt;$B270,"",(设置!$B$6-$B270)*100000+ROW()),""))</f>
        <v/>
      </c>
      <c r="V270" s="0" t="str">
        <f aca="false">IF(ISNUMBER($O270),IF($O270&gt;=2,IF(COUNTIFS($D270:$D$2006,$D270,$E270:$E$2006,$E270)=1,ROW(),""),""),"")</f>
        <v/>
      </c>
    </row>
    <row r="271" customFormat="false" ht="15" hidden="false" customHeight="true" outlineLevel="0" collapsed="false">
      <c r="A271" s="13" t="str">
        <f aca="false">IF(AND($B271="",$D271="",$E271="",$F271=""),"",IF(OR($B271="",$D271="",$E271=""),"待补",IF($D271="公共区域","公",IF($D271="商铺","S",SUBSTITUTE($D271,"栋","")))&amp;"-"&amp;$E271&amp;"-"&amp;TEXT(MONTH($B271),"00")&amp;TEXT(DAY($B271),"00")&amp;IF(ISNUMBER($O271),IF($O271&gt;1,"-"&amp;TEXT($O271,"00"),""),"")))</f>
        <v/>
      </c>
      <c r="B271" s="14"/>
      <c r="C271" s="10"/>
      <c r="D271" s="10"/>
      <c r="E271" s="10"/>
      <c r="F271" s="16"/>
      <c r="G271" s="10"/>
      <c r="H271" s="10"/>
      <c r="I271" s="10"/>
      <c r="J271" s="10"/>
      <c r="K271" s="10"/>
      <c r="L271" s="10"/>
      <c r="M271" s="14"/>
      <c r="N271" s="17" t="str">
        <f aca="false">IF($B271="","",IF($L271="已完成",IF($M271="","",$M271-$B271),IF(设置!$B$6&lt;$B271,"",IF((设置!$B$6-$B271)&gt;=设置!$B$5,"超期"&amp;(设置!$B$6-$B271)&amp;"天","已等"&amp;(设置!$B$6-$B271)&amp;"天"))))</f>
        <v/>
      </c>
      <c r="O271" s="18" t="str">
        <f aca="false">IF(OR($D271="",$E271=""),"",COUNTIFS($D$7:$D271,$D271,$E$7:$E271,$E271))</f>
        <v/>
      </c>
      <c r="P271" s="16"/>
      <c r="Q271" s="19"/>
      <c r="R271" s="10"/>
      <c r="S271" s="16"/>
      <c r="T271" s="0" t="str">
        <f aca="false">IF(OR($D271="",单元查询!$B$3=""),"",IF($D271&lt;&gt;单元查询!$B$3,"",IF(OR(单元查询!$D$3="",$E271&amp;""=单元查询!$D$3&amp;""),IF(ISNUMBER($B271),$B271*10000,0)+ROW(),"")))</f>
        <v/>
      </c>
      <c r="U271" s="0" t="str">
        <f aca="false">IF(OR($B271="",$L271="已完成"),"",IF(ISNUMBER($B271),IF(设置!$B$6&lt;$B271,"",(设置!$B$6-$B271)*100000+ROW()),""))</f>
        <v/>
      </c>
      <c r="V271" s="0" t="str">
        <f aca="false">IF(ISNUMBER($O271),IF($O271&gt;=2,IF(COUNTIFS($D271:$D$2006,$D271,$E271:$E$2006,$E271)=1,ROW(),""),""),"")</f>
        <v/>
      </c>
    </row>
    <row r="272" customFormat="false" ht="15" hidden="false" customHeight="true" outlineLevel="0" collapsed="false">
      <c r="A272" s="13" t="str">
        <f aca="false">IF(AND($B272="",$D272="",$E272="",$F272=""),"",IF(OR($B272="",$D272="",$E272=""),"待补",IF($D272="公共区域","公",IF($D272="商铺","S",SUBSTITUTE($D272,"栋","")))&amp;"-"&amp;$E272&amp;"-"&amp;TEXT(MONTH($B272),"00")&amp;TEXT(DAY($B272),"00")&amp;IF(ISNUMBER($O272),IF($O272&gt;1,"-"&amp;TEXT($O272,"00"),""),"")))</f>
        <v/>
      </c>
      <c r="B272" s="14"/>
      <c r="C272" s="10"/>
      <c r="D272" s="10"/>
      <c r="E272" s="10"/>
      <c r="F272" s="16"/>
      <c r="G272" s="10"/>
      <c r="H272" s="10"/>
      <c r="I272" s="10"/>
      <c r="J272" s="10"/>
      <c r="K272" s="10"/>
      <c r="L272" s="10"/>
      <c r="M272" s="14"/>
      <c r="N272" s="17" t="str">
        <f aca="false">IF($B272="","",IF($L272="已完成",IF($M272="","",$M272-$B272),IF(设置!$B$6&lt;$B272,"",IF((设置!$B$6-$B272)&gt;=设置!$B$5,"超期"&amp;(设置!$B$6-$B272)&amp;"天","已等"&amp;(设置!$B$6-$B272)&amp;"天"))))</f>
        <v/>
      </c>
      <c r="O272" s="18" t="str">
        <f aca="false">IF(OR($D272="",$E272=""),"",COUNTIFS($D$7:$D272,$D272,$E$7:$E272,$E272))</f>
        <v/>
      </c>
      <c r="P272" s="16"/>
      <c r="Q272" s="19"/>
      <c r="R272" s="10"/>
      <c r="S272" s="16"/>
      <c r="T272" s="0" t="str">
        <f aca="false">IF(OR($D272="",单元查询!$B$3=""),"",IF($D272&lt;&gt;单元查询!$B$3,"",IF(OR(单元查询!$D$3="",$E272&amp;""=单元查询!$D$3&amp;""),IF(ISNUMBER($B272),$B272*10000,0)+ROW(),"")))</f>
        <v/>
      </c>
      <c r="U272" s="0" t="str">
        <f aca="false">IF(OR($B272="",$L272="已完成"),"",IF(ISNUMBER($B272),IF(设置!$B$6&lt;$B272,"",(设置!$B$6-$B272)*100000+ROW()),""))</f>
        <v/>
      </c>
      <c r="V272" s="0" t="str">
        <f aca="false">IF(ISNUMBER($O272),IF($O272&gt;=2,IF(COUNTIFS($D272:$D$2006,$D272,$E272:$E$2006,$E272)=1,ROW(),""),""),"")</f>
        <v/>
      </c>
    </row>
    <row r="273" customFormat="false" ht="15" hidden="false" customHeight="true" outlineLevel="0" collapsed="false">
      <c r="A273" s="13" t="str">
        <f aca="false">IF(AND($B273="",$D273="",$E273="",$F273=""),"",IF(OR($B273="",$D273="",$E273=""),"待补",IF($D273="公共区域","公",IF($D273="商铺","S",SUBSTITUTE($D273,"栋","")))&amp;"-"&amp;$E273&amp;"-"&amp;TEXT(MONTH($B273),"00")&amp;TEXT(DAY($B273),"00")&amp;IF(ISNUMBER($O273),IF($O273&gt;1,"-"&amp;TEXT($O273,"00"),""),"")))</f>
        <v/>
      </c>
      <c r="B273" s="14"/>
      <c r="C273" s="10"/>
      <c r="D273" s="10"/>
      <c r="E273" s="10"/>
      <c r="F273" s="16"/>
      <c r="G273" s="10"/>
      <c r="H273" s="10"/>
      <c r="I273" s="10"/>
      <c r="J273" s="10"/>
      <c r="K273" s="10"/>
      <c r="L273" s="10"/>
      <c r="M273" s="14"/>
      <c r="N273" s="17" t="str">
        <f aca="false">IF($B273="","",IF($L273="已完成",IF($M273="","",$M273-$B273),IF(设置!$B$6&lt;$B273,"",IF((设置!$B$6-$B273)&gt;=设置!$B$5,"超期"&amp;(设置!$B$6-$B273)&amp;"天","已等"&amp;(设置!$B$6-$B273)&amp;"天"))))</f>
        <v/>
      </c>
      <c r="O273" s="18" t="str">
        <f aca="false">IF(OR($D273="",$E273=""),"",COUNTIFS($D$7:$D273,$D273,$E$7:$E273,$E273))</f>
        <v/>
      </c>
      <c r="P273" s="16"/>
      <c r="Q273" s="19"/>
      <c r="R273" s="10"/>
      <c r="S273" s="16"/>
      <c r="T273" s="0" t="str">
        <f aca="false">IF(OR($D273="",单元查询!$B$3=""),"",IF($D273&lt;&gt;单元查询!$B$3,"",IF(OR(单元查询!$D$3="",$E273&amp;""=单元查询!$D$3&amp;""),IF(ISNUMBER($B273),$B273*10000,0)+ROW(),"")))</f>
        <v/>
      </c>
      <c r="U273" s="0" t="str">
        <f aca="false">IF(OR($B273="",$L273="已完成"),"",IF(ISNUMBER($B273),IF(设置!$B$6&lt;$B273,"",(设置!$B$6-$B273)*100000+ROW()),""))</f>
        <v/>
      </c>
      <c r="V273" s="0" t="str">
        <f aca="false">IF(ISNUMBER($O273),IF($O273&gt;=2,IF(COUNTIFS($D273:$D$2006,$D273,$E273:$E$2006,$E273)=1,ROW(),""),""),"")</f>
        <v/>
      </c>
    </row>
    <row r="274" customFormat="false" ht="15" hidden="false" customHeight="true" outlineLevel="0" collapsed="false">
      <c r="A274" s="13" t="str">
        <f aca="false">IF(AND($B274="",$D274="",$E274="",$F274=""),"",IF(OR($B274="",$D274="",$E274=""),"待补",IF($D274="公共区域","公",IF($D274="商铺","S",SUBSTITUTE($D274,"栋","")))&amp;"-"&amp;$E274&amp;"-"&amp;TEXT(MONTH($B274),"00")&amp;TEXT(DAY($B274),"00")&amp;IF(ISNUMBER($O274),IF($O274&gt;1,"-"&amp;TEXT($O274,"00"),""),"")))</f>
        <v/>
      </c>
      <c r="B274" s="14"/>
      <c r="C274" s="10"/>
      <c r="D274" s="10"/>
      <c r="E274" s="10"/>
      <c r="F274" s="16"/>
      <c r="G274" s="10"/>
      <c r="H274" s="10"/>
      <c r="I274" s="10"/>
      <c r="J274" s="10"/>
      <c r="K274" s="10"/>
      <c r="L274" s="10"/>
      <c r="M274" s="14"/>
      <c r="N274" s="17" t="str">
        <f aca="false">IF($B274="","",IF($L274="已完成",IF($M274="","",$M274-$B274),IF(设置!$B$6&lt;$B274,"",IF((设置!$B$6-$B274)&gt;=设置!$B$5,"超期"&amp;(设置!$B$6-$B274)&amp;"天","已等"&amp;(设置!$B$6-$B274)&amp;"天"))))</f>
        <v/>
      </c>
      <c r="O274" s="18" t="str">
        <f aca="false">IF(OR($D274="",$E274=""),"",COUNTIFS($D$7:$D274,$D274,$E$7:$E274,$E274))</f>
        <v/>
      </c>
      <c r="P274" s="16"/>
      <c r="Q274" s="19"/>
      <c r="R274" s="10"/>
      <c r="S274" s="16"/>
      <c r="T274" s="0" t="str">
        <f aca="false">IF(OR($D274="",单元查询!$B$3=""),"",IF($D274&lt;&gt;单元查询!$B$3,"",IF(OR(单元查询!$D$3="",$E274&amp;""=单元查询!$D$3&amp;""),IF(ISNUMBER($B274),$B274*10000,0)+ROW(),"")))</f>
        <v/>
      </c>
      <c r="U274" s="0" t="str">
        <f aca="false">IF(OR($B274="",$L274="已完成"),"",IF(ISNUMBER($B274),IF(设置!$B$6&lt;$B274,"",(设置!$B$6-$B274)*100000+ROW()),""))</f>
        <v/>
      </c>
      <c r="V274" s="0" t="str">
        <f aca="false">IF(ISNUMBER($O274),IF($O274&gt;=2,IF(COUNTIFS($D274:$D$2006,$D274,$E274:$E$2006,$E274)=1,ROW(),""),""),"")</f>
        <v/>
      </c>
    </row>
    <row r="275" customFormat="false" ht="15" hidden="false" customHeight="true" outlineLevel="0" collapsed="false">
      <c r="A275" s="13" t="str">
        <f aca="false">IF(AND($B275="",$D275="",$E275="",$F275=""),"",IF(OR($B275="",$D275="",$E275=""),"待补",IF($D275="公共区域","公",IF($D275="商铺","S",SUBSTITUTE($D275,"栋","")))&amp;"-"&amp;$E275&amp;"-"&amp;TEXT(MONTH($B275),"00")&amp;TEXT(DAY($B275),"00")&amp;IF(ISNUMBER($O275),IF($O275&gt;1,"-"&amp;TEXT($O275,"00"),""),"")))</f>
        <v/>
      </c>
      <c r="B275" s="14"/>
      <c r="C275" s="10"/>
      <c r="D275" s="10"/>
      <c r="E275" s="10"/>
      <c r="F275" s="16"/>
      <c r="G275" s="10"/>
      <c r="H275" s="10"/>
      <c r="I275" s="10"/>
      <c r="J275" s="10"/>
      <c r="K275" s="10"/>
      <c r="L275" s="10"/>
      <c r="M275" s="14"/>
      <c r="N275" s="17" t="str">
        <f aca="false">IF($B275="","",IF($L275="已完成",IF($M275="","",$M275-$B275),IF(设置!$B$6&lt;$B275,"",IF((设置!$B$6-$B275)&gt;=设置!$B$5,"超期"&amp;(设置!$B$6-$B275)&amp;"天","已等"&amp;(设置!$B$6-$B275)&amp;"天"))))</f>
        <v/>
      </c>
      <c r="O275" s="18" t="str">
        <f aca="false">IF(OR($D275="",$E275=""),"",COUNTIFS($D$7:$D275,$D275,$E$7:$E275,$E275))</f>
        <v/>
      </c>
      <c r="P275" s="16"/>
      <c r="Q275" s="19"/>
      <c r="R275" s="10"/>
      <c r="S275" s="16"/>
      <c r="T275" s="0" t="str">
        <f aca="false">IF(OR($D275="",单元查询!$B$3=""),"",IF($D275&lt;&gt;单元查询!$B$3,"",IF(OR(单元查询!$D$3="",$E275&amp;""=单元查询!$D$3&amp;""),IF(ISNUMBER($B275),$B275*10000,0)+ROW(),"")))</f>
        <v/>
      </c>
      <c r="U275" s="0" t="str">
        <f aca="false">IF(OR($B275="",$L275="已完成"),"",IF(ISNUMBER($B275),IF(设置!$B$6&lt;$B275,"",(设置!$B$6-$B275)*100000+ROW()),""))</f>
        <v/>
      </c>
      <c r="V275" s="0" t="str">
        <f aca="false">IF(ISNUMBER($O275),IF($O275&gt;=2,IF(COUNTIFS($D275:$D$2006,$D275,$E275:$E$2006,$E275)=1,ROW(),""),""),"")</f>
        <v/>
      </c>
    </row>
    <row r="276" customFormat="false" ht="15" hidden="false" customHeight="true" outlineLevel="0" collapsed="false">
      <c r="A276" s="13" t="str">
        <f aca="false">IF(AND($B276="",$D276="",$E276="",$F276=""),"",IF(OR($B276="",$D276="",$E276=""),"待补",IF($D276="公共区域","公",IF($D276="商铺","S",SUBSTITUTE($D276,"栋","")))&amp;"-"&amp;$E276&amp;"-"&amp;TEXT(MONTH($B276),"00")&amp;TEXT(DAY($B276),"00")&amp;IF(ISNUMBER($O276),IF($O276&gt;1,"-"&amp;TEXT($O276,"00"),""),"")))</f>
        <v/>
      </c>
      <c r="B276" s="14"/>
      <c r="C276" s="10"/>
      <c r="D276" s="10"/>
      <c r="E276" s="10"/>
      <c r="F276" s="16"/>
      <c r="G276" s="10"/>
      <c r="H276" s="10"/>
      <c r="I276" s="10"/>
      <c r="J276" s="10"/>
      <c r="K276" s="10"/>
      <c r="L276" s="10"/>
      <c r="M276" s="14"/>
      <c r="N276" s="17" t="str">
        <f aca="false">IF($B276="","",IF($L276="已完成",IF($M276="","",$M276-$B276),IF(设置!$B$6&lt;$B276,"",IF((设置!$B$6-$B276)&gt;=设置!$B$5,"超期"&amp;(设置!$B$6-$B276)&amp;"天","已等"&amp;(设置!$B$6-$B276)&amp;"天"))))</f>
        <v/>
      </c>
      <c r="O276" s="18" t="str">
        <f aca="false">IF(OR($D276="",$E276=""),"",COUNTIFS($D$7:$D276,$D276,$E$7:$E276,$E276))</f>
        <v/>
      </c>
      <c r="P276" s="16"/>
      <c r="Q276" s="19"/>
      <c r="R276" s="10"/>
      <c r="S276" s="16"/>
      <c r="T276" s="0" t="str">
        <f aca="false">IF(OR($D276="",单元查询!$B$3=""),"",IF($D276&lt;&gt;单元查询!$B$3,"",IF(OR(单元查询!$D$3="",$E276&amp;""=单元查询!$D$3&amp;""),IF(ISNUMBER($B276),$B276*10000,0)+ROW(),"")))</f>
        <v/>
      </c>
      <c r="U276" s="0" t="str">
        <f aca="false">IF(OR($B276="",$L276="已完成"),"",IF(ISNUMBER($B276),IF(设置!$B$6&lt;$B276,"",(设置!$B$6-$B276)*100000+ROW()),""))</f>
        <v/>
      </c>
      <c r="V276" s="0" t="str">
        <f aca="false">IF(ISNUMBER($O276),IF($O276&gt;=2,IF(COUNTIFS($D276:$D$2006,$D276,$E276:$E$2006,$E276)=1,ROW(),""),""),"")</f>
        <v/>
      </c>
    </row>
    <row r="277" customFormat="false" ht="15" hidden="false" customHeight="true" outlineLevel="0" collapsed="false">
      <c r="A277" s="13" t="str">
        <f aca="false">IF(AND($B277="",$D277="",$E277="",$F277=""),"",IF(OR($B277="",$D277="",$E277=""),"待补",IF($D277="公共区域","公",IF($D277="商铺","S",SUBSTITUTE($D277,"栋","")))&amp;"-"&amp;$E277&amp;"-"&amp;TEXT(MONTH($B277),"00")&amp;TEXT(DAY($B277),"00")&amp;IF(ISNUMBER($O277),IF($O277&gt;1,"-"&amp;TEXT($O277,"00"),""),"")))</f>
        <v/>
      </c>
      <c r="B277" s="14"/>
      <c r="C277" s="10"/>
      <c r="D277" s="10"/>
      <c r="E277" s="10"/>
      <c r="F277" s="16"/>
      <c r="G277" s="10"/>
      <c r="H277" s="10"/>
      <c r="I277" s="10"/>
      <c r="J277" s="10"/>
      <c r="K277" s="10"/>
      <c r="L277" s="10"/>
      <c r="M277" s="14"/>
      <c r="N277" s="17" t="str">
        <f aca="false">IF($B277="","",IF($L277="已完成",IF($M277="","",$M277-$B277),IF(设置!$B$6&lt;$B277,"",IF((设置!$B$6-$B277)&gt;=设置!$B$5,"超期"&amp;(设置!$B$6-$B277)&amp;"天","已等"&amp;(设置!$B$6-$B277)&amp;"天"))))</f>
        <v/>
      </c>
      <c r="O277" s="18" t="str">
        <f aca="false">IF(OR($D277="",$E277=""),"",COUNTIFS($D$7:$D277,$D277,$E$7:$E277,$E277))</f>
        <v/>
      </c>
      <c r="P277" s="16"/>
      <c r="Q277" s="19"/>
      <c r="R277" s="10"/>
      <c r="S277" s="16"/>
      <c r="T277" s="0" t="str">
        <f aca="false">IF(OR($D277="",单元查询!$B$3=""),"",IF($D277&lt;&gt;单元查询!$B$3,"",IF(OR(单元查询!$D$3="",$E277&amp;""=单元查询!$D$3&amp;""),IF(ISNUMBER($B277),$B277*10000,0)+ROW(),"")))</f>
        <v/>
      </c>
      <c r="U277" s="0" t="str">
        <f aca="false">IF(OR($B277="",$L277="已完成"),"",IF(ISNUMBER($B277),IF(设置!$B$6&lt;$B277,"",(设置!$B$6-$B277)*100000+ROW()),""))</f>
        <v/>
      </c>
      <c r="V277" s="0" t="str">
        <f aca="false">IF(ISNUMBER($O277),IF($O277&gt;=2,IF(COUNTIFS($D277:$D$2006,$D277,$E277:$E$2006,$E277)=1,ROW(),""),""),"")</f>
        <v/>
      </c>
    </row>
    <row r="278" customFormat="false" ht="15" hidden="false" customHeight="true" outlineLevel="0" collapsed="false">
      <c r="A278" s="13" t="str">
        <f aca="false">IF(AND($B278="",$D278="",$E278="",$F278=""),"",IF(OR($B278="",$D278="",$E278=""),"待补",IF($D278="公共区域","公",IF($D278="商铺","S",SUBSTITUTE($D278,"栋","")))&amp;"-"&amp;$E278&amp;"-"&amp;TEXT(MONTH($B278),"00")&amp;TEXT(DAY($B278),"00")&amp;IF(ISNUMBER($O278),IF($O278&gt;1,"-"&amp;TEXT($O278,"00"),""),"")))</f>
        <v/>
      </c>
      <c r="B278" s="14"/>
      <c r="C278" s="10"/>
      <c r="D278" s="10"/>
      <c r="E278" s="10"/>
      <c r="F278" s="16"/>
      <c r="G278" s="10"/>
      <c r="H278" s="10"/>
      <c r="I278" s="10"/>
      <c r="J278" s="10"/>
      <c r="K278" s="10"/>
      <c r="L278" s="10"/>
      <c r="M278" s="14"/>
      <c r="N278" s="17" t="str">
        <f aca="false">IF($B278="","",IF($L278="已完成",IF($M278="","",$M278-$B278),IF(设置!$B$6&lt;$B278,"",IF((设置!$B$6-$B278)&gt;=设置!$B$5,"超期"&amp;(设置!$B$6-$B278)&amp;"天","已等"&amp;(设置!$B$6-$B278)&amp;"天"))))</f>
        <v/>
      </c>
      <c r="O278" s="18" t="str">
        <f aca="false">IF(OR($D278="",$E278=""),"",COUNTIFS($D$7:$D278,$D278,$E$7:$E278,$E278))</f>
        <v/>
      </c>
      <c r="P278" s="16"/>
      <c r="Q278" s="19"/>
      <c r="R278" s="10"/>
      <c r="S278" s="16"/>
      <c r="T278" s="0" t="str">
        <f aca="false">IF(OR($D278="",单元查询!$B$3=""),"",IF($D278&lt;&gt;单元查询!$B$3,"",IF(OR(单元查询!$D$3="",$E278&amp;""=单元查询!$D$3&amp;""),IF(ISNUMBER($B278),$B278*10000,0)+ROW(),"")))</f>
        <v/>
      </c>
      <c r="U278" s="0" t="str">
        <f aca="false">IF(OR($B278="",$L278="已完成"),"",IF(ISNUMBER($B278),IF(设置!$B$6&lt;$B278,"",(设置!$B$6-$B278)*100000+ROW()),""))</f>
        <v/>
      </c>
      <c r="V278" s="0" t="str">
        <f aca="false">IF(ISNUMBER($O278),IF($O278&gt;=2,IF(COUNTIFS($D278:$D$2006,$D278,$E278:$E$2006,$E278)=1,ROW(),""),""),"")</f>
        <v/>
      </c>
    </row>
    <row r="279" customFormat="false" ht="15" hidden="false" customHeight="true" outlineLevel="0" collapsed="false">
      <c r="A279" s="13" t="str">
        <f aca="false">IF(AND($B279="",$D279="",$E279="",$F279=""),"",IF(OR($B279="",$D279="",$E279=""),"待补",IF($D279="公共区域","公",IF($D279="商铺","S",SUBSTITUTE($D279,"栋","")))&amp;"-"&amp;$E279&amp;"-"&amp;TEXT(MONTH($B279),"00")&amp;TEXT(DAY($B279),"00")&amp;IF(ISNUMBER($O279),IF($O279&gt;1,"-"&amp;TEXT($O279,"00"),""),"")))</f>
        <v/>
      </c>
      <c r="B279" s="14"/>
      <c r="C279" s="10"/>
      <c r="D279" s="10"/>
      <c r="E279" s="10"/>
      <c r="F279" s="16"/>
      <c r="G279" s="10"/>
      <c r="H279" s="10"/>
      <c r="I279" s="10"/>
      <c r="J279" s="10"/>
      <c r="K279" s="10"/>
      <c r="L279" s="10"/>
      <c r="M279" s="14"/>
      <c r="N279" s="17" t="str">
        <f aca="false">IF($B279="","",IF($L279="已完成",IF($M279="","",$M279-$B279),IF(设置!$B$6&lt;$B279,"",IF((设置!$B$6-$B279)&gt;=设置!$B$5,"超期"&amp;(设置!$B$6-$B279)&amp;"天","已等"&amp;(设置!$B$6-$B279)&amp;"天"))))</f>
        <v/>
      </c>
      <c r="O279" s="18" t="str">
        <f aca="false">IF(OR($D279="",$E279=""),"",COUNTIFS($D$7:$D279,$D279,$E$7:$E279,$E279))</f>
        <v/>
      </c>
      <c r="P279" s="16"/>
      <c r="Q279" s="19"/>
      <c r="R279" s="10"/>
      <c r="S279" s="16"/>
      <c r="T279" s="0" t="str">
        <f aca="false">IF(OR($D279="",单元查询!$B$3=""),"",IF($D279&lt;&gt;单元查询!$B$3,"",IF(OR(单元查询!$D$3="",$E279&amp;""=单元查询!$D$3&amp;""),IF(ISNUMBER($B279),$B279*10000,0)+ROW(),"")))</f>
        <v/>
      </c>
      <c r="U279" s="0" t="str">
        <f aca="false">IF(OR($B279="",$L279="已完成"),"",IF(ISNUMBER($B279),IF(设置!$B$6&lt;$B279,"",(设置!$B$6-$B279)*100000+ROW()),""))</f>
        <v/>
      </c>
      <c r="V279" s="0" t="str">
        <f aca="false">IF(ISNUMBER($O279),IF($O279&gt;=2,IF(COUNTIFS($D279:$D$2006,$D279,$E279:$E$2006,$E279)=1,ROW(),""),""),"")</f>
        <v/>
      </c>
    </row>
    <row r="280" customFormat="false" ht="15" hidden="false" customHeight="true" outlineLevel="0" collapsed="false">
      <c r="A280" s="13" t="str">
        <f aca="false">IF(AND($B280="",$D280="",$E280="",$F280=""),"",IF(OR($B280="",$D280="",$E280=""),"待补",IF($D280="公共区域","公",IF($D280="商铺","S",SUBSTITUTE($D280,"栋","")))&amp;"-"&amp;$E280&amp;"-"&amp;TEXT(MONTH($B280),"00")&amp;TEXT(DAY($B280),"00")&amp;IF(ISNUMBER($O280),IF($O280&gt;1,"-"&amp;TEXT($O280,"00"),""),"")))</f>
        <v/>
      </c>
      <c r="B280" s="14"/>
      <c r="C280" s="10"/>
      <c r="D280" s="10"/>
      <c r="E280" s="10"/>
      <c r="F280" s="16"/>
      <c r="G280" s="10"/>
      <c r="H280" s="10"/>
      <c r="I280" s="10"/>
      <c r="J280" s="10"/>
      <c r="K280" s="10"/>
      <c r="L280" s="10"/>
      <c r="M280" s="14"/>
      <c r="N280" s="17" t="str">
        <f aca="false">IF($B280="","",IF($L280="已完成",IF($M280="","",$M280-$B280),IF(设置!$B$6&lt;$B280,"",IF((设置!$B$6-$B280)&gt;=设置!$B$5,"超期"&amp;(设置!$B$6-$B280)&amp;"天","已等"&amp;(设置!$B$6-$B280)&amp;"天"))))</f>
        <v/>
      </c>
      <c r="O280" s="18" t="str">
        <f aca="false">IF(OR($D280="",$E280=""),"",COUNTIFS($D$7:$D280,$D280,$E$7:$E280,$E280))</f>
        <v/>
      </c>
      <c r="P280" s="16"/>
      <c r="Q280" s="19"/>
      <c r="R280" s="10"/>
      <c r="S280" s="16"/>
      <c r="T280" s="0" t="str">
        <f aca="false">IF(OR($D280="",单元查询!$B$3=""),"",IF($D280&lt;&gt;单元查询!$B$3,"",IF(OR(单元查询!$D$3="",$E280&amp;""=单元查询!$D$3&amp;""),IF(ISNUMBER($B280),$B280*10000,0)+ROW(),"")))</f>
        <v/>
      </c>
      <c r="U280" s="0" t="str">
        <f aca="false">IF(OR($B280="",$L280="已完成"),"",IF(ISNUMBER($B280),IF(设置!$B$6&lt;$B280,"",(设置!$B$6-$B280)*100000+ROW()),""))</f>
        <v/>
      </c>
      <c r="V280" s="0" t="str">
        <f aca="false">IF(ISNUMBER($O280),IF($O280&gt;=2,IF(COUNTIFS($D280:$D$2006,$D280,$E280:$E$2006,$E280)=1,ROW(),""),""),"")</f>
        <v/>
      </c>
    </row>
    <row r="281" customFormat="false" ht="15" hidden="false" customHeight="true" outlineLevel="0" collapsed="false">
      <c r="A281" s="13" t="str">
        <f aca="false">IF(AND($B281="",$D281="",$E281="",$F281=""),"",IF(OR($B281="",$D281="",$E281=""),"待补",IF($D281="公共区域","公",IF($D281="商铺","S",SUBSTITUTE($D281,"栋","")))&amp;"-"&amp;$E281&amp;"-"&amp;TEXT(MONTH($B281),"00")&amp;TEXT(DAY($B281),"00")&amp;IF(ISNUMBER($O281),IF($O281&gt;1,"-"&amp;TEXT($O281,"00"),""),"")))</f>
        <v/>
      </c>
      <c r="B281" s="14"/>
      <c r="C281" s="10"/>
      <c r="D281" s="10"/>
      <c r="E281" s="10"/>
      <c r="F281" s="16"/>
      <c r="G281" s="10"/>
      <c r="H281" s="10"/>
      <c r="I281" s="10"/>
      <c r="J281" s="10"/>
      <c r="K281" s="10"/>
      <c r="L281" s="10"/>
      <c r="M281" s="14"/>
      <c r="N281" s="17" t="str">
        <f aca="false">IF($B281="","",IF($L281="已完成",IF($M281="","",$M281-$B281),IF(设置!$B$6&lt;$B281,"",IF((设置!$B$6-$B281)&gt;=设置!$B$5,"超期"&amp;(设置!$B$6-$B281)&amp;"天","已等"&amp;(设置!$B$6-$B281)&amp;"天"))))</f>
        <v/>
      </c>
      <c r="O281" s="18" t="str">
        <f aca="false">IF(OR($D281="",$E281=""),"",COUNTIFS($D$7:$D281,$D281,$E$7:$E281,$E281))</f>
        <v/>
      </c>
      <c r="P281" s="16"/>
      <c r="Q281" s="19"/>
      <c r="R281" s="10"/>
      <c r="S281" s="16"/>
      <c r="T281" s="0" t="str">
        <f aca="false">IF(OR($D281="",单元查询!$B$3=""),"",IF($D281&lt;&gt;单元查询!$B$3,"",IF(OR(单元查询!$D$3="",$E281&amp;""=单元查询!$D$3&amp;""),IF(ISNUMBER($B281),$B281*10000,0)+ROW(),"")))</f>
        <v/>
      </c>
      <c r="U281" s="0" t="str">
        <f aca="false">IF(OR($B281="",$L281="已完成"),"",IF(ISNUMBER($B281),IF(设置!$B$6&lt;$B281,"",(设置!$B$6-$B281)*100000+ROW()),""))</f>
        <v/>
      </c>
      <c r="V281" s="0" t="str">
        <f aca="false">IF(ISNUMBER($O281),IF($O281&gt;=2,IF(COUNTIFS($D281:$D$2006,$D281,$E281:$E$2006,$E281)=1,ROW(),""),""),"")</f>
        <v/>
      </c>
    </row>
    <row r="282" customFormat="false" ht="15" hidden="false" customHeight="true" outlineLevel="0" collapsed="false">
      <c r="A282" s="13" t="str">
        <f aca="false">IF(AND($B282="",$D282="",$E282="",$F282=""),"",IF(OR($B282="",$D282="",$E282=""),"待补",IF($D282="公共区域","公",IF($D282="商铺","S",SUBSTITUTE($D282,"栋","")))&amp;"-"&amp;$E282&amp;"-"&amp;TEXT(MONTH($B282),"00")&amp;TEXT(DAY($B282),"00")&amp;IF(ISNUMBER($O282),IF($O282&gt;1,"-"&amp;TEXT($O282,"00"),""),"")))</f>
        <v/>
      </c>
      <c r="B282" s="14"/>
      <c r="C282" s="10"/>
      <c r="D282" s="10"/>
      <c r="E282" s="10"/>
      <c r="F282" s="16"/>
      <c r="G282" s="10"/>
      <c r="H282" s="10"/>
      <c r="I282" s="10"/>
      <c r="J282" s="10"/>
      <c r="K282" s="10"/>
      <c r="L282" s="10"/>
      <c r="M282" s="14"/>
      <c r="N282" s="17" t="str">
        <f aca="false">IF($B282="","",IF($L282="已完成",IF($M282="","",$M282-$B282),IF(设置!$B$6&lt;$B282,"",IF((设置!$B$6-$B282)&gt;=设置!$B$5,"超期"&amp;(设置!$B$6-$B282)&amp;"天","已等"&amp;(设置!$B$6-$B282)&amp;"天"))))</f>
        <v/>
      </c>
      <c r="O282" s="18" t="str">
        <f aca="false">IF(OR($D282="",$E282=""),"",COUNTIFS($D$7:$D282,$D282,$E$7:$E282,$E282))</f>
        <v/>
      </c>
      <c r="P282" s="16"/>
      <c r="Q282" s="19"/>
      <c r="R282" s="10"/>
      <c r="S282" s="16"/>
      <c r="T282" s="0" t="str">
        <f aca="false">IF(OR($D282="",单元查询!$B$3=""),"",IF($D282&lt;&gt;单元查询!$B$3,"",IF(OR(单元查询!$D$3="",$E282&amp;""=单元查询!$D$3&amp;""),IF(ISNUMBER($B282),$B282*10000,0)+ROW(),"")))</f>
        <v/>
      </c>
      <c r="U282" s="0" t="str">
        <f aca="false">IF(OR($B282="",$L282="已完成"),"",IF(ISNUMBER($B282),IF(设置!$B$6&lt;$B282,"",(设置!$B$6-$B282)*100000+ROW()),""))</f>
        <v/>
      </c>
      <c r="V282" s="0" t="str">
        <f aca="false">IF(ISNUMBER($O282),IF($O282&gt;=2,IF(COUNTIFS($D282:$D$2006,$D282,$E282:$E$2006,$E282)=1,ROW(),""),""),"")</f>
        <v/>
      </c>
    </row>
    <row r="283" customFormat="false" ht="15" hidden="false" customHeight="true" outlineLevel="0" collapsed="false">
      <c r="A283" s="13" t="str">
        <f aca="false">IF(AND($B283="",$D283="",$E283="",$F283=""),"",IF(OR($B283="",$D283="",$E283=""),"待补",IF($D283="公共区域","公",IF($D283="商铺","S",SUBSTITUTE($D283,"栋","")))&amp;"-"&amp;$E283&amp;"-"&amp;TEXT(MONTH($B283),"00")&amp;TEXT(DAY($B283),"00")&amp;IF(ISNUMBER($O283),IF($O283&gt;1,"-"&amp;TEXT($O283,"00"),""),"")))</f>
        <v/>
      </c>
      <c r="B283" s="14"/>
      <c r="C283" s="10"/>
      <c r="D283" s="10"/>
      <c r="E283" s="10"/>
      <c r="F283" s="16"/>
      <c r="G283" s="10"/>
      <c r="H283" s="10"/>
      <c r="I283" s="10"/>
      <c r="J283" s="10"/>
      <c r="K283" s="10"/>
      <c r="L283" s="10"/>
      <c r="M283" s="14"/>
      <c r="N283" s="17" t="str">
        <f aca="false">IF($B283="","",IF($L283="已完成",IF($M283="","",$M283-$B283),IF(设置!$B$6&lt;$B283,"",IF((设置!$B$6-$B283)&gt;=设置!$B$5,"超期"&amp;(设置!$B$6-$B283)&amp;"天","已等"&amp;(设置!$B$6-$B283)&amp;"天"))))</f>
        <v/>
      </c>
      <c r="O283" s="18" t="str">
        <f aca="false">IF(OR($D283="",$E283=""),"",COUNTIFS($D$7:$D283,$D283,$E$7:$E283,$E283))</f>
        <v/>
      </c>
      <c r="P283" s="16"/>
      <c r="Q283" s="19"/>
      <c r="R283" s="10"/>
      <c r="S283" s="16"/>
      <c r="T283" s="0" t="str">
        <f aca="false">IF(OR($D283="",单元查询!$B$3=""),"",IF($D283&lt;&gt;单元查询!$B$3,"",IF(OR(单元查询!$D$3="",$E283&amp;""=单元查询!$D$3&amp;""),IF(ISNUMBER($B283),$B283*10000,0)+ROW(),"")))</f>
        <v/>
      </c>
      <c r="U283" s="0" t="str">
        <f aca="false">IF(OR($B283="",$L283="已完成"),"",IF(ISNUMBER($B283),IF(设置!$B$6&lt;$B283,"",(设置!$B$6-$B283)*100000+ROW()),""))</f>
        <v/>
      </c>
      <c r="V283" s="0" t="str">
        <f aca="false">IF(ISNUMBER($O283),IF($O283&gt;=2,IF(COUNTIFS($D283:$D$2006,$D283,$E283:$E$2006,$E283)=1,ROW(),""),""),"")</f>
        <v/>
      </c>
    </row>
    <row r="284" customFormat="false" ht="15" hidden="false" customHeight="true" outlineLevel="0" collapsed="false">
      <c r="A284" s="13" t="str">
        <f aca="false">IF(AND($B284="",$D284="",$E284="",$F284=""),"",IF(OR($B284="",$D284="",$E284=""),"待补",IF($D284="公共区域","公",IF($D284="商铺","S",SUBSTITUTE($D284,"栋","")))&amp;"-"&amp;$E284&amp;"-"&amp;TEXT(MONTH($B284),"00")&amp;TEXT(DAY($B284),"00")&amp;IF(ISNUMBER($O284),IF($O284&gt;1,"-"&amp;TEXT($O284,"00"),""),"")))</f>
        <v/>
      </c>
      <c r="B284" s="14"/>
      <c r="C284" s="10"/>
      <c r="D284" s="10"/>
      <c r="E284" s="10"/>
      <c r="F284" s="16"/>
      <c r="G284" s="10"/>
      <c r="H284" s="10"/>
      <c r="I284" s="10"/>
      <c r="J284" s="10"/>
      <c r="K284" s="10"/>
      <c r="L284" s="10"/>
      <c r="M284" s="14"/>
      <c r="N284" s="17" t="str">
        <f aca="false">IF($B284="","",IF($L284="已完成",IF($M284="","",$M284-$B284),IF(设置!$B$6&lt;$B284,"",IF((设置!$B$6-$B284)&gt;=设置!$B$5,"超期"&amp;(设置!$B$6-$B284)&amp;"天","已等"&amp;(设置!$B$6-$B284)&amp;"天"))))</f>
        <v/>
      </c>
      <c r="O284" s="18" t="str">
        <f aca="false">IF(OR($D284="",$E284=""),"",COUNTIFS($D$7:$D284,$D284,$E$7:$E284,$E284))</f>
        <v/>
      </c>
      <c r="P284" s="16"/>
      <c r="Q284" s="19"/>
      <c r="R284" s="10"/>
      <c r="S284" s="16"/>
      <c r="T284" s="0" t="str">
        <f aca="false">IF(OR($D284="",单元查询!$B$3=""),"",IF($D284&lt;&gt;单元查询!$B$3,"",IF(OR(单元查询!$D$3="",$E284&amp;""=单元查询!$D$3&amp;""),IF(ISNUMBER($B284),$B284*10000,0)+ROW(),"")))</f>
        <v/>
      </c>
      <c r="U284" s="0" t="str">
        <f aca="false">IF(OR($B284="",$L284="已完成"),"",IF(ISNUMBER($B284),IF(设置!$B$6&lt;$B284,"",(设置!$B$6-$B284)*100000+ROW()),""))</f>
        <v/>
      </c>
      <c r="V284" s="0" t="str">
        <f aca="false">IF(ISNUMBER($O284),IF($O284&gt;=2,IF(COUNTIFS($D284:$D$2006,$D284,$E284:$E$2006,$E284)=1,ROW(),""),""),"")</f>
        <v/>
      </c>
    </row>
    <row r="285" customFormat="false" ht="15" hidden="false" customHeight="true" outlineLevel="0" collapsed="false">
      <c r="A285" s="13" t="str">
        <f aca="false">IF(AND($B285="",$D285="",$E285="",$F285=""),"",IF(OR($B285="",$D285="",$E285=""),"待补",IF($D285="公共区域","公",IF($D285="商铺","S",SUBSTITUTE($D285,"栋","")))&amp;"-"&amp;$E285&amp;"-"&amp;TEXT(MONTH($B285),"00")&amp;TEXT(DAY($B285),"00")&amp;IF(ISNUMBER($O285),IF($O285&gt;1,"-"&amp;TEXT($O285,"00"),""),"")))</f>
        <v/>
      </c>
      <c r="B285" s="14"/>
      <c r="C285" s="10"/>
      <c r="D285" s="10"/>
      <c r="E285" s="10"/>
      <c r="F285" s="16"/>
      <c r="G285" s="10"/>
      <c r="H285" s="10"/>
      <c r="I285" s="10"/>
      <c r="J285" s="10"/>
      <c r="K285" s="10"/>
      <c r="L285" s="10"/>
      <c r="M285" s="14"/>
      <c r="N285" s="17" t="str">
        <f aca="false">IF($B285="","",IF($L285="已完成",IF($M285="","",$M285-$B285),IF(设置!$B$6&lt;$B285,"",IF((设置!$B$6-$B285)&gt;=设置!$B$5,"超期"&amp;(设置!$B$6-$B285)&amp;"天","已等"&amp;(设置!$B$6-$B285)&amp;"天"))))</f>
        <v/>
      </c>
      <c r="O285" s="18" t="str">
        <f aca="false">IF(OR($D285="",$E285=""),"",COUNTIFS($D$7:$D285,$D285,$E$7:$E285,$E285))</f>
        <v/>
      </c>
      <c r="P285" s="16"/>
      <c r="Q285" s="19"/>
      <c r="R285" s="10"/>
      <c r="S285" s="16"/>
      <c r="T285" s="0" t="str">
        <f aca="false">IF(OR($D285="",单元查询!$B$3=""),"",IF($D285&lt;&gt;单元查询!$B$3,"",IF(OR(单元查询!$D$3="",$E285&amp;""=单元查询!$D$3&amp;""),IF(ISNUMBER($B285),$B285*10000,0)+ROW(),"")))</f>
        <v/>
      </c>
      <c r="U285" s="0" t="str">
        <f aca="false">IF(OR($B285="",$L285="已完成"),"",IF(ISNUMBER($B285),IF(设置!$B$6&lt;$B285,"",(设置!$B$6-$B285)*100000+ROW()),""))</f>
        <v/>
      </c>
      <c r="V285" s="0" t="str">
        <f aca="false">IF(ISNUMBER($O285),IF($O285&gt;=2,IF(COUNTIFS($D285:$D$2006,$D285,$E285:$E$2006,$E285)=1,ROW(),""),""),"")</f>
        <v/>
      </c>
    </row>
    <row r="286" customFormat="false" ht="15" hidden="false" customHeight="true" outlineLevel="0" collapsed="false">
      <c r="A286" s="13" t="str">
        <f aca="false">IF(AND($B286="",$D286="",$E286="",$F286=""),"",IF(OR($B286="",$D286="",$E286=""),"待补",IF($D286="公共区域","公",IF($D286="商铺","S",SUBSTITUTE($D286,"栋","")))&amp;"-"&amp;$E286&amp;"-"&amp;TEXT(MONTH($B286),"00")&amp;TEXT(DAY($B286),"00")&amp;IF(ISNUMBER($O286),IF($O286&gt;1,"-"&amp;TEXT($O286,"00"),""),"")))</f>
        <v/>
      </c>
      <c r="B286" s="14"/>
      <c r="C286" s="10"/>
      <c r="D286" s="10"/>
      <c r="E286" s="10"/>
      <c r="F286" s="16"/>
      <c r="G286" s="10"/>
      <c r="H286" s="10"/>
      <c r="I286" s="10"/>
      <c r="J286" s="10"/>
      <c r="K286" s="10"/>
      <c r="L286" s="10"/>
      <c r="M286" s="14"/>
      <c r="N286" s="17" t="str">
        <f aca="false">IF($B286="","",IF($L286="已完成",IF($M286="","",$M286-$B286),IF(设置!$B$6&lt;$B286,"",IF((设置!$B$6-$B286)&gt;=设置!$B$5,"超期"&amp;(设置!$B$6-$B286)&amp;"天","已等"&amp;(设置!$B$6-$B286)&amp;"天"))))</f>
        <v/>
      </c>
      <c r="O286" s="18" t="str">
        <f aca="false">IF(OR($D286="",$E286=""),"",COUNTIFS($D$7:$D286,$D286,$E$7:$E286,$E286))</f>
        <v/>
      </c>
      <c r="P286" s="16"/>
      <c r="Q286" s="19"/>
      <c r="R286" s="10"/>
      <c r="S286" s="16"/>
      <c r="T286" s="0" t="str">
        <f aca="false">IF(OR($D286="",单元查询!$B$3=""),"",IF($D286&lt;&gt;单元查询!$B$3,"",IF(OR(单元查询!$D$3="",$E286&amp;""=单元查询!$D$3&amp;""),IF(ISNUMBER($B286),$B286*10000,0)+ROW(),"")))</f>
        <v/>
      </c>
      <c r="U286" s="0" t="str">
        <f aca="false">IF(OR($B286="",$L286="已完成"),"",IF(ISNUMBER($B286),IF(设置!$B$6&lt;$B286,"",(设置!$B$6-$B286)*100000+ROW()),""))</f>
        <v/>
      </c>
      <c r="V286" s="0" t="str">
        <f aca="false">IF(ISNUMBER($O286),IF($O286&gt;=2,IF(COUNTIFS($D286:$D$2006,$D286,$E286:$E$2006,$E286)=1,ROW(),""),""),"")</f>
        <v/>
      </c>
    </row>
    <row r="287" customFormat="false" ht="15" hidden="false" customHeight="true" outlineLevel="0" collapsed="false">
      <c r="A287" s="13" t="str">
        <f aca="false">IF(AND($B287="",$D287="",$E287="",$F287=""),"",IF(OR($B287="",$D287="",$E287=""),"待补",IF($D287="公共区域","公",IF($D287="商铺","S",SUBSTITUTE($D287,"栋","")))&amp;"-"&amp;$E287&amp;"-"&amp;TEXT(MONTH($B287),"00")&amp;TEXT(DAY($B287),"00")&amp;IF(ISNUMBER($O287),IF($O287&gt;1,"-"&amp;TEXT($O287,"00"),""),"")))</f>
        <v/>
      </c>
      <c r="B287" s="14"/>
      <c r="C287" s="10"/>
      <c r="D287" s="10"/>
      <c r="E287" s="10"/>
      <c r="F287" s="16"/>
      <c r="G287" s="10"/>
      <c r="H287" s="10"/>
      <c r="I287" s="10"/>
      <c r="J287" s="10"/>
      <c r="K287" s="10"/>
      <c r="L287" s="10"/>
      <c r="M287" s="14"/>
      <c r="N287" s="17" t="str">
        <f aca="false">IF($B287="","",IF($L287="已完成",IF($M287="","",$M287-$B287),IF(设置!$B$6&lt;$B287,"",IF((设置!$B$6-$B287)&gt;=设置!$B$5,"超期"&amp;(设置!$B$6-$B287)&amp;"天","已等"&amp;(设置!$B$6-$B287)&amp;"天"))))</f>
        <v/>
      </c>
      <c r="O287" s="18" t="str">
        <f aca="false">IF(OR($D287="",$E287=""),"",COUNTIFS($D$7:$D287,$D287,$E$7:$E287,$E287))</f>
        <v/>
      </c>
      <c r="P287" s="16"/>
      <c r="Q287" s="19"/>
      <c r="R287" s="10"/>
      <c r="S287" s="16"/>
      <c r="T287" s="0" t="str">
        <f aca="false">IF(OR($D287="",单元查询!$B$3=""),"",IF($D287&lt;&gt;单元查询!$B$3,"",IF(OR(单元查询!$D$3="",$E287&amp;""=单元查询!$D$3&amp;""),IF(ISNUMBER($B287),$B287*10000,0)+ROW(),"")))</f>
        <v/>
      </c>
      <c r="U287" s="0" t="str">
        <f aca="false">IF(OR($B287="",$L287="已完成"),"",IF(ISNUMBER($B287),IF(设置!$B$6&lt;$B287,"",(设置!$B$6-$B287)*100000+ROW()),""))</f>
        <v/>
      </c>
      <c r="V287" s="0" t="str">
        <f aca="false">IF(ISNUMBER($O287),IF($O287&gt;=2,IF(COUNTIFS($D287:$D$2006,$D287,$E287:$E$2006,$E287)=1,ROW(),""),""),"")</f>
        <v/>
      </c>
    </row>
    <row r="288" customFormat="false" ht="15" hidden="false" customHeight="true" outlineLevel="0" collapsed="false">
      <c r="A288" s="13" t="str">
        <f aca="false">IF(AND($B288="",$D288="",$E288="",$F288=""),"",IF(OR($B288="",$D288="",$E288=""),"待补",IF($D288="公共区域","公",IF($D288="商铺","S",SUBSTITUTE($D288,"栋","")))&amp;"-"&amp;$E288&amp;"-"&amp;TEXT(MONTH($B288),"00")&amp;TEXT(DAY($B288),"00")&amp;IF(ISNUMBER($O288),IF($O288&gt;1,"-"&amp;TEXT($O288,"00"),""),"")))</f>
        <v/>
      </c>
      <c r="B288" s="14"/>
      <c r="C288" s="10"/>
      <c r="D288" s="10"/>
      <c r="E288" s="10"/>
      <c r="F288" s="16"/>
      <c r="G288" s="10"/>
      <c r="H288" s="10"/>
      <c r="I288" s="10"/>
      <c r="J288" s="10"/>
      <c r="K288" s="10"/>
      <c r="L288" s="10"/>
      <c r="M288" s="14"/>
      <c r="N288" s="17" t="str">
        <f aca="false">IF($B288="","",IF($L288="已完成",IF($M288="","",$M288-$B288),IF(设置!$B$6&lt;$B288,"",IF((设置!$B$6-$B288)&gt;=设置!$B$5,"超期"&amp;(设置!$B$6-$B288)&amp;"天","已等"&amp;(设置!$B$6-$B288)&amp;"天"))))</f>
        <v/>
      </c>
      <c r="O288" s="18" t="str">
        <f aca="false">IF(OR($D288="",$E288=""),"",COUNTIFS($D$7:$D288,$D288,$E$7:$E288,$E288))</f>
        <v/>
      </c>
      <c r="P288" s="16"/>
      <c r="Q288" s="19"/>
      <c r="R288" s="10"/>
      <c r="S288" s="16"/>
      <c r="T288" s="0" t="str">
        <f aca="false">IF(OR($D288="",单元查询!$B$3=""),"",IF($D288&lt;&gt;单元查询!$B$3,"",IF(OR(单元查询!$D$3="",$E288&amp;""=单元查询!$D$3&amp;""),IF(ISNUMBER($B288),$B288*10000,0)+ROW(),"")))</f>
        <v/>
      </c>
      <c r="U288" s="0" t="str">
        <f aca="false">IF(OR($B288="",$L288="已完成"),"",IF(ISNUMBER($B288),IF(设置!$B$6&lt;$B288,"",(设置!$B$6-$B288)*100000+ROW()),""))</f>
        <v/>
      </c>
      <c r="V288" s="0" t="str">
        <f aca="false">IF(ISNUMBER($O288),IF($O288&gt;=2,IF(COUNTIFS($D288:$D$2006,$D288,$E288:$E$2006,$E288)=1,ROW(),""),""),"")</f>
        <v/>
      </c>
    </row>
    <row r="289" customFormat="false" ht="15" hidden="false" customHeight="true" outlineLevel="0" collapsed="false">
      <c r="A289" s="13" t="str">
        <f aca="false">IF(AND($B289="",$D289="",$E289="",$F289=""),"",IF(OR($B289="",$D289="",$E289=""),"待补",IF($D289="公共区域","公",IF($D289="商铺","S",SUBSTITUTE($D289,"栋","")))&amp;"-"&amp;$E289&amp;"-"&amp;TEXT(MONTH($B289),"00")&amp;TEXT(DAY($B289),"00")&amp;IF(ISNUMBER($O289),IF($O289&gt;1,"-"&amp;TEXT($O289,"00"),""),"")))</f>
        <v/>
      </c>
      <c r="B289" s="14"/>
      <c r="C289" s="10"/>
      <c r="D289" s="10"/>
      <c r="E289" s="10"/>
      <c r="F289" s="16"/>
      <c r="G289" s="10"/>
      <c r="H289" s="10"/>
      <c r="I289" s="10"/>
      <c r="J289" s="10"/>
      <c r="K289" s="10"/>
      <c r="L289" s="10"/>
      <c r="M289" s="14"/>
      <c r="N289" s="17" t="str">
        <f aca="false">IF($B289="","",IF($L289="已完成",IF($M289="","",$M289-$B289),IF(设置!$B$6&lt;$B289,"",IF((设置!$B$6-$B289)&gt;=设置!$B$5,"超期"&amp;(设置!$B$6-$B289)&amp;"天","已等"&amp;(设置!$B$6-$B289)&amp;"天"))))</f>
        <v/>
      </c>
      <c r="O289" s="18" t="str">
        <f aca="false">IF(OR($D289="",$E289=""),"",COUNTIFS($D$7:$D289,$D289,$E$7:$E289,$E289))</f>
        <v/>
      </c>
      <c r="P289" s="16"/>
      <c r="Q289" s="19"/>
      <c r="R289" s="10"/>
      <c r="S289" s="16"/>
      <c r="T289" s="0" t="str">
        <f aca="false">IF(OR($D289="",单元查询!$B$3=""),"",IF($D289&lt;&gt;单元查询!$B$3,"",IF(OR(单元查询!$D$3="",$E289&amp;""=单元查询!$D$3&amp;""),IF(ISNUMBER($B289),$B289*10000,0)+ROW(),"")))</f>
        <v/>
      </c>
      <c r="U289" s="0" t="str">
        <f aca="false">IF(OR($B289="",$L289="已完成"),"",IF(ISNUMBER($B289),IF(设置!$B$6&lt;$B289,"",(设置!$B$6-$B289)*100000+ROW()),""))</f>
        <v/>
      </c>
      <c r="V289" s="0" t="str">
        <f aca="false">IF(ISNUMBER($O289),IF($O289&gt;=2,IF(COUNTIFS($D289:$D$2006,$D289,$E289:$E$2006,$E289)=1,ROW(),""),""),"")</f>
        <v/>
      </c>
    </row>
    <row r="290" customFormat="false" ht="15" hidden="false" customHeight="true" outlineLevel="0" collapsed="false">
      <c r="A290" s="13" t="str">
        <f aca="false">IF(AND($B290="",$D290="",$E290="",$F290=""),"",IF(OR($B290="",$D290="",$E290=""),"待补",IF($D290="公共区域","公",IF($D290="商铺","S",SUBSTITUTE($D290,"栋","")))&amp;"-"&amp;$E290&amp;"-"&amp;TEXT(MONTH($B290),"00")&amp;TEXT(DAY($B290),"00")&amp;IF(ISNUMBER($O290),IF($O290&gt;1,"-"&amp;TEXT($O290,"00"),""),"")))</f>
        <v/>
      </c>
      <c r="B290" s="14"/>
      <c r="C290" s="10"/>
      <c r="D290" s="10"/>
      <c r="E290" s="10"/>
      <c r="F290" s="16"/>
      <c r="G290" s="10"/>
      <c r="H290" s="10"/>
      <c r="I290" s="10"/>
      <c r="J290" s="10"/>
      <c r="K290" s="10"/>
      <c r="L290" s="10"/>
      <c r="M290" s="14"/>
      <c r="N290" s="17" t="str">
        <f aca="false">IF($B290="","",IF($L290="已完成",IF($M290="","",$M290-$B290),IF(设置!$B$6&lt;$B290,"",IF((设置!$B$6-$B290)&gt;=设置!$B$5,"超期"&amp;(设置!$B$6-$B290)&amp;"天","已等"&amp;(设置!$B$6-$B290)&amp;"天"))))</f>
        <v/>
      </c>
      <c r="O290" s="18" t="str">
        <f aca="false">IF(OR($D290="",$E290=""),"",COUNTIFS($D$7:$D290,$D290,$E$7:$E290,$E290))</f>
        <v/>
      </c>
      <c r="P290" s="16"/>
      <c r="Q290" s="19"/>
      <c r="R290" s="10"/>
      <c r="S290" s="16"/>
      <c r="T290" s="0" t="str">
        <f aca="false">IF(OR($D290="",单元查询!$B$3=""),"",IF($D290&lt;&gt;单元查询!$B$3,"",IF(OR(单元查询!$D$3="",$E290&amp;""=单元查询!$D$3&amp;""),IF(ISNUMBER($B290),$B290*10000,0)+ROW(),"")))</f>
        <v/>
      </c>
      <c r="U290" s="0" t="str">
        <f aca="false">IF(OR($B290="",$L290="已完成"),"",IF(ISNUMBER($B290),IF(设置!$B$6&lt;$B290,"",(设置!$B$6-$B290)*100000+ROW()),""))</f>
        <v/>
      </c>
      <c r="V290" s="0" t="str">
        <f aca="false">IF(ISNUMBER($O290),IF($O290&gt;=2,IF(COUNTIFS($D290:$D$2006,$D290,$E290:$E$2006,$E290)=1,ROW(),""),""),"")</f>
        <v/>
      </c>
    </row>
    <row r="291" customFormat="false" ht="15" hidden="false" customHeight="true" outlineLevel="0" collapsed="false">
      <c r="A291" s="13" t="str">
        <f aca="false">IF(AND($B291="",$D291="",$E291="",$F291=""),"",IF(OR($B291="",$D291="",$E291=""),"待补",IF($D291="公共区域","公",IF($D291="商铺","S",SUBSTITUTE($D291,"栋","")))&amp;"-"&amp;$E291&amp;"-"&amp;TEXT(MONTH($B291),"00")&amp;TEXT(DAY($B291),"00")&amp;IF(ISNUMBER($O291),IF($O291&gt;1,"-"&amp;TEXT($O291,"00"),""),"")))</f>
        <v/>
      </c>
      <c r="B291" s="14"/>
      <c r="C291" s="10"/>
      <c r="D291" s="10"/>
      <c r="E291" s="10"/>
      <c r="F291" s="16"/>
      <c r="G291" s="10"/>
      <c r="H291" s="10"/>
      <c r="I291" s="10"/>
      <c r="J291" s="10"/>
      <c r="K291" s="10"/>
      <c r="L291" s="10"/>
      <c r="M291" s="14"/>
      <c r="N291" s="17" t="str">
        <f aca="false">IF($B291="","",IF($L291="已完成",IF($M291="","",$M291-$B291),IF(设置!$B$6&lt;$B291,"",IF((设置!$B$6-$B291)&gt;=设置!$B$5,"超期"&amp;(设置!$B$6-$B291)&amp;"天","已等"&amp;(设置!$B$6-$B291)&amp;"天"))))</f>
        <v/>
      </c>
      <c r="O291" s="18" t="str">
        <f aca="false">IF(OR($D291="",$E291=""),"",COUNTIFS($D$7:$D291,$D291,$E$7:$E291,$E291))</f>
        <v/>
      </c>
      <c r="P291" s="16"/>
      <c r="Q291" s="19"/>
      <c r="R291" s="10"/>
      <c r="S291" s="16"/>
      <c r="T291" s="0" t="str">
        <f aca="false">IF(OR($D291="",单元查询!$B$3=""),"",IF($D291&lt;&gt;单元查询!$B$3,"",IF(OR(单元查询!$D$3="",$E291&amp;""=单元查询!$D$3&amp;""),IF(ISNUMBER($B291),$B291*10000,0)+ROW(),"")))</f>
        <v/>
      </c>
      <c r="U291" s="0" t="str">
        <f aca="false">IF(OR($B291="",$L291="已完成"),"",IF(ISNUMBER($B291),IF(设置!$B$6&lt;$B291,"",(设置!$B$6-$B291)*100000+ROW()),""))</f>
        <v/>
      </c>
      <c r="V291" s="0" t="str">
        <f aca="false">IF(ISNUMBER($O291),IF($O291&gt;=2,IF(COUNTIFS($D291:$D$2006,$D291,$E291:$E$2006,$E291)=1,ROW(),""),""),"")</f>
        <v/>
      </c>
    </row>
    <row r="292" customFormat="false" ht="15" hidden="false" customHeight="true" outlineLevel="0" collapsed="false">
      <c r="A292" s="13" t="str">
        <f aca="false">IF(AND($B292="",$D292="",$E292="",$F292=""),"",IF(OR($B292="",$D292="",$E292=""),"待补",IF($D292="公共区域","公",IF($D292="商铺","S",SUBSTITUTE($D292,"栋","")))&amp;"-"&amp;$E292&amp;"-"&amp;TEXT(MONTH($B292),"00")&amp;TEXT(DAY($B292),"00")&amp;IF(ISNUMBER($O292),IF($O292&gt;1,"-"&amp;TEXT($O292,"00"),""),"")))</f>
        <v/>
      </c>
      <c r="B292" s="14"/>
      <c r="C292" s="10"/>
      <c r="D292" s="10"/>
      <c r="E292" s="10"/>
      <c r="F292" s="16"/>
      <c r="G292" s="10"/>
      <c r="H292" s="10"/>
      <c r="I292" s="10"/>
      <c r="J292" s="10"/>
      <c r="K292" s="10"/>
      <c r="L292" s="10"/>
      <c r="M292" s="14"/>
      <c r="N292" s="17" t="str">
        <f aca="false">IF($B292="","",IF($L292="已完成",IF($M292="","",$M292-$B292),IF(设置!$B$6&lt;$B292,"",IF((设置!$B$6-$B292)&gt;=设置!$B$5,"超期"&amp;(设置!$B$6-$B292)&amp;"天","已等"&amp;(设置!$B$6-$B292)&amp;"天"))))</f>
        <v/>
      </c>
      <c r="O292" s="18" t="str">
        <f aca="false">IF(OR($D292="",$E292=""),"",COUNTIFS($D$7:$D292,$D292,$E$7:$E292,$E292))</f>
        <v/>
      </c>
      <c r="P292" s="16"/>
      <c r="Q292" s="19"/>
      <c r="R292" s="10"/>
      <c r="S292" s="16"/>
      <c r="T292" s="0" t="str">
        <f aca="false">IF(OR($D292="",单元查询!$B$3=""),"",IF($D292&lt;&gt;单元查询!$B$3,"",IF(OR(单元查询!$D$3="",$E292&amp;""=单元查询!$D$3&amp;""),IF(ISNUMBER($B292),$B292*10000,0)+ROW(),"")))</f>
        <v/>
      </c>
      <c r="U292" s="0" t="str">
        <f aca="false">IF(OR($B292="",$L292="已完成"),"",IF(ISNUMBER($B292),IF(设置!$B$6&lt;$B292,"",(设置!$B$6-$B292)*100000+ROW()),""))</f>
        <v/>
      </c>
      <c r="V292" s="0" t="str">
        <f aca="false">IF(ISNUMBER($O292),IF($O292&gt;=2,IF(COUNTIFS($D292:$D$2006,$D292,$E292:$E$2006,$E292)=1,ROW(),""),""),"")</f>
        <v/>
      </c>
    </row>
    <row r="293" customFormat="false" ht="15" hidden="false" customHeight="true" outlineLevel="0" collapsed="false">
      <c r="A293" s="13" t="str">
        <f aca="false">IF(AND($B293="",$D293="",$E293="",$F293=""),"",IF(OR($B293="",$D293="",$E293=""),"待补",IF($D293="公共区域","公",IF($D293="商铺","S",SUBSTITUTE($D293,"栋","")))&amp;"-"&amp;$E293&amp;"-"&amp;TEXT(MONTH($B293),"00")&amp;TEXT(DAY($B293),"00")&amp;IF(ISNUMBER($O293),IF($O293&gt;1,"-"&amp;TEXT($O293,"00"),""),"")))</f>
        <v/>
      </c>
      <c r="B293" s="14"/>
      <c r="C293" s="10"/>
      <c r="D293" s="10"/>
      <c r="E293" s="10"/>
      <c r="F293" s="16"/>
      <c r="G293" s="10"/>
      <c r="H293" s="10"/>
      <c r="I293" s="10"/>
      <c r="J293" s="10"/>
      <c r="K293" s="10"/>
      <c r="L293" s="10"/>
      <c r="M293" s="14"/>
      <c r="N293" s="17" t="str">
        <f aca="false">IF($B293="","",IF($L293="已完成",IF($M293="","",$M293-$B293),IF(设置!$B$6&lt;$B293,"",IF((设置!$B$6-$B293)&gt;=设置!$B$5,"超期"&amp;(设置!$B$6-$B293)&amp;"天","已等"&amp;(设置!$B$6-$B293)&amp;"天"))))</f>
        <v/>
      </c>
      <c r="O293" s="18" t="str">
        <f aca="false">IF(OR($D293="",$E293=""),"",COUNTIFS($D$7:$D293,$D293,$E$7:$E293,$E293))</f>
        <v/>
      </c>
      <c r="P293" s="16"/>
      <c r="Q293" s="19"/>
      <c r="R293" s="10"/>
      <c r="S293" s="16"/>
      <c r="T293" s="0" t="str">
        <f aca="false">IF(OR($D293="",单元查询!$B$3=""),"",IF($D293&lt;&gt;单元查询!$B$3,"",IF(OR(单元查询!$D$3="",$E293&amp;""=单元查询!$D$3&amp;""),IF(ISNUMBER($B293),$B293*10000,0)+ROW(),"")))</f>
        <v/>
      </c>
      <c r="U293" s="0" t="str">
        <f aca="false">IF(OR($B293="",$L293="已完成"),"",IF(ISNUMBER($B293),IF(设置!$B$6&lt;$B293,"",(设置!$B$6-$B293)*100000+ROW()),""))</f>
        <v/>
      </c>
      <c r="V293" s="0" t="str">
        <f aca="false">IF(ISNUMBER($O293),IF($O293&gt;=2,IF(COUNTIFS($D293:$D$2006,$D293,$E293:$E$2006,$E293)=1,ROW(),""),""),"")</f>
        <v/>
      </c>
    </row>
    <row r="294" customFormat="false" ht="15" hidden="false" customHeight="true" outlineLevel="0" collapsed="false">
      <c r="A294" s="13" t="str">
        <f aca="false">IF(AND($B294="",$D294="",$E294="",$F294=""),"",IF(OR($B294="",$D294="",$E294=""),"待补",IF($D294="公共区域","公",IF($D294="商铺","S",SUBSTITUTE($D294,"栋","")))&amp;"-"&amp;$E294&amp;"-"&amp;TEXT(MONTH($B294),"00")&amp;TEXT(DAY($B294),"00")&amp;IF(ISNUMBER($O294),IF($O294&gt;1,"-"&amp;TEXT($O294,"00"),""),"")))</f>
        <v/>
      </c>
      <c r="B294" s="14"/>
      <c r="C294" s="10"/>
      <c r="D294" s="10"/>
      <c r="E294" s="10"/>
      <c r="F294" s="16"/>
      <c r="G294" s="10"/>
      <c r="H294" s="10"/>
      <c r="I294" s="10"/>
      <c r="J294" s="10"/>
      <c r="K294" s="10"/>
      <c r="L294" s="10"/>
      <c r="M294" s="14"/>
      <c r="N294" s="17" t="str">
        <f aca="false">IF($B294="","",IF($L294="已完成",IF($M294="","",$M294-$B294),IF(设置!$B$6&lt;$B294,"",IF((设置!$B$6-$B294)&gt;=设置!$B$5,"超期"&amp;(设置!$B$6-$B294)&amp;"天","已等"&amp;(设置!$B$6-$B294)&amp;"天"))))</f>
        <v/>
      </c>
      <c r="O294" s="18" t="str">
        <f aca="false">IF(OR($D294="",$E294=""),"",COUNTIFS($D$7:$D294,$D294,$E$7:$E294,$E294))</f>
        <v/>
      </c>
      <c r="P294" s="16"/>
      <c r="Q294" s="19"/>
      <c r="R294" s="10"/>
      <c r="S294" s="16"/>
      <c r="T294" s="0" t="str">
        <f aca="false">IF(OR($D294="",单元查询!$B$3=""),"",IF($D294&lt;&gt;单元查询!$B$3,"",IF(OR(单元查询!$D$3="",$E294&amp;""=单元查询!$D$3&amp;""),IF(ISNUMBER($B294),$B294*10000,0)+ROW(),"")))</f>
        <v/>
      </c>
      <c r="U294" s="0" t="str">
        <f aca="false">IF(OR($B294="",$L294="已完成"),"",IF(ISNUMBER($B294),IF(设置!$B$6&lt;$B294,"",(设置!$B$6-$B294)*100000+ROW()),""))</f>
        <v/>
      </c>
      <c r="V294" s="0" t="str">
        <f aca="false">IF(ISNUMBER($O294),IF($O294&gt;=2,IF(COUNTIFS($D294:$D$2006,$D294,$E294:$E$2006,$E294)=1,ROW(),""),""),"")</f>
        <v/>
      </c>
    </row>
    <row r="295" customFormat="false" ht="15" hidden="false" customHeight="true" outlineLevel="0" collapsed="false">
      <c r="A295" s="13" t="str">
        <f aca="false">IF(AND($B295="",$D295="",$E295="",$F295=""),"",IF(OR($B295="",$D295="",$E295=""),"待补",IF($D295="公共区域","公",IF($D295="商铺","S",SUBSTITUTE($D295,"栋","")))&amp;"-"&amp;$E295&amp;"-"&amp;TEXT(MONTH($B295),"00")&amp;TEXT(DAY($B295),"00")&amp;IF(ISNUMBER($O295),IF($O295&gt;1,"-"&amp;TEXT($O295,"00"),""),"")))</f>
        <v/>
      </c>
      <c r="B295" s="14"/>
      <c r="C295" s="10"/>
      <c r="D295" s="10"/>
      <c r="E295" s="10"/>
      <c r="F295" s="16"/>
      <c r="G295" s="10"/>
      <c r="H295" s="10"/>
      <c r="I295" s="10"/>
      <c r="J295" s="10"/>
      <c r="K295" s="10"/>
      <c r="L295" s="10"/>
      <c r="M295" s="14"/>
      <c r="N295" s="17" t="str">
        <f aca="false">IF($B295="","",IF($L295="已完成",IF($M295="","",$M295-$B295),IF(设置!$B$6&lt;$B295,"",IF((设置!$B$6-$B295)&gt;=设置!$B$5,"超期"&amp;(设置!$B$6-$B295)&amp;"天","已等"&amp;(设置!$B$6-$B295)&amp;"天"))))</f>
        <v/>
      </c>
      <c r="O295" s="18" t="str">
        <f aca="false">IF(OR($D295="",$E295=""),"",COUNTIFS($D$7:$D295,$D295,$E$7:$E295,$E295))</f>
        <v/>
      </c>
      <c r="P295" s="16"/>
      <c r="Q295" s="19"/>
      <c r="R295" s="10"/>
      <c r="S295" s="16"/>
      <c r="T295" s="0" t="str">
        <f aca="false">IF(OR($D295="",单元查询!$B$3=""),"",IF($D295&lt;&gt;单元查询!$B$3,"",IF(OR(单元查询!$D$3="",$E295&amp;""=单元查询!$D$3&amp;""),IF(ISNUMBER($B295),$B295*10000,0)+ROW(),"")))</f>
        <v/>
      </c>
      <c r="U295" s="0" t="str">
        <f aca="false">IF(OR($B295="",$L295="已完成"),"",IF(ISNUMBER($B295),IF(设置!$B$6&lt;$B295,"",(设置!$B$6-$B295)*100000+ROW()),""))</f>
        <v/>
      </c>
      <c r="V295" s="0" t="str">
        <f aca="false">IF(ISNUMBER($O295),IF($O295&gt;=2,IF(COUNTIFS($D295:$D$2006,$D295,$E295:$E$2006,$E295)=1,ROW(),""),""),"")</f>
        <v/>
      </c>
    </row>
    <row r="296" customFormat="false" ht="15" hidden="false" customHeight="true" outlineLevel="0" collapsed="false">
      <c r="A296" s="13" t="str">
        <f aca="false">IF(AND($B296="",$D296="",$E296="",$F296=""),"",IF(OR($B296="",$D296="",$E296=""),"待补",IF($D296="公共区域","公",IF($D296="商铺","S",SUBSTITUTE($D296,"栋","")))&amp;"-"&amp;$E296&amp;"-"&amp;TEXT(MONTH($B296),"00")&amp;TEXT(DAY($B296),"00")&amp;IF(ISNUMBER($O296),IF($O296&gt;1,"-"&amp;TEXT($O296,"00"),""),"")))</f>
        <v/>
      </c>
      <c r="B296" s="14"/>
      <c r="C296" s="10"/>
      <c r="D296" s="10"/>
      <c r="E296" s="10"/>
      <c r="F296" s="16"/>
      <c r="G296" s="10"/>
      <c r="H296" s="10"/>
      <c r="I296" s="10"/>
      <c r="J296" s="10"/>
      <c r="K296" s="10"/>
      <c r="L296" s="10"/>
      <c r="M296" s="14"/>
      <c r="N296" s="17" t="str">
        <f aca="false">IF($B296="","",IF($L296="已完成",IF($M296="","",$M296-$B296),IF(设置!$B$6&lt;$B296,"",IF((设置!$B$6-$B296)&gt;=设置!$B$5,"超期"&amp;(设置!$B$6-$B296)&amp;"天","已等"&amp;(设置!$B$6-$B296)&amp;"天"))))</f>
        <v/>
      </c>
      <c r="O296" s="18" t="str">
        <f aca="false">IF(OR($D296="",$E296=""),"",COUNTIFS($D$7:$D296,$D296,$E$7:$E296,$E296))</f>
        <v/>
      </c>
      <c r="P296" s="16"/>
      <c r="Q296" s="19"/>
      <c r="R296" s="10"/>
      <c r="S296" s="16"/>
      <c r="T296" s="0" t="str">
        <f aca="false">IF(OR($D296="",单元查询!$B$3=""),"",IF($D296&lt;&gt;单元查询!$B$3,"",IF(OR(单元查询!$D$3="",$E296&amp;""=单元查询!$D$3&amp;""),IF(ISNUMBER($B296),$B296*10000,0)+ROW(),"")))</f>
        <v/>
      </c>
      <c r="U296" s="0" t="str">
        <f aca="false">IF(OR($B296="",$L296="已完成"),"",IF(ISNUMBER($B296),IF(设置!$B$6&lt;$B296,"",(设置!$B$6-$B296)*100000+ROW()),""))</f>
        <v/>
      </c>
      <c r="V296" s="0" t="str">
        <f aca="false">IF(ISNUMBER($O296),IF($O296&gt;=2,IF(COUNTIFS($D296:$D$2006,$D296,$E296:$E$2006,$E296)=1,ROW(),""),""),"")</f>
        <v/>
      </c>
    </row>
    <row r="297" customFormat="false" ht="15" hidden="false" customHeight="true" outlineLevel="0" collapsed="false">
      <c r="A297" s="13" t="str">
        <f aca="false">IF(AND($B297="",$D297="",$E297="",$F297=""),"",IF(OR($B297="",$D297="",$E297=""),"待补",IF($D297="公共区域","公",IF($D297="商铺","S",SUBSTITUTE($D297,"栋","")))&amp;"-"&amp;$E297&amp;"-"&amp;TEXT(MONTH($B297),"00")&amp;TEXT(DAY($B297),"00")&amp;IF(ISNUMBER($O297),IF($O297&gt;1,"-"&amp;TEXT($O297,"00"),""),"")))</f>
        <v/>
      </c>
      <c r="B297" s="14"/>
      <c r="C297" s="10"/>
      <c r="D297" s="10"/>
      <c r="E297" s="10"/>
      <c r="F297" s="16"/>
      <c r="G297" s="10"/>
      <c r="H297" s="10"/>
      <c r="I297" s="10"/>
      <c r="J297" s="10"/>
      <c r="K297" s="10"/>
      <c r="L297" s="10"/>
      <c r="M297" s="14"/>
      <c r="N297" s="17" t="str">
        <f aca="false">IF($B297="","",IF($L297="已完成",IF($M297="","",$M297-$B297),IF(设置!$B$6&lt;$B297,"",IF((设置!$B$6-$B297)&gt;=设置!$B$5,"超期"&amp;(设置!$B$6-$B297)&amp;"天","已等"&amp;(设置!$B$6-$B297)&amp;"天"))))</f>
        <v/>
      </c>
      <c r="O297" s="18" t="str">
        <f aca="false">IF(OR($D297="",$E297=""),"",COUNTIFS($D$7:$D297,$D297,$E$7:$E297,$E297))</f>
        <v/>
      </c>
      <c r="P297" s="16"/>
      <c r="Q297" s="19"/>
      <c r="R297" s="10"/>
      <c r="S297" s="16"/>
      <c r="T297" s="0" t="str">
        <f aca="false">IF(OR($D297="",单元查询!$B$3=""),"",IF($D297&lt;&gt;单元查询!$B$3,"",IF(OR(单元查询!$D$3="",$E297&amp;""=单元查询!$D$3&amp;""),IF(ISNUMBER($B297),$B297*10000,0)+ROW(),"")))</f>
        <v/>
      </c>
      <c r="U297" s="0" t="str">
        <f aca="false">IF(OR($B297="",$L297="已完成"),"",IF(ISNUMBER($B297),IF(设置!$B$6&lt;$B297,"",(设置!$B$6-$B297)*100000+ROW()),""))</f>
        <v/>
      </c>
      <c r="V297" s="0" t="str">
        <f aca="false">IF(ISNUMBER($O297),IF($O297&gt;=2,IF(COUNTIFS($D297:$D$2006,$D297,$E297:$E$2006,$E297)=1,ROW(),""),""),"")</f>
        <v/>
      </c>
    </row>
    <row r="298" customFormat="false" ht="15" hidden="false" customHeight="true" outlineLevel="0" collapsed="false">
      <c r="A298" s="13" t="str">
        <f aca="false">IF(AND($B298="",$D298="",$E298="",$F298=""),"",IF(OR($B298="",$D298="",$E298=""),"待补",IF($D298="公共区域","公",IF($D298="商铺","S",SUBSTITUTE($D298,"栋","")))&amp;"-"&amp;$E298&amp;"-"&amp;TEXT(MONTH($B298),"00")&amp;TEXT(DAY($B298),"00")&amp;IF(ISNUMBER($O298),IF($O298&gt;1,"-"&amp;TEXT($O298,"00"),""),"")))</f>
        <v/>
      </c>
      <c r="B298" s="14"/>
      <c r="C298" s="10"/>
      <c r="D298" s="10"/>
      <c r="E298" s="10"/>
      <c r="F298" s="16"/>
      <c r="G298" s="10"/>
      <c r="H298" s="10"/>
      <c r="I298" s="10"/>
      <c r="J298" s="10"/>
      <c r="K298" s="10"/>
      <c r="L298" s="10"/>
      <c r="M298" s="14"/>
      <c r="N298" s="17" t="str">
        <f aca="false">IF($B298="","",IF($L298="已完成",IF($M298="","",$M298-$B298),IF(设置!$B$6&lt;$B298,"",IF((设置!$B$6-$B298)&gt;=设置!$B$5,"超期"&amp;(设置!$B$6-$B298)&amp;"天","已等"&amp;(设置!$B$6-$B298)&amp;"天"))))</f>
        <v/>
      </c>
      <c r="O298" s="18" t="str">
        <f aca="false">IF(OR($D298="",$E298=""),"",COUNTIFS($D$7:$D298,$D298,$E$7:$E298,$E298))</f>
        <v/>
      </c>
      <c r="P298" s="16"/>
      <c r="Q298" s="19"/>
      <c r="R298" s="10"/>
      <c r="S298" s="16"/>
      <c r="T298" s="0" t="str">
        <f aca="false">IF(OR($D298="",单元查询!$B$3=""),"",IF($D298&lt;&gt;单元查询!$B$3,"",IF(OR(单元查询!$D$3="",$E298&amp;""=单元查询!$D$3&amp;""),IF(ISNUMBER($B298),$B298*10000,0)+ROW(),"")))</f>
        <v/>
      </c>
      <c r="U298" s="0" t="str">
        <f aca="false">IF(OR($B298="",$L298="已完成"),"",IF(ISNUMBER($B298),IF(设置!$B$6&lt;$B298,"",(设置!$B$6-$B298)*100000+ROW()),""))</f>
        <v/>
      </c>
      <c r="V298" s="0" t="str">
        <f aca="false">IF(ISNUMBER($O298),IF($O298&gt;=2,IF(COUNTIFS($D298:$D$2006,$D298,$E298:$E$2006,$E298)=1,ROW(),""),""),"")</f>
        <v/>
      </c>
    </row>
    <row r="299" customFormat="false" ht="15" hidden="false" customHeight="true" outlineLevel="0" collapsed="false">
      <c r="A299" s="13" t="str">
        <f aca="false">IF(AND($B299="",$D299="",$E299="",$F299=""),"",IF(OR($B299="",$D299="",$E299=""),"待补",IF($D299="公共区域","公",IF($D299="商铺","S",SUBSTITUTE($D299,"栋","")))&amp;"-"&amp;$E299&amp;"-"&amp;TEXT(MONTH($B299),"00")&amp;TEXT(DAY($B299),"00")&amp;IF(ISNUMBER($O299),IF($O299&gt;1,"-"&amp;TEXT($O299,"00"),""),"")))</f>
        <v/>
      </c>
      <c r="B299" s="14"/>
      <c r="C299" s="10"/>
      <c r="D299" s="10"/>
      <c r="E299" s="10"/>
      <c r="F299" s="16"/>
      <c r="G299" s="10"/>
      <c r="H299" s="10"/>
      <c r="I299" s="10"/>
      <c r="J299" s="10"/>
      <c r="K299" s="10"/>
      <c r="L299" s="10"/>
      <c r="M299" s="14"/>
      <c r="N299" s="17" t="str">
        <f aca="false">IF($B299="","",IF($L299="已完成",IF($M299="","",$M299-$B299),IF(设置!$B$6&lt;$B299,"",IF((设置!$B$6-$B299)&gt;=设置!$B$5,"超期"&amp;(设置!$B$6-$B299)&amp;"天","已等"&amp;(设置!$B$6-$B299)&amp;"天"))))</f>
        <v/>
      </c>
      <c r="O299" s="18" t="str">
        <f aca="false">IF(OR($D299="",$E299=""),"",COUNTIFS($D$7:$D299,$D299,$E$7:$E299,$E299))</f>
        <v/>
      </c>
      <c r="P299" s="16"/>
      <c r="Q299" s="19"/>
      <c r="R299" s="10"/>
      <c r="S299" s="16"/>
      <c r="T299" s="0" t="str">
        <f aca="false">IF(OR($D299="",单元查询!$B$3=""),"",IF($D299&lt;&gt;单元查询!$B$3,"",IF(OR(单元查询!$D$3="",$E299&amp;""=单元查询!$D$3&amp;""),IF(ISNUMBER($B299),$B299*10000,0)+ROW(),"")))</f>
        <v/>
      </c>
      <c r="U299" s="0" t="str">
        <f aca="false">IF(OR($B299="",$L299="已完成"),"",IF(ISNUMBER($B299),IF(设置!$B$6&lt;$B299,"",(设置!$B$6-$B299)*100000+ROW()),""))</f>
        <v/>
      </c>
      <c r="V299" s="0" t="str">
        <f aca="false">IF(ISNUMBER($O299),IF($O299&gt;=2,IF(COUNTIFS($D299:$D$2006,$D299,$E299:$E$2006,$E299)=1,ROW(),""),""),"")</f>
        <v/>
      </c>
    </row>
    <row r="300" customFormat="false" ht="15" hidden="false" customHeight="true" outlineLevel="0" collapsed="false">
      <c r="A300" s="13" t="str">
        <f aca="false">IF(AND($B300="",$D300="",$E300="",$F300=""),"",IF(OR($B300="",$D300="",$E300=""),"待补",IF($D300="公共区域","公",IF($D300="商铺","S",SUBSTITUTE($D300,"栋","")))&amp;"-"&amp;$E300&amp;"-"&amp;TEXT(MONTH($B300),"00")&amp;TEXT(DAY($B300),"00")&amp;IF(ISNUMBER($O300),IF($O300&gt;1,"-"&amp;TEXT($O300,"00"),""),"")))</f>
        <v/>
      </c>
      <c r="B300" s="14"/>
      <c r="C300" s="10"/>
      <c r="D300" s="10"/>
      <c r="E300" s="10"/>
      <c r="F300" s="16"/>
      <c r="G300" s="10"/>
      <c r="H300" s="10"/>
      <c r="I300" s="10"/>
      <c r="J300" s="10"/>
      <c r="K300" s="10"/>
      <c r="L300" s="10"/>
      <c r="M300" s="14"/>
      <c r="N300" s="17" t="str">
        <f aca="false">IF($B300="","",IF($L300="已完成",IF($M300="","",$M300-$B300),IF(设置!$B$6&lt;$B300,"",IF((设置!$B$6-$B300)&gt;=设置!$B$5,"超期"&amp;(设置!$B$6-$B300)&amp;"天","已等"&amp;(设置!$B$6-$B300)&amp;"天"))))</f>
        <v/>
      </c>
      <c r="O300" s="18" t="str">
        <f aca="false">IF(OR($D300="",$E300=""),"",COUNTIFS($D$7:$D300,$D300,$E$7:$E300,$E300))</f>
        <v/>
      </c>
      <c r="P300" s="16"/>
      <c r="Q300" s="19"/>
      <c r="R300" s="10"/>
      <c r="S300" s="16"/>
      <c r="T300" s="0" t="str">
        <f aca="false">IF(OR($D300="",单元查询!$B$3=""),"",IF($D300&lt;&gt;单元查询!$B$3,"",IF(OR(单元查询!$D$3="",$E300&amp;""=单元查询!$D$3&amp;""),IF(ISNUMBER($B300),$B300*10000,0)+ROW(),"")))</f>
        <v/>
      </c>
      <c r="U300" s="0" t="str">
        <f aca="false">IF(OR($B300="",$L300="已完成"),"",IF(ISNUMBER($B300),IF(设置!$B$6&lt;$B300,"",(设置!$B$6-$B300)*100000+ROW()),""))</f>
        <v/>
      </c>
      <c r="V300" s="0" t="str">
        <f aca="false">IF(ISNUMBER($O300),IF($O300&gt;=2,IF(COUNTIFS($D300:$D$2006,$D300,$E300:$E$2006,$E300)=1,ROW(),""),""),"")</f>
        <v/>
      </c>
    </row>
    <row r="301" customFormat="false" ht="15" hidden="false" customHeight="true" outlineLevel="0" collapsed="false">
      <c r="A301" s="13" t="str">
        <f aca="false">IF(AND($B301="",$D301="",$E301="",$F301=""),"",IF(OR($B301="",$D301="",$E301=""),"待补",IF($D301="公共区域","公",IF($D301="商铺","S",SUBSTITUTE($D301,"栋","")))&amp;"-"&amp;$E301&amp;"-"&amp;TEXT(MONTH($B301),"00")&amp;TEXT(DAY($B301),"00")&amp;IF(ISNUMBER($O301),IF($O301&gt;1,"-"&amp;TEXT($O301,"00"),""),"")))</f>
        <v/>
      </c>
      <c r="B301" s="14"/>
      <c r="C301" s="10"/>
      <c r="D301" s="10"/>
      <c r="E301" s="10"/>
      <c r="F301" s="16"/>
      <c r="G301" s="10"/>
      <c r="H301" s="10"/>
      <c r="I301" s="10"/>
      <c r="J301" s="10"/>
      <c r="K301" s="10"/>
      <c r="L301" s="10"/>
      <c r="M301" s="14"/>
      <c r="N301" s="17" t="str">
        <f aca="false">IF($B301="","",IF($L301="已完成",IF($M301="","",$M301-$B301),IF(设置!$B$6&lt;$B301,"",IF((设置!$B$6-$B301)&gt;=设置!$B$5,"超期"&amp;(设置!$B$6-$B301)&amp;"天","已等"&amp;(设置!$B$6-$B301)&amp;"天"))))</f>
        <v/>
      </c>
      <c r="O301" s="18" t="str">
        <f aca="false">IF(OR($D301="",$E301=""),"",COUNTIFS($D$7:$D301,$D301,$E$7:$E301,$E301))</f>
        <v/>
      </c>
      <c r="P301" s="16"/>
      <c r="Q301" s="19"/>
      <c r="R301" s="10"/>
      <c r="S301" s="16"/>
      <c r="T301" s="0" t="str">
        <f aca="false">IF(OR($D301="",单元查询!$B$3=""),"",IF($D301&lt;&gt;单元查询!$B$3,"",IF(OR(单元查询!$D$3="",$E301&amp;""=单元查询!$D$3&amp;""),IF(ISNUMBER($B301),$B301*10000,0)+ROW(),"")))</f>
        <v/>
      </c>
      <c r="U301" s="0" t="str">
        <f aca="false">IF(OR($B301="",$L301="已完成"),"",IF(ISNUMBER($B301),IF(设置!$B$6&lt;$B301,"",(设置!$B$6-$B301)*100000+ROW()),""))</f>
        <v/>
      </c>
      <c r="V301" s="0" t="str">
        <f aca="false">IF(ISNUMBER($O301),IF($O301&gt;=2,IF(COUNTIFS($D301:$D$2006,$D301,$E301:$E$2006,$E301)=1,ROW(),""),""),"")</f>
        <v/>
      </c>
    </row>
    <row r="302" customFormat="false" ht="15" hidden="false" customHeight="true" outlineLevel="0" collapsed="false">
      <c r="A302" s="13" t="str">
        <f aca="false">IF(AND($B302="",$D302="",$E302="",$F302=""),"",IF(OR($B302="",$D302="",$E302=""),"待补",IF($D302="公共区域","公",IF($D302="商铺","S",SUBSTITUTE($D302,"栋","")))&amp;"-"&amp;$E302&amp;"-"&amp;TEXT(MONTH($B302),"00")&amp;TEXT(DAY($B302),"00")&amp;IF(ISNUMBER($O302),IF($O302&gt;1,"-"&amp;TEXT($O302,"00"),""),"")))</f>
        <v/>
      </c>
      <c r="B302" s="14"/>
      <c r="C302" s="10"/>
      <c r="D302" s="10"/>
      <c r="E302" s="10"/>
      <c r="F302" s="16"/>
      <c r="G302" s="10"/>
      <c r="H302" s="10"/>
      <c r="I302" s="10"/>
      <c r="J302" s="10"/>
      <c r="K302" s="10"/>
      <c r="L302" s="10"/>
      <c r="M302" s="14"/>
      <c r="N302" s="17" t="str">
        <f aca="false">IF($B302="","",IF($L302="已完成",IF($M302="","",$M302-$B302),IF(设置!$B$6&lt;$B302,"",IF((设置!$B$6-$B302)&gt;=设置!$B$5,"超期"&amp;(设置!$B$6-$B302)&amp;"天","已等"&amp;(设置!$B$6-$B302)&amp;"天"))))</f>
        <v/>
      </c>
      <c r="O302" s="18" t="str">
        <f aca="false">IF(OR($D302="",$E302=""),"",COUNTIFS($D$7:$D302,$D302,$E$7:$E302,$E302))</f>
        <v/>
      </c>
      <c r="P302" s="16"/>
      <c r="Q302" s="19"/>
      <c r="R302" s="10"/>
      <c r="S302" s="16"/>
      <c r="T302" s="0" t="str">
        <f aca="false">IF(OR($D302="",单元查询!$B$3=""),"",IF($D302&lt;&gt;单元查询!$B$3,"",IF(OR(单元查询!$D$3="",$E302&amp;""=单元查询!$D$3&amp;""),IF(ISNUMBER($B302),$B302*10000,0)+ROW(),"")))</f>
        <v/>
      </c>
      <c r="U302" s="0" t="str">
        <f aca="false">IF(OR($B302="",$L302="已完成"),"",IF(ISNUMBER($B302),IF(设置!$B$6&lt;$B302,"",(设置!$B$6-$B302)*100000+ROW()),""))</f>
        <v/>
      </c>
      <c r="V302" s="0" t="str">
        <f aca="false">IF(ISNUMBER($O302),IF($O302&gt;=2,IF(COUNTIFS($D302:$D$2006,$D302,$E302:$E$2006,$E302)=1,ROW(),""),""),"")</f>
        <v/>
      </c>
    </row>
    <row r="303" customFormat="false" ht="15" hidden="false" customHeight="true" outlineLevel="0" collapsed="false">
      <c r="A303" s="13" t="str">
        <f aca="false">IF(AND($B303="",$D303="",$E303="",$F303=""),"",IF(OR($B303="",$D303="",$E303=""),"待补",IF($D303="公共区域","公",IF($D303="商铺","S",SUBSTITUTE($D303,"栋","")))&amp;"-"&amp;$E303&amp;"-"&amp;TEXT(MONTH($B303),"00")&amp;TEXT(DAY($B303),"00")&amp;IF(ISNUMBER($O303),IF($O303&gt;1,"-"&amp;TEXT($O303,"00"),""),"")))</f>
        <v/>
      </c>
      <c r="B303" s="14"/>
      <c r="C303" s="10"/>
      <c r="D303" s="10"/>
      <c r="E303" s="10"/>
      <c r="F303" s="16"/>
      <c r="G303" s="10"/>
      <c r="H303" s="10"/>
      <c r="I303" s="10"/>
      <c r="J303" s="10"/>
      <c r="K303" s="10"/>
      <c r="L303" s="10"/>
      <c r="M303" s="14"/>
      <c r="N303" s="17" t="str">
        <f aca="false">IF($B303="","",IF($L303="已完成",IF($M303="","",$M303-$B303),IF(设置!$B$6&lt;$B303,"",IF((设置!$B$6-$B303)&gt;=设置!$B$5,"超期"&amp;(设置!$B$6-$B303)&amp;"天","已等"&amp;(设置!$B$6-$B303)&amp;"天"))))</f>
        <v/>
      </c>
      <c r="O303" s="18" t="str">
        <f aca="false">IF(OR($D303="",$E303=""),"",COUNTIFS($D$7:$D303,$D303,$E$7:$E303,$E303))</f>
        <v/>
      </c>
      <c r="P303" s="16"/>
      <c r="Q303" s="19"/>
      <c r="R303" s="10"/>
      <c r="S303" s="16"/>
      <c r="T303" s="0" t="str">
        <f aca="false">IF(OR($D303="",单元查询!$B$3=""),"",IF($D303&lt;&gt;单元查询!$B$3,"",IF(OR(单元查询!$D$3="",$E303&amp;""=单元查询!$D$3&amp;""),IF(ISNUMBER($B303),$B303*10000,0)+ROW(),"")))</f>
        <v/>
      </c>
      <c r="U303" s="0" t="str">
        <f aca="false">IF(OR($B303="",$L303="已完成"),"",IF(ISNUMBER($B303),IF(设置!$B$6&lt;$B303,"",(设置!$B$6-$B303)*100000+ROW()),""))</f>
        <v/>
      </c>
      <c r="V303" s="0" t="str">
        <f aca="false">IF(ISNUMBER($O303),IF($O303&gt;=2,IF(COUNTIFS($D303:$D$2006,$D303,$E303:$E$2006,$E303)=1,ROW(),""),""),"")</f>
        <v/>
      </c>
    </row>
    <row r="304" customFormat="false" ht="15" hidden="false" customHeight="true" outlineLevel="0" collapsed="false">
      <c r="A304" s="13" t="str">
        <f aca="false">IF(AND($B304="",$D304="",$E304="",$F304=""),"",IF(OR($B304="",$D304="",$E304=""),"待补",IF($D304="公共区域","公",IF($D304="商铺","S",SUBSTITUTE($D304,"栋","")))&amp;"-"&amp;$E304&amp;"-"&amp;TEXT(MONTH($B304),"00")&amp;TEXT(DAY($B304),"00")&amp;IF(ISNUMBER($O304),IF($O304&gt;1,"-"&amp;TEXT($O304,"00"),""),"")))</f>
        <v/>
      </c>
      <c r="B304" s="14"/>
      <c r="C304" s="10"/>
      <c r="D304" s="10"/>
      <c r="E304" s="10"/>
      <c r="F304" s="16"/>
      <c r="G304" s="10"/>
      <c r="H304" s="10"/>
      <c r="I304" s="10"/>
      <c r="J304" s="10"/>
      <c r="K304" s="10"/>
      <c r="L304" s="10"/>
      <c r="M304" s="14"/>
      <c r="N304" s="17" t="str">
        <f aca="false">IF($B304="","",IF($L304="已完成",IF($M304="","",$M304-$B304),IF(设置!$B$6&lt;$B304,"",IF((设置!$B$6-$B304)&gt;=设置!$B$5,"超期"&amp;(设置!$B$6-$B304)&amp;"天","已等"&amp;(设置!$B$6-$B304)&amp;"天"))))</f>
        <v/>
      </c>
      <c r="O304" s="18" t="str">
        <f aca="false">IF(OR($D304="",$E304=""),"",COUNTIFS($D$7:$D304,$D304,$E$7:$E304,$E304))</f>
        <v/>
      </c>
      <c r="P304" s="16"/>
      <c r="Q304" s="19"/>
      <c r="R304" s="10"/>
      <c r="S304" s="16"/>
      <c r="T304" s="0" t="str">
        <f aca="false">IF(OR($D304="",单元查询!$B$3=""),"",IF($D304&lt;&gt;单元查询!$B$3,"",IF(OR(单元查询!$D$3="",$E304&amp;""=单元查询!$D$3&amp;""),IF(ISNUMBER($B304),$B304*10000,0)+ROW(),"")))</f>
        <v/>
      </c>
      <c r="U304" s="0" t="str">
        <f aca="false">IF(OR($B304="",$L304="已完成"),"",IF(ISNUMBER($B304),IF(设置!$B$6&lt;$B304,"",(设置!$B$6-$B304)*100000+ROW()),""))</f>
        <v/>
      </c>
      <c r="V304" s="0" t="str">
        <f aca="false">IF(ISNUMBER($O304),IF($O304&gt;=2,IF(COUNTIFS($D304:$D$2006,$D304,$E304:$E$2006,$E304)=1,ROW(),""),""),"")</f>
        <v/>
      </c>
    </row>
    <row r="305" customFormat="false" ht="15" hidden="false" customHeight="true" outlineLevel="0" collapsed="false">
      <c r="A305" s="13" t="str">
        <f aca="false">IF(AND($B305="",$D305="",$E305="",$F305=""),"",IF(OR($B305="",$D305="",$E305=""),"待补",IF($D305="公共区域","公",IF($D305="商铺","S",SUBSTITUTE($D305,"栋","")))&amp;"-"&amp;$E305&amp;"-"&amp;TEXT(MONTH($B305),"00")&amp;TEXT(DAY($B305),"00")&amp;IF(ISNUMBER($O305),IF($O305&gt;1,"-"&amp;TEXT($O305,"00"),""),"")))</f>
        <v/>
      </c>
      <c r="B305" s="14"/>
      <c r="C305" s="10"/>
      <c r="D305" s="10"/>
      <c r="E305" s="10"/>
      <c r="F305" s="16"/>
      <c r="G305" s="10"/>
      <c r="H305" s="10"/>
      <c r="I305" s="10"/>
      <c r="J305" s="10"/>
      <c r="K305" s="10"/>
      <c r="L305" s="10"/>
      <c r="M305" s="14"/>
      <c r="N305" s="17" t="str">
        <f aca="false">IF($B305="","",IF($L305="已完成",IF($M305="","",$M305-$B305),IF(设置!$B$6&lt;$B305,"",IF((设置!$B$6-$B305)&gt;=设置!$B$5,"超期"&amp;(设置!$B$6-$B305)&amp;"天","已等"&amp;(设置!$B$6-$B305)&amp;"天"))))</f>
        <v/>
      </c>
      <c r="O305" s="18" t="str">
        <f aca="false">IF(OR($D305="",$E305=""),"",COUNTIFS($D$7:$D305,$D305,$E$7:$E305,$E305))</f>
        <v/>
      </c>
      <c r="P305" s="16"/>
      <c r="Q305" s="19"/>
      <c r="R305" s="10"/>
      <c r="S305" s="16"/>
      <c r="T305" s="0" t="str">
        <f aca="false">IF(OR($D305="",单元查询!$B$3=""),"",IF($D305&lt;&gt;单元查询!$B$3,"",IF(OR(单元查询!$D$3="",$E305&amp;""=单元查询!$D$3&amp;""),IF(ISNUMBER($B305),$B305*10000,0)+ROW(),"")))</f>
        <v/>
      </c>
      <c r="U305" s="0" t="str">
        <f aca="false">IF(OR($B305="",$L305="已完成"),"",IF(ISNUMBER($B305),IF(设置!$B$6&lt;$B305,"",(设置!$B$6-$B305)*100000+ROW()),""))</f>
        <v/>
      </c>
      <c r="V305" s="0" t="str">
        <f aca="false">IF(ISNUMBER($O305),IF($O305&gt;=2,IF(COUNTIFS($D305:$D$2006,$D305,$E305:$E$2006,$E305)=1,ROW(),""),""),"")</f>
        <v/>
      </c>
    </row>
    <row r="306" customFormat="false" ht="15" hidden="false" customHeight="true" outlineLevel="0" collapsed="false">
      <c r="A306" s="13" t="str">
        <f aca="false">IF(AND($B306="",$D306="",$E306="",$F306=""),"",IF(OR($B306="",$D306="",$E306=""),"待补",IF($D306="公共区域","公",IF($D306="商铺","S",SUBSTITUTE($D306,"栋","")))&amp;"-"&amp;$E306&amp;"-"&amp;TEXT(MONTH($B306),"00")&amp;TEXT(DAY($B306),"00")&amp;IF(ISNUMBER($O306),IF($O306&gt;1,"-"&amp;TEXT($O306,"00"),""),"")))</f>
        <v/>
      </c>
      <c r="B306" s="14"/>
      <c r="C306" s="10"/>
      <c r="D306" s="10"/>
      <c r="E306" s="10"/>
      <c r="F306" s="16"/>
      <c r="G306" s="10"/>
      <c r="H306" s="10"/>
      <c r="I306" s="10"/>
      <c r="J306" s="10"/>
      <c r="K306" s="10"/>
      <c r="L306" s="10"/>
      <c r="M306" s="14"/>
      <c r="N306" s="17" t="str">
        <f aca="false">IF($B306="","",IF($L306="已完成",IF($M306="","",$M306-$B306),IF(设置!$B$6&lt;$B306,"",IF((设置!$B$6-$B306)&gt;=设置!$B$5,"超期"&amp;(设置!$B$6-$B306)&amp;"天","已等"&amp;(设置!$B$6-$B306)&amp;"天"))))</f>
        <v/>
      </c>
      <c r="O306" s="18" t="str">
        <f aca="false">IF(OR($D306="",$E306=""),"",COUNTIFS($D$7:$D306,$D306,$E$7:$E306,$E306))</f>
        <v/>
      </c>
      <c r="P306" s="16"/>
      <c r="Q306" s="19"/>
      <c r="R306" s="10"/>
      <c r="S306" s="16"/>
      <c r="T306" s="0" t="str">
        <f aca="false">IF(OR($D306="",单元查询!$B$3=""),"",IF($D306&lt;&gt;单元查询!$B$3,"",IF(OR(单元查询!$D$3="",$E306&amp;""=单元查询!$D$3&amp;""),IF(ISNUMBER($B306),$B306*10000,0)+ROW(),"")))</f>
        <v/>
      </c>
      <c r="U306" s="0" t="str">
        <f aca="false">IF(OR($B306="",$L306="已完成"),"",IF(ISNUMBER($B306),IF(设置!$B$6&lt;$B306,"",(设置!$B$6-$B306)*100000+ROW()),""))</f>
        <v/>
      </c>
      <c r="V306" s="0" t="str">
        <f aca="false">IF(ISNUMBER($O306),IF($O306&gt;=2,IF(COUNTIFS($D306:$D$2006,$D306,$E306:$E$2006,$E306)=1,ROW(),""),""),"")</f>
        <v/>
      </c>
    </row>
    <row r="307" customFormat="false" ht="15" hidden="false" customHeight="true" outlineLevel="0" collapsed="false">
      <c r="A307" s="13" t="str">
        <f aca="false">IF(AND($B307="",$D307="",$E307="",$F307=""),"",IF(OR($B307="",$D307="",$E307=""),"待补",IF($D307="公共区域","公",IF($D307="商铺","S",SUBSTITUTE($D307,"栋","")))&amp;"-"&amp;$E307&amp;"-"&amp;TEXT(MONTH($B307),"00")&amp;TEXT(DAY($B307),"00")&amp;IF(ISNUMBER($O307),IF($O307&gt;1,"-"&amp;TEXT($O307,"00"),""),"")))</f>
        <v/>
      </c>
      <c r="B307" s="14"/>
      <c r="C307" s="10"/>
      <c r="D307" s="10"/>
      <c r="E307" s="10"/>
      <c r="F307" s="16"/>
      <c r="G307" s="10"/>
      <c r="H307" s="10"/>
      <c r="I307" s="10"/>
      <c r="J307" s="10"/>
      <c r="K307" s="10"/>
      <c r="L307" s="10"/>
      <c r="M307" s="14"/>
      <c r="N307" s="17" t="str">
        <f aca="false">IF($B307="","",IF($L307="已完成",IF($M307="","",$M307-$B307),IF(设置!$B$6&lt;$B307,"",IF((设置!$B$6-$B307)&gt;=设置!$B$5,"超期"&amp;(设置!$B$6-$B307)&amp;"天","已等"&amp;(设置!$B$6-$B307)&amp;"天"))))</f>
        <v/>
      </c>
      <c r="O307" s="18" t="str">
        <f aca="false">IF(OR($D307="",$E307=""),"",COUNTIFS($D$7:$D307,$D307,$E$7:$E307,$E307))</f>
        <v/>
      </c>
      <c r="P307" s="16"/>
      <c r="Q307" s="19"/>
      <c r="R307" s="10"/>
      <c r="S307" s="16"/>
      <c r="T307" s="0" t="str">
        <f aca="false">IF(OR($D307="",单元查询!$B$3=""),"",IF($D307&lt;&gt;单元查询!$B$3,"",IF(OR(单元查询!$D$3="",$E307&amp;""=单元查询!$D$3&amp;""),IF(ISNUMBER($B307),$B307*10000,0)+ROW(),"")))</f>
        <v/>
      </c>
      <c r="U307" s="0" t="str">
        <f aca="false">IF(OR($B307="",$L307="已完成"),"",IF(ISNUMBER($B307),IF(设置!$B$6&lt;$B307,"",(设置!$B$6-$B307)*100000+ROW()),""))</f>
        <v/>
      </c>
      <c r="V307" s="0" t="str">
        <f aca="false">IF(ISNUMBER($O307),IF($O307&gt;=2,IF(COUNTIFS($D307:$D$2006,$D307,$E307:$E$2006,$E307)=1,ROW(),""),""),"")</f>
        <v/>
      </c>
    </row>
    <row r="308" customFormat="false" ht="15" hidden="false" customHeight="true" outlineLevel="0" collapsed="false">
      <c r="A308" s="13" t="str">
        <f aca="false">IF(AND($B308="",$D308="",$E308="",$F308=""),"",IF(OR($B308="",$D308="",$E308=""),"待补",IF($D308="公共区域","公",IF($D308="商铺","S",SUBSTITUTE($D308,"栋","")))&amp;"-"&amp;$E308&amp;"-"&amp;TEXT(MONTH($B308),"00")&amp;TEXT(DAY($B308),"00")&amp;IF(ISNUMBER($O308),IF($O308&gt;1,"-"&amp;TEXT($O308,"00"),""),"")))</f>
        <v/>
      </c>
      <c r="B308" s="14"/>
      <c r="C308" s="10"/>
      <c r="D308" s="10"/>
      <c r="E308" s="10"/>
      <c r="F308" s="16"/>
      <c r="G308" s="10"/>
      <c r="H308" s="10"/>
      <c r="I308" s="10"/>
      <c r="J308" s="10"/>
      <c r="K308" s="10"/>
      <c r="L308" s="10"/>
      <c r="M308" s="14"/>
      <c r="N308" s="17" t="str">
        <f aca="false">IF($B308="","",IF($L308="已完成",IF($M308="","",$M308-$B308),IF(设置!$B$6&lt;$B308,"",IF((设置!$B$6-$B308)&gt;=设置!$B$5,"超期"&amp;(设置!$B$6-$B308)&amp;"天","已等"&amp;(设置!$B$6-$B308)&amp;"天"))))</f>
        <v/>
      </c>
      <c r="O308" s="18" t="str">
        <f aca="false">IF(OR($D308="",$E308=""),"",COUNTIFS($D$7:$D308,$D308,$E$7:$E308,$E308))</f>
        <v/>
      </c>
      <c r="P308" s="16"/>
      <c r="Q308" s="19"/>
      <c r="R308" s="10"/>
      <c r="S308" s="16"/>
      <c r="T308" s="0" t="str">
        <f aca="false">IF(OR($D308="",单元查询!$B$3=""),"",IF($D308&lt;&gt;单元查询!$B$3,"",IF(OR(单元查询!$D$3="",$E308&amp;""=单元查询!$D$3&amp;""),IF(ISNUMBER($B308),$B308*10000,0)+ROW(),"")))</f>
        <v/>
      </c>
      <c r="U308" s="0" t="str">
        <f aca="false">IF(OR($B308="",$L308="已完成"),"",IF(ISNUMBER($B308),IF(设置!$B$6&lt;$B308,"",(设置!$B$6-$B308)*100000+ROW()),""))</f>
        <v/>
      </c>
      <c r="V308" s="0" t="str">
        <f aca="false">IF(ISNUMBER($O308),IF($O308&gt;=2,IF(COUNTIFS($D308:$D$2006,$D308,$E308:$E$2006,$E308)=1,ROW(),""),""),"")</f>
        <v/>
      </c>
    </row>
    <row r="309" customFormat="false" ht="15" hidden="false" customHeight="true" outlineLevel="0" collapsed="false">
      <c r="A309" s="13" t="str">
        <f aca="false">IF(AND($B309="",$D309="",$E309="",$F309=""),"",IF(OR($B309="",$D309="",$E309=""),"待补",IF($D309="公共区域","公",IF($D309="商铺","S",SUBSTITUTE($D309,"栋","")))&amp;"-"&amp;$E309&amp;"-"&amp;TEXT(MONTH($B309),"00")&amp;TEXT(DAY($B309),"00")&amp;IF(ISNUMBER($O309),IF($O309&gt;1,"-"&amp;TEXT($O309,"00"),""),"")))</f>
        <v/>
      </c>
      <c r="B309" s="14"/>
      <c r="C309" s="10"/>
      <c r="D309" s="10"/>
      <c r="E309" s="10"/>
      <c r="F309" s="16"/>
      <c r="G309" s="10"/>
      <c r="H309" s="10"/>
      <c r="I309" s="10"/>
      <c r="J309" s="10"/>
      <c r="K309" s="10"/>
      <c r="L309" s="10"/>
      <c r="M309" s="14"/>
      <c r="N309" s="17" t="str">
        <f aca="false">IF($B309="","",IF($L309="已完成",IF($M309="","",$M309-$B309),IF(设置!$B$6&lt;$B309,"",IF((设置!$B$6-$B309)&gt;=设置!$B$5,"超期"&amp;(设置!$B$6-$B309)&amp;"天","已等"&amp;(设置!$B$6-$B309)&amp;"天"))))</f>
        <v/>
      </c>
      <c r="O309" s="18" t="str">
        <f aca="false">IF(OR($D309="",$E309=""),"",COUNTIFS($D$7:$D309,$D309,$E$7:$E309,$E309))</f>
        <v/>
      </c>
      <c r="P309" s="16"/>
      <c r="Q309" s="19"/>
      <c r="R309" s="10"/>
      <c r="S309" s="16"/>
      <c r="T309" s="0" t="str">
        <f aca="false">IF(OR($D309="",单元查询!$B$3=""),"",IF($D309&lt;&gt;单元查询!$B$3,"",IF(OR(单元查询!$D$3="",$E309&amp;""=单元查询!$D$3&amp;""),IF(ISNUMBER($B309),$B309*10000,0)+ROW(),"")))</f>
        <v/>
      </c>
      <c r="U309" s="0" t="str">
        <f aca="false">IF(OR($B309="",$L309="已完成"),"",IF(ISNUMBER($B309),IF(设置!$B$6&lt;$B309,"",(设置!$B$6-$B309)*100000+ROW()),""))</f>
        <v/>
      </c>
      <c r="V309" s="0" t="str">
        <f aca="false">IF(ISNUMBER($O309),IF($O309&gt;=2,IF(COUNTIFS($D309:$D$2006,$D309,$E309:$E$2006,$E309)=1,ROW(),""),""),"")</f>
        <v/>
      </c>
    </row>
    <row r="310" customFormat="false" ht="15" hidden="false" customHeight="true" outlineLevel="0" collapsed="false">
      <c r="A310" s="13" t="str">
        <f aca="false">IF(AND($B310="",$D310="",$E310="",$F310=""),"",IF(OR($B310="",$D310="",$E310=""),"待补",IF($D310="公共区域","公",IF($D310="商铺","S",SUBSTITUTE($D310,"栋","")))&amp;"-"&amp;$E310&amp;"-"&amp;TEXT(MONTH($B310),"00")&amp;TEXT(DAY($B310),"00")&amp;IF(ISNUMBER($O310),IF($O310&gt;1,"-"&amp;TEXT($O310,"00"),""),"")))</f>
        <v/>
      </c>
      <c r="B310" s="14"/>
      <c r="C310" s="10"/>
      <c r="D310" s="10"/>
      <c r="E310" s="10"/>
      <c r="F310" s="16"/>
      <c r="G310" s="10"/>
      <c r="H310" s="10"/>
      <c r="I310" s="10"/>
      <c r="J310" s="10"/>
      <c r="K310" s="10"/>
      <c r="L310" s="10"/>
      <c r="M310" s="14"/>
      <c r="N310" s="17" t="str">
        <f aca="false">IF($B310="","",IF($L310="已完成",IF($M310="","",$M310-$B310),IF(设置!$B$6&lt;$B310,"",IF((设置!$B$6-$B310)&gt;=设置!$B$5,"超期"&amp;(设置!$B$6-$B310)&amp;"天","已等"&amp;(设置!$B$6-$B310)&amp;"天"))))</f>
        <v/>
      </c>
      <c r="O310" s="18" t="str">
        <f aca="false">IF(OR($D310="",$E310=""),"",COUNTIFS($D$7:$D310,$D310,$E$7:$E310,$E310))</f>
        <v/>
      </c>
      <c r="P310" s="16"/>
      <c r="Q310" s="19"/>
      <c r="R310" s="10"/>
      <c r="S310" s="16"/>
      <c r="T310" s="0" t="str">
        <f aca="false">IF(OR($D310="",单元查询!$B$3=""),"",IF($D310&lt;&gt;单元查询!$B$3,"",IF(OR(单元查询!$D$3="",$E310&amp;""=单元查询!$D$3&amp;""),IF(ISNUMBER($B310),$B310*10000,0)+ROW(),"")))</f>
        <v/>
      </c>
      <c r="U310" s="0" t="str">
        <f aca="false">IF(OR($B310="",$L310="已完成"),"",IF(ISNUMBER($B310),IF(设置!$B$6&lt;$B310,"",(设置!$B$6-$B310)*100000+ROW()),""))</f>
        <v/>
      </c>
      <c r="V310" s="0" t="str">
        <f aca="false">IF(ISNUMBER($O310),IF($O310&gt;=2,IF(COUNTIFS($D310:$D$2006,$D310,$E310:$E$2006,$E310)=1,ROW(),""),""),"")</f>
        <v/>
      </c>
    </row>
    <row r="311" customFormat="false" ht="15" hidden="false" customHeight="true" outlineLevel="0" collapsed="false">
      <c r="A311" s="13" t="str">
        <f aca="false">IF(AND($B311="",$D311="",$E311="",$F311=""),"",IF(OR($B311="",$D311="",$E311=""),"待补",IF($D311="公共区域","公",IF($D311="商铺","S",SUBSTITUTE($D311,"栋","")))&amp;"-"&amp;$E311&amp;"-"&amp;TEXT(MONTH($B311),"00")&amp;TEXT(DAY($B311),"00")&amp;IF(ISNUMBER($O311),IF($O311&gt;1,"-"&amp;TEXT($O311,"00"),""),"")))</f>
        <v/>
      </c>
      <c r="B311" s="14"/>
      <c r="C311" s="10"/>
      <c r="D311" s="10"/>
      <c r="E311" s="10"/>
      <c r="F311" s="16"/>
      <c r="G311" s="10"/>
      <c r="H311" s="10"/>
      <c r="I311" s="10"/>
      <c r="J311" s="10"/>
      <c r="K311" s="10"/>
      <c r="L311" s="10"/>
      <c r="M311" s="14"/>
      <c r="N311" s="17" t="str">
        <f aca="false">IF($B311="","",IF($L311="已完成",IF($M311="","",$M311-$B311),IF(设置!$B$6&lt;$B311,"",IF((设置!$B$6-$B311)&gt;=设置!$B$5,"超期"&amp;(设置!$B$6-$B311)&amp;"天","已等"&amp;(设置!$B$6-$B311)&amp;"天"))))</f>
        <v/>
      </c>
      <c r="O311" s="18" t="str">
        <f aca="false">IF(OR($D311="",$E311=""),"",COUNTIFS($D$7:$D311,$D311,$E$7:$E311,$E311))</f>
        <v/>
      </c>
      <c r="P311" s="16"/>
      <c r="Q311" s="19"/>
      <c r="R311" s="10"/>
      <c r="S311" s="16"/>
      <c r="T311" s="0" t="str">
        <f aca="false">IF(OR($D311="",单元查询!$B$3=""),"",IF($D311&lt;&gt;单元查询!$B$3,"",IF(OR(单元查询!$D$3="",$E311&amp;""=单元查询!$D$3&amp;""),IF(ISNUMBER($B311),$B311*10000,0)+ROW(),"")))</f>
        <v/>
      </c>
      <c r="U311" s="0" t="str">
        <f aca="false">IF(OR($B311="",$L311="已完成"),"",IF(ISNUMBER($B311),IF(设置!$B$6&lt;$B311,"",(设置!$B$6-$B311)*100000+ROW()),""))</f>
        <v/>
      </c>
      <c r="V311" s="0" t="str">
        <f aca="false">IF(ISNUMBER($O311),IF($O311&gt;=2,IF(COUNTIFS($D311:$D$2006,$D311,$E311:$E$2006,$E311)=1,ROW(),""),""),"")</f>
        <v/>
      </c>
    </row>
    <row r="312" customFormat="false" ht="15" hidden="false" customHeight="true" outlineLevel="0" collapsed="false">
      <c r="A312" s="13" t="str">
        <f aca="false">IF(AND($B312="",$D312="",$E312="",$F312=""),"",IF(OR($B312="",$D312="",$E312=""),"待补",IF($D312="公共区域","公",IF($D312="商铺","S",SUBSTITUTE($D312,"栋","")))&amp;"-"&amp;$E312&amp;"-"&amp;TEXT(MONTH($B312),"00")&amp;TEXT(DAY($B312),"00")&amp;IF(ISNUMBER($O312),IF($O312&gt;1,"-"&amp;TEXT($O312,"00"),""),"")))</f>
        <v/>
      </c>
      <c r="B312" s="14"/>
      <c r="C312" s="10"/>
      <c r="D312" s="10"/>
      <c r="E312" s="10"/>
      <c r="F312" s="16"/>
      <c r="G312" s="10"/>
      <c r="H312" s="10"/>
      <c r="I312" s="10"/>
      <c r="J312" s="10"/>
      <c r="K312" s="10"/>
      <c r="L312" s="10"/>
      <c r="M312" s="14"/>
      <c r="N312" s="17" t="str">
        <f aca="false">IF($B312="","",IF($L312="已完成",IF($M312="","",$M312-$B312),IF(设置!$B$6&lt;$B312,"",IF((设置!$B$6-$B312)&gt;=设置!$B$5,"超期"&amp;(设置!$B$6-$B312)&amp;"天","已等"&amp;(设置!$B$6-$B312)&amp;"天"))))</f>
        <v/>
      </c>
      <c r="O312" s="18" t="str">
        <f aca="false">IF(OR($D312="",$E312=""),"",COUNTIFS($D$7:$D312,$D312,$E$7:$E312,$E312))</f>
        <v/>
      </c>
      <c r="P312" s="16"/>
      <c r="Q312" s="19"/>
      <c r="R312" s="10"/>
      <c r="S312" s="16"/>
      <c r="T312" s="0" t="str">
        <f aca="false">IF(OR($D312="",单元查询!$B$3=""),"",IF($D312&lt;&gt;单元查询!$B$3,"",IF(OR(单元查询!$D$3="",$E312&amp;""=单元查询!$D$3&amp;""),IF(ISNUMBER($B312),$B312*10000,0)+ROW(),"")))</f>
        <v/>
      </c>
      <c r="U312" s="0" t="str">
        <f aca="false">IF(OR($B312="",$L312="已完成"),"",IF(ISNUMBER($B312),IF(设置!$B$6&lt;$B312,"",(设置!$B$6-$B312)*100000+ROW()),""))</f>
        <v/>
      </c>
      <c r="V312" s="0" t="str">
        <f aca="false">IF(ISNUMBER($O312),IF($O312&gt;=2,IF(COUNTIFS($D312:$D$2006,$D312,$E312:$E$2006,$E312)=1,ROW(),""),""),"")</f>
        <v/>
      </c>
    </row>
    <row r="313" customFormat="false" ht="15" hidden="false" customHeight="true" outlineLevel="0" collapsed="false">
      <c r="A313" s="13" t="str">
        <f aca="false">IF(AND($B313="",$D313="",$E313="",$F313=""),"",IF(OR($B313="",$D313="",$E313=""),"待补",IF($D313="公共区域","公",IF($D313="商铺","S",SUBSTITUTE($D313,"栋","")))&amp;"-"&amp;$E313&amp;"-"&amp;TEXT(MONTH($B313),"00")&amp;TEXT(DAY($B313),"00")&amp;IF(ISNUMBER($O313),IF($O313&gt;1,"-"&amp;TEXT($O313,"00"),""),"")))</f>
        <v/>
      </c>
      <c r="B313" s="14"/>
      <c r="C313" s="10"/>
      <c r="D313" s="10"/>
      <c r="E313" s="10"/>
      <c r="F313" s="16"/>
      <c r="G313" s="10"/>
      <c r="H313" s="10"/>
      <c r="I313" s="10"/>
      <c r="J313" s="10"/>
      <c r="K313" s="10"/>
      <c r="L313" s="10"/>
      <c r="M313" s="14"/>
      <c r="N313" s="17" t="str">
        <f aca="false">IF($B313="","",IF($L313="已完成",IF($M313="","",$M313-$B313),IF(设置!$B$6&lt;$B313,"",IF((设置!$B$6-$B313)&gt;=设置!$B$5,"超期"&amp;(设置!$B$6-$B313)&amp;"天","已等"&amp;(设置!$B$6-$B313)&amp;"天"))))</f>
        <v/>
      </c>
      <c r="O313" s="18" t="str">
        <f aca="false">IF(OR($D313="",$E313=""),"",COUNTIFS($D$7:$D313,$D313,$E$7:$E313,$E313))</f>
        <v/>
      </c>
      <c r="P313" s="16"/>
      <c r="Q313" s="19"/>
      <c r="R313" s="10"/>
      <c r="S313" s="16"/>
      <c r="T313" s="0" t="str">
        <f aca="false">IF(OR($D313="",单元查询!$B$3=""),"",IF($D313&lt;&gt;单元查询!$B$3,"",IF(OR(单元查询!$D$3="",$E313&amp;""=单元查询!$D$3&amp;""),IF(ISNUMBER($B313),$B313*10000,0)+ROW(),"")))</f>
        <v/>
      </c>
      <c r="U313" s="0" t="str">
        <f aca="false">IF(OR($B313="",$L313="已完成"),"",IF(ISNUMBER($B313),IF(设置!$B$6&lt;$B313,"",(设置!$B$6-$B313)*100000+ROW()),""))</f>
        <v/>
      </c>
      <c r="V313" s="0" t="str">
        <f aca="false">IF(ISNUMBER($O313),IF($O313&gt;=2,IF(COUNTIFS($D313:$D$2006,$D313,$E313:$E$2006,$E313)=1,ROW(),""),""),"")</f>
        <v/>
      </c>
    </row>
    <row r="314" customFormat="false" ht="15" hidden="false" customHeight="true" outlineLevel="0" collapsed="false">
      <c r="A314" s="13" t="str">
        <f aca="false">IF(AND($B314="",$D314="",$E314="",$F314=""),"",IF(OR($B314="",$D314="",$E314=""),"待补",IF($D314="公共区域","公",IF($D314="商铺","S",SUBSTITUTE($D314,"栋","")))&amp;"-"&amp;$E314&amp;"-"&amp;TEXT(MONTH($B314),"00")&amp;TEXT(DAY($B314),"00")&amp;IF(ISNUMBER($O314),IF($O314&gt;1,"-"&amp;TEXT($O314,"00"),""),"")))</f>
        <v/>
      </c>
      <c r="B314" s="14"/>
      <c r="C314" s="10"/>
      <c r="D314" s="10"/>
      <c r="E314" s="10"/>
      <c r="F314" s="16"/>
      <c r="G314" s="10"/>
      <c r="H314" s="10"/>
      <c r="I314" s="10"/>
      <c r="J314" s="10"/>
      <c r="K314" s="10"/>
      <c r="L314" s="10"/>
      <c r="M314" s="14"/>
      <c r="N314" s="17" t="str">
        <f aca="false">IF($B314="","",IF($L314="已完成",IF($M314="","",$M314-$B314),IF(设置!$B$6&lt;$B314,"",IF((设置!$B$6-$B314)&gt;=设置!$B$5,"超期"&amp;(设置!$B$6-$B314)&amp;"天","已等"&amp;(设置!$B$6-$B314)&amp;"天"))))</f>
        <v/>
      </c>
      <c r="O314" s="18" t="str">
        <f aca="false">IF(OR($D314="",$E314=""),"",COUNTIFS($D$7:$D314,$D314,$E$7:$E314,$E314))</f>
        <v/>
      </c>
      <c r="P314" s="16"/>
      <c r="Q314" s="19"/>
      <c r="R314" s="10"/>
      <c r="S314" s="16"/>
      <c r="T314" s="0" t="str">
        <f aca="false">IF(OR($D314="",单元查询!$B$3=""),"",IF($D314&lt;&gt;单元查询!$B$3,"",IF(OR(单元查询!$D$3="",$E314&amp;""=单元查询!$D$3&amp;""),IF(ISNUMBER($B314),$B314*10000,0)+ROW(),"")))</f>
        <v/>
      </c>
      <c r="U314" s="0" t="str">
        <f aca="false">IF(OR($B314="",$L314="已完成"),"",IF(ISNUMBER($B314),IF(设置!$B$6&lt;$B314,"",(设置!$B$6-$B314)*100000+ROW()),""))</f>
        <v/>
      </c>
      <c r="V314" s="0" t="str">
        <f aca="false">IF(ISNUMBER($O314),IF($O314&gt;=2,IF(COUNTIFS($D314:$D$2006,$D314,$E314:$E$2006,$E314)=1,ROW(),""),""),"")</f>
        <v/>
      </c>
    </row>
    <row r="315" customFormat="false" ht="15" hidden="false" customHeight="true" outlineLevel="0" collapsed="false">
      <c r="A315" s="13" t="str">
        <f aca="false">IF(AND($B315="",$D315="",$E315="",$F315=""),"",IF(OR($B315="",$D315="",$E315=""),"待补",IF($D315="公共区域","公",IF($D315="商铺","S",SUBSTITUTE($D315,"栋","")))&amp;"-"&amp;$E315&amp;"-"&amp;TEXT(MONTH($B315),"00")&amp;TEXT(DAY($B315),"00")&amp;IF(ISNUMBER($O315),IF($O315&gt;1,"-"&amp;TEXT($O315,"00"),""),"")))</f>
        <v/>
      </c>
      <c r="B315" s="14"/>
      <c r="C315" s="10"/>
      <c r="D315" s="10"/>
      <c r="E315" s="10"/>
      <c r="F315" s="16"/>
      <c r="G315" s="10"/>
      <c r="H315" s="10"/>
      <c r="I315" s="10"/>
      <c r="J315" s="10"/>
      <c r="K315" s="10"/>
      <c r="L315" s="10"/>
      <c r="M315" s="14"/>
      <c r="N315" s="17" t="str">
        <f aca="false">IF($B315="","",IF($L315="已完成",IF($M315="","",$M315-$B315),IF(设置!$B$6&lt;$B315,"",IF((设置!$B$6-$B315)&gt;=设置!$B$5,"超期"&amp;(设置!$B$6-$B315)&amp;"天","已等"&amp;(设置!$B$6-$B315)&amp;"天"))))</f>
        <v/>
      </c>
      <c r="O315" s="18" t="str">
        <f aca="false">IF(OR($D315="",$E315=""),"",COUNTIFS($D$7:$D315,$D315,$E$7:$E315,$E315))</f>
        <v/>
      </c>
      <c r="P315" s="16"/>
      <c r="Q315" s="19"/>
      <c r="R315" s="10"/>
      <c r="S315" s="16"/>
      <c r="T315" s="0" t="str">
        <f aca="false">IF(OR($D315="",单元查询!$B$3=""),"",IF($D315&lt;&gt;单元查询!$B$3,"",IF(OR(单元查询!$D$3="",$E315&amp;""=单元查询!$D$3&amp;""),IF(ISNUMBER($B315),$B315*10000,0)+ROW(),"")))</f>
        <v/>
      </c>
      <c r="U315" s="0" t="str">
        <f aca="false">IF(OR($B315="",$L315="已完成"),"",IF(ISNUMBER($B315),IF(设置!$B$6&lt;$B315,"",(设置!$B$6-$B315)*100000+ROW()),""))</f>
        <v/>
      </c>
      <c r="V315" s="0" t="str">
        <f aca="false">IF(ISNUMBER($O315),IF($O315&gt;=2,IF(COUNTIFS($D315:$D$2006,$D315,$E315:$E$2006,$E315)=1,ROW(),""),""),"")</f>
        <v/>
      </c>
    </row>
    <row r="316" customFormat="false" ht="15" hidden="false" customHeight="true" outlineLevel="0" collapsed="false">
      <c r="A316" s="13" t="str">
        <f aca="false">IF(AND($B316="",$D316="",$E316="",$F316=""),"",IF(OR($B316="",$D316="",$E316=""),"待补",IF($D316="公共区域","公",IF($D316="商铺","S",SUBSTITUTE($D316,"栋","")))&amp;"-"&amp;$E316&amp;"-"&amp;TEXT(MONTH($B316),"00")&amp;TEXT(DAY($B316),"00")&amp;IF(ISNUMBER($O316),IF($O316&gt;1,"-"&amp;TEXT($O316,"00"),""),"")))</f>
        <v/>
      </c>
      <c r="B316" s="14"/>
      <c r="C316" s="10"/>
      <c r="D316" s="10"/>
      <c r="E316" s="10"/>
      <c r="F316" s="16"/>
      <c r="G316" s="10"/>
      <c r="H316" s="10"/>
      <c r="I316" s="10"/>
      <c r="J316" s="10"/>
      <c r="K316" s="10"/>
      <c r="L316" s="10"/>
      <c r="M316" s="14"/>
      <c r="N316" s="17" t="str">
        <f aca="false">IF($B316="","",IF($L316="已完成",IF($M316="","",$M316-$B316),IF(设置!$B$6&lt;$B316,"",IF((设置!$B$6-$B316)&gt;=设置!$B$5,"超期"&amp;(设置!$B$6-$B316)&amp;"天","已等"&amp;(设置!$B$6-$B316)&amp;"天"))))</f>
        <v/>
      </c>
      <c r="O316" s="18" t="str">
        <f aca="false">IF(OR($D316="",$E316=""),"",COUNTIFS($D$7:$D316,$D316,$E$7:$E316,$E316))</f>
        <v/>
      </c>
      <c r="P316" s="16"/>
      <c r="Q316" s="19"/>
      <c r="R316" s="10"/>
      <c r="S316" s="16"/>
      <c r="T316" s="0" t="str">
        <f aca="false">IF(OR($D316="",单元查询!$B$3=""),"",IF($D316&lt;&gt;单元查询!$B$3,"",IF(OR(单元查询!$D$3="",$E316&amp;""=单元查询!$D$3&amp;""),IF(ISNUMBER($B316),$B316*10000,0)+ROW(),"")))</f>
        <v/>
      </c>
      <c r="U316" s="0" t="str">
        <f aca="false">IF(OR($B316="",$L316="已完成"),"",IF(ISNUMBER($B316),IF(设置!$B$6&lt;$B316,"",(设置!$B$6-$B316)*100000+ROW()),""))</f>
        <v/>
      </c>
      <c r="V316" s="0" t="str">
        <f aca="false">IF(ISNUMBER($O316),IF($O316&gt;=2,IF(COUNTIFS($D316:$D$2006,$D316,$E316:$E$2006,$E316)=1,ROW(),""),""),"")</f>
        <v/>
      </c>
    </row>
    <row r="317" customFormat="false" ht="15" hidden="false" customHeight="true" outlineLevel="0" collapsed="false">
      <c r="A317" s="13" t="str">
        <f aca="false">IF(AND($B317="",$D317="",$E317="",$F317=""),"",IF(OR($B317="",$D317="",$E317=""),"待补",IF($D317="公共区域","公",IF($D317="商铺","S",SUBSTITUTE($D317,"栋","")))&amp;"-"&amp;$E317&amp;"-"&amp;TEXT(MONTH($B317),"00")&amp;TEXT(DAY($B317),"00")&amp;IF(ISNUMBER($O317),IF($O317&gt;1,"-"&amp;TEXT($O317,"00"),""),"")))</f>
        <v/>
      </c>
      <c r="B317" s="14"/>
      <c r="C317" s="10"/>
      <c r="D317" s="10"/>
      <c r="E317" s="10"/>
      <c r="F317" s="16"/>
      <c r="G317" s="10"/>
      <c r="H317" s="10"/>
      <c r="I317" s="10"/>
      <c r="J317" s="10"/>
      <c r="K317" s="10"/>
      <c r="L317" s="10"/>
      <c r="M317" s="14"/>
      <c r="N317" s="17" t="str">
        <f aca="false">IF($B317="","",IF($L317="已完成",IF($M317="","",$M317-$B317),IF(设置!$B$6&lt;$B317,"",IF((设置!$B$6-$B317)&gt;=设置!$B$5,"超期"&amp;(设置!$B$6-$B317)&amp;"天","已等"&amp;(设置!$B$6-$B317)&amp;"天"))))</f>
        <v/>
      </c>
      <c r="O317" s="18" t="str">
        <f aca="false">IF(OR($D317="",$E317=""),"",COUNTIFS($D$7:$D317,$D317,$E$7:$E317,$E317))</f>
        <v/>
      </c>
      <c r="P317" s="16"/>
      <c r="Q317" s="19"/>
      <c r="R317" s="10"/>
      <c r="S317" s="16"/>
      <c r="T317" s="0" t="str">
        <f aca="false">IF(OR($D317="",单元查询!$B$3=""),"",IF($D317&lt;&gt;单元查询!$B$3,"",IF(OR(单元查询!$D$3="",$E317&amp;""=单元查询!$D$3&amp;""),IF(ISNUMBER($B317),$B317*10000,0)+ROW(),"")))</f>
        <v/>
      </c>
      <c r="U317" s="0" t="str">
        <f aca="false">IF(OR($B317="",$L317="已完成"),"",IF(ISNUMBER($B317),IF(设置!$B$6&lt;$B317,"",(设置!$B$6-$B317)*100000+ROW()),""))</f>
        <v/>
      </c>
      <c r="V317" s="0" t="str">
        <f aca="false">IF(ISNUMBER($O317),IF($O317&gt;=2,IF(COUNTIFS($D317:$D$2006,$D317,$E317:$E$2006,$E317)=1,ROW(),""),""),"")</f>
        <v/>
      </c>
    </row>
    <row r="318" customFormat="false" ht="15" hidden="false" customHeight="true" outlineLevel="0" collapsed="false">
      <c r="A318" s="13" t="str">
        <f aca="false">IF(AND($B318="",$D318="",$E318="",$F318=""),"",IF(OR($B318="",$D318="",$E318=""),"待补",IF($D318="公共区域","公",IF($D318="商铺","S",SUBSTITUTE($D318,"栋","")))&amp;"-"&amp;$E318&amp;"-"&amp;TEXT(MONTH($B318),"00")&amp;TEXT(DAY($B318),"00")&amp;IF(ISNUMBER($O318),IF($O318&gt;1,"-"&amp;TEXT($O318,"00"),""),"")))</f>
        <v/>
      </c>
      <c r="B318" s="14"/>
      <c r="C318" s="10"/>
      <c r="D318" s="10"/>
      <c r="E318" s="10"/>
      <c r="F318" s="16"/>
      <c r="G318" s="10"/>
      <c r="H318" s="10"/>
      <c r="I318" s="10"/>
      <c r="J318" s="10"/>
      <c r="K318" s="10"/>
      <c r="L318" s="10"/>
      <c r="M318" s="14"/>
      <c r="N318" s="17" t="str">
        <f aca="false">IF($B318="","",IF($L318="已完成",IF($M318="","",$M318-$B318),IF(设置!$B$6&lt;$B318,"",IF((设置!$B$6-$B318)&gt;=设置!$B$5,"超期"&amp;(设置!$B$6-$B318)&amp;"天","已等"&amp;(设置!$B$6-$B318)&amp;"天"))))</f>
        <v/>
      </c>
      <c r="O318" s="18" t="str">
        <f aca="false">IF(OR($D318="",$E318=""),"",COUNTIFS($D$7:$D318,$D318,$E$7:$E318,$E318))</f>
        <v/>
      </c>
      <c r="P318" s="16"/>
      <c r="Q318" s="19"/>
      <c r="R318" s="10"/>
      <c r="S318" s="16"/>
      <c r="T318" s="0" t="str">
        <f aca="false">IF(OR($D318="",单元查询!$B$3=""),"",IF($D318&lt;&gt;单元查询!$B$3,"",IF(OR(单元查询!$D$3="",$E318&amp;""=单元查询!$D$3&amp;""),IF(ISNUMBER($B318),$B318*10000,0)+ROW(),"")))</f>
        <v/>
      </c>
      <c r="U318" s="0" t="str">
        <f aca="false">IF(OR($B318="",$L318="已完成"),"",IF(ISNUMBER($B318),IF(设置!$B$6&lt;$B318,"",(设置!$B$6-$B318)*100000+ROW()),""))</f>
        <v/>
      </c>
      <c r="V318" s="0" t="str">
        <f aca="false">IF(ISNUMBER($O318),IF($O318&gt;=2,IF(COUNTIFS($D318:$D$2006,$D318,$E318:$E$2006,$E318)=1,ROW(),""),""),"")</f>
        <v/>
      </c>
    </row>
    <row r="319" customFormat="false" ht="15" hidden="false" customHeight="true" outlineLevel="0" collapsed="false">
      <c r="A319" s="13" t="str">
        <f aca="false">IF(AND($B319="",$D319="",$E319="",$F319=""),"",IF(OR($B319="",$D319="",$E319=""),"待补",IF($D319="公共区域","公",IF($D319="商铺","S",SUBSTITUTE($D319,"栋","")))&amp;"-"&amp;$E319&amp;"-"&amp;TEXT(MONTH($B319),"00")&amp;TEXT(DAY($B319),"00")&amp;IF(ISNUMBER($O319),IF($O319&gt;1,"-"&amp;TEXT($O319,"00"),""),"")))</f>
        <v/>
      </c>
      <c r="B319" s="14"/>
      <c r="C319" s="10"/>
      <c r="D319" s="10"/>
      <c r="E319" s="10"/>
      <c r="F319" s="16"/>
      <c r="G319" s="10"/>
      <c r="H319" s="10"/>
      <c r="I319" s="10"/>
      <c r="J319" s="10"/>
      <c r="K319" s="10"/>
      <c r="L319" s="10"/>
      <c r="M319" s="14"/>
      <c r="N319" s="17" t="str">
        <f aca="false">IF($B319="","",IF($L319="已完成",IF($M319="","",$M319-$B319),IF(设置!$B$6&lt;$B319,"",IF((设置!$B$6-$B319)&gt;=设置!$B$5,"超期"&amp;(设置!$B$6-$B319)&amp;"天","已等"&amp;(设置!$B$6-$B319)&amp;"天"))))</f>
        <v/>
      </c>
      <c r="O319" s="18" t="str">
        <f aca="false">IF(OR($D319="",$E319=""),"",COUNTIFS($D$7:$D319,$D319,$E$7:$E319,$E319))</f>
        <v/>
      </c>
      <c r="P319" s="16"/>
      <c r="Q319" s="19"/>
      <c r="R319" s="10"/>
      <c r="S319" s="16"/>
      <c r="T319" s="0" t="str">
        <f aca="false">IF(OR($D319="",单元查询!$B$3=""),"",IF($D319&lt;&gt;单元查询!$B$3,"",IF(OR(单元查询!$D$3="",$E319&amp;""=单元查询!$D$3&amp;""),IF(ISNUMBER($B319),$B319*10000,0)+ROW(),"")))</f>
        <v/>
      </c>
      <c r="U319" s="0" t="str">
        <f aca="false">IF(OR($B319="",$L319="已完成"),"",IF(ISNUMBER($B319),IF(设置!$B$6&lt;$B319,"",(设置!$B$6-$B319)*100000+ROW()),""))</f>
        <v/>
      </c>
      <c r="V319" s="0" t="str">
        <f aca="false">IF(ISNUMBER($O319),IF($O319&gt;=2,IF(COUNTIFS($D319:$D$2006,$D319,$E319:$E$2006,$E319)=1,ROW(),""),""),"")</f>
        <v/>
      </c>
    </row>
    <row r="320" customFormat="false" ht="15" hidden="false" customHeight="true" outlineLevel="0" collapsed="false">
      <c r="A320" s="13" t="str">
        <f aca="false">IF(AND($B320="",$D320="",$E320="",$F320=""),"",IF(OR($B320="",$D320="",$E320=""),"待补",IF($D320="公共区域","公",IF($D320="商铺","S",SUBSTITUTE($D320,"栋","")))&amp;"-"&amp;$E320&amp;"-"&amp;TEXT(MONTH($B320),"00")&amp;TEXT(DAY($B320),"00")&amp;IF(ISNUMBER($O320),IF($O320&gt;1,"-"&amp;TEXT($O320,"00"),""),"")))</f>
        <v/>
      </c>
      <c r="B320" s="14"/>
      <c r="C320" s="10"/>
      <c r="D320" s="10"/>
      <c r="E320" s="10"/>
      <c r="F320" s="16"/>
      <c r="G320" s="10"/>
      <c r="H320" s="10"/>
      <c r="I320" s="10"/>
      <c r="J320" s="10"/>
      <c r="K320" s="10"/>
      <c r="L320" s="10"/>
      <c r="M320" s="14"/>
      <c r="N320" s="17" t="str">
        <f aca="false">IF($B320="","",IF($L320="已完成",IF($M320="","",$M320-$B320),IF(设置!$B$6&lt;$B320,"",IF((设置!$B$6-$B320)&gt;=设置!$B$5,"超期"&amp;(设置!$B$6-$B320)&amp;"天","已等"&amp;(设置!$B$6-$B320)&amp;"天"))))</f>
        <v/>
      </c>
      <c r="O320" s="18" t="str">
        <f aca="false">IF(OR($D320="",$E320=""),"",COUNTIFS($D$7:$D320,$D320,$E$7:$E320,$E320))</f>
        <v/>
      </c>
      <c r="P320" s="16"/>
      <c r="Q320" s="19"/>
      <c r="R320" s="10"/>
      <c r="S320" s="16"/>
      <c r="T320" s="0" t="str">
        <f aca="false">IF(OR($D320="",单元查询!$B$3=""),"",IF($D320&lt;&gt;单元查询!$B$3,"",IF(OR(单元查询!$D$3="",$E320&amp;""=单元查询!$D$3&amp;""),IF(ISNUMBER($B320),$B320*10000,0)+ROW(),"")))</f>
        <v/>
      </c>
      <c r="U320" s="0" t="str">
        <f aca="false">IF(OR($B320="",$L320="已完成"),"",IF(ISNUMBER($B320),IF(设置!$B$6&lt;$B320,"",(设置!$B$6-$B320)*100000+ROW()),""))</f>
        <v/>
      </c>
      <c r="V320" s="0" t="str">
        <f aca="false">IF(ISNUMBER($O320),IF($O320&gt;=2,IF(COUNTIFS($D320:$D$2006,$D320,$E320:$E$2006,$E320)=1,ROW(),""),""),"")</f>
        <v/>
      </c>
    </row>
    <row r="321" customFormat="false" ht="15" hidden="false" customHeight="true" outlineLevel="0" collapsed="false">
      <c r="A321" s="13" t="str">
        <f aca="false">IF(AND($B321="",$D321="",$E321="",$F321=""),"",IF(OR($B321="",$D321="",$E321=""),"待补",IF($D321="公共区域","公",IF($D321="商铺","S",SUBSTITUTE($D321,"栋","")))&amp;"-"&amp;$E321&amp;"-"&amp;TEXT(MONTH($B321),"00")&amp;TEXT(DAY($B321),"00")&amp;IF(ISNUMBER($O321),IF($O321&gt;1,"-"&amp;TEXT($O321,"00"),""),"")))</f>
        <v/>
      </c>
      <c r="B321" s="14"/>
      <c r="C321" s="10"/>
      <c r="D321" s="10"/>
      <c r="E321" s="10"/>
      <c r="F321" s="16"/>
      <c r="G321" s="10"/>
      <c r="H321" s="10"/>
      <c r="I321" s="10"/>
      <c r="J321" s="10"/>
      <c r="K321" s="10"/>
      <c r="L321" s="10"/>
      <c r="M321" s="14"/>
      <c r="N321" s="17" t="str">
        <f aca="false">IF($B321="","",IF($L321="已完成",IF($M321="","",$M321-$B321),IF(设置!$B$6&lt;$B321,"",IF((设置!$B$6-$B321)&gt;=设置!$B$5,"超期"&amp;(设置!$B$6-$B321)&amp;"天","已等"&amp;(设置!$B$6-$B321)&amp;"天"))))</f>
        <v/>
      </c>
      <c r="O321" s="18" t="str">
        <f aca="false">IF(OR($D321="",$E321=""),"",COUNTIFS($D$7:$D321,$D321,$E$7:$E321,$E321))</f>
        <v/>
      </c>
      <c r="P321" s="16"/>
      <c r="Q321" s="19"/>
      <c r="R321" s="10"/>
      <c r="S321" s="16"/>
      <c r="T321" s="0" t="str">
        <f aca="false">IF(OR($D321="",单元查询!$B$3=""),"",IF($D321&lt;&gt;单元查询!$B$3,"",IF(OR(单元查询!$D$3="",$E321&amp;""=单元查询!$D$3&amp;""),IF(ISNUMBER($B321),$B321*10000,0)+ROW(),"")))</f>
        <v/>
      </c>
      <c r="U321" s="0" t="str">
        <f aca="false">IF(OR($B321="",$L321="已完成"),"",IF(ISNUMBER($B321),IF(设置!$B$6&lt;$B321,"",(设置!$B$6-$B321)*100000+ROW()),""))</f>
        <v/>
      </c>
      <c r="V321" s="0" t="str">
        <f aca="false">IF(ISNUMBER($O321),IF($O321&gt;=2,IF(COUNTIFS($D321:$D$2006,$D321,$E321:$E$2006,$E321)=1,ROW(),""),""),"")</f>
        <v/>
      </c>
    </row>
    <row r="322" customFormat="false" ht="15" hidden="false" customHeight="true" outlineLevel="0" collapsed="false">
      <c r="A322" s="13" t="str">
        <f aca="false">IF(AND($B322="",$D322="",$E322="",$F322=""),"",IF(OR($B322="",$D322="",$E322=""),"待补",IF($D322="公共区域","公",IF($D322="商铺","S",SUBSTITUTE($D322,"栋","")))&amp;"-"&amp;$E322&amp;"-"&amp;TEXT(MONTH($B322),"00")&amp;TEXT(DAY($B322),"00")&amp;IF(ISNUMBER($O322),IF($O322&gt;1,"-"&amp;TEXT($O322,"00"),""),"")))</f>
        <v/>
      </c>
      <c r="B322" s="14"/>
      <c r="C322" s="10"/>
      <c r="D322" s="10"/>
      <c r="E322" s="10"/>
      <c r="F322" s="16"/>
      <c r="G322" s="10"/>
      <c r="H322" s="10"/>
      <c r="I322" s="10"/>
      <c r="J322" s="10"/>
      <c r="K322" s="10"/>
      <c r="L322" s="10"/>
      <c r="M322" s="14"/>
      <c r="N322" s="17" t="str">
        <f aca="false">IF($B322="","",IF($L322="已完成",IF($M322="","",$M322-$B322),IF(设置!$B$6&lt;$B322,"",IF((设置!$B$6-$B322)&gt;=设置!$B$5,"超期"&amp;(设置!$B$6-$B322)&amp;"天","已等"&amp;(设置!$B$6-$B322)&amp;"天"))))</f>
        <v/>
      </c>
      <c r="O322" s="18" t="str">
        <f aca="false">IF(OR($D322="",$E322=""),"",COUNTIFS($D$7:$D322,$D322,$E$7:$E322,$E322))</f>
        <v/>
      </c>
      <c r="P322" s="16"/>
      <c r="Q322" s="19"/>
      <c r="R322" s="10"/>
      <c r="S322" s="16"/>
      <c r="T322" s="0" t="str">
        <f aca="false">IF(OR($D322="",单元查询!$B$3=""),"",IF($D322&lt;&gt;单元查询!$B$3,"",IF(OR(单元查询!$D$3="",$E322&amp;""=单元查询!$D$3&amp;""),IF(ISNUMBER($B322),$B322*10000,0)+ROW(),"")))</f>
        <v/>
      </c>
      <c r="U322" s="0" t="str">
        <f aca="false">IF(OR($B322="",$L322="已完成"),"",IF(ISNUMBER($B322),IF(设置!$B$6&lt;$B322,"",(设置!$B$6-$B322)*100000+ROW()),""))</f>
        <v/>
      </c>
      <c r="V322" s="0" t="str">
        <f aca="false">IF(ISNUMBER($O322),IF($O322&gt;=2,IF(COUNTIFS($D322:$D$2006,$D322,$E322:$E$2006,$E322)=1,ROW(),""),""),"")</f>
        <v/>
      </c>
    </row>
    <row r="323" customFormat="false" ht="15" hidden="false" customHeight="true" outlineLevel="0" collapsed="false">
      <c r="A323" s="13" t="str">
        <f aca="false">IF(AND($B323="",$D323="",$E323="",$F323=""),"",IF(OR($B323="",$D323="",$E323=""),"待补",IF($D323="公共区域","公",IF($D323="商铺","S",SUBSTITUTE($D323,"栋","")))&amp;"-"&amp;$E323&amp;"-"&amp;TEXT(MONTH($B323),"00")&amp;TEXT(DAY($B323),"00")&amp;IF(ISNUMBER($O323),IF($O323&gt;1,"-"&amp;TEXT($O323,"00"),""),"")))</f>
        <v/>
      </c>
      <c r="B323" s="14"/>
      <c r="C323" s="10"/>
      <c r="D323" s="10"/>
      <c r="E323" s="10"/>
      <c r="F323" s="16"/>
      <c r="G323" s="10"/>
      <c r="H323" s="10"/>
      <c r="I323" s="10"/>
      <c r="J323" s="10"/>
      <c r="K323" s="10"/>
      <c r="L323" s="10"/>
      <c r="M323" s="14"/>
      <c r="N323" s="17" t="str">
        <f aca="false">IF($B323="","",IF($L323="已完成",IF($M323="","",$M323-$B323),IF(设置!$B$6&lt;$B323,"",IF((设置!$B$6-$B323)&gt;=设置!$B$5,"超期"&amp;(设置!$B$6-$B323)&amp;"天","已等"&amp;(设置!$B$6-$B323)&amp;"天"))))</f>
        <v/>
      </c>
      <c r="O323" s="18" t="str">
        <f aca="false">IF(OR($D323="",$E323=""),"",COUNTIFS($D$7:$D323,$D323,$E$7:$E323,$E323))</f>
        <v/>
      </c>
      <c r="P323" s="16"/>
      <c r="Q323" s="19"/>
      <c r="R323" s="10"/>
      <c r="S323" s="16"/>
      <c r="T323" s="0" t="str">
        <f aca="false">IF(OR($D323="",单元查询!$B$3=""),"",IF($D323&lt;&gt;单元查询!$B$3,"",IF(OR(单元查询!$D$3="",$E323&amp;""=单元查询!$D$3&amp;""),IF(ISNUMBER($B323),$B323*10000,0)+ROW(),"")))</f>
        <v/>
      </c>
      <c r="U323" s="0" t="str">
        <f aca="false">IF(OR($B323="",$L323="已完成"),"",IF(ISNUMBER($B323),IF(设置!$B$6&lt;$B323,"",(设置!$B$6-$B323)*100000+ROW()),""))</f>
        <v/>
      </c>
      <c r="V323" s="0" t="str">
        <f aca="false">IF(ISNUMBER($O323),IF($O323&gt;=2,IF(COUNTIFS($D323:$D$2006,$D323,$E323:$E$2006,$E323)=1,ROW(),""),""),"")</f>
        <v/>
      </c>
    </row>
    <row r="324" customFormat="false" ht="15" hidden="false" customHeight="true" outlineLevel="0" collapsed="false">
      <c r="A324" s="13" t="str">
        <f aca="false">IF(AND($B324="",$D324="",$E324="",$F324=""),"",IF(OR($B324="",$D324="",$E324=""),"待补",IF($D324="公共区域","公",IF($D324="商铺","S",SUBSTITUTE($D324,"栋","")))&amp;"-"&amp;$E324&amp;"-"&amp;TEXT(MONTH($B324),"00")&amp;TEXT(DAY($B324),"00")&amp;IF(ISNUMBER($O324),IF($O324&gt;1,"-"&amp;TEXT($O324,"00"),""),"")))</f>
        <v/>
      </c>
      <c r="B324" s="14"/>
      <c r="C324" s="10"/>
      <c r="D324" s="10"/>
      <c r="E324" s="10"/>
      <c r="F324" s="16"/>
      <c r="G324" s="10"/>
      <c r="H324" s="10"/>
      <c r="I324" s="10"/>
      <c r="J324" s="10"/>
      <c r="K324" s="10"/>
      <c r="L324" s="10"/>
      <c r="M324" s="14"/>
      <c r="N324" s="17" t="str">
        <f aca="false">IF($B324="","",IF($L324="已完成",IF($M324="","",$M324-$B324),IF(设置!$B$6&lt;$B324,"",IF((设置!$B$6-$B324)&gt;=设置!$B$5,"超期"&amp;(设置!$B$6-$B324)&amp;"天","已等"&amp;(设置!$B$6-$B324)&amp;"天"))))</f>
        <v/>
      </c>
      <c r="O324" s="18" t="str">
        <f aca="false">IF(OR($D324="",$E324=""),"",COUNTIFS($D$7:$D324,$D324,$E$7:$E324,$E324))</f>
        <v/>
      </c>
      <c r="P324" s="16"/>
      <c r="Q324" s="19"/>
      <c r="R324" s="10"/>
      <c r="S324" s="16"/>
      <c r="T324" s="0" t="str">
        <f aca="false">IF(OR($D324="",单元查询!$B$3=""),"",IF($D324&lt;&gt;单元查询!$B$3,"",IF(OR(单元查询!$D$3="",$E324&amp;""=单元查询!$D$3&amp;""),IF(ISNUMBER($B324),$B324*10000,0)+ROW(),"")))</f>
        <v/>
      </c>
      <c r="U324" s="0" t="str">
        <f aca="false">IF(OR($B324="",$L324="已完成"),"",IF(ISNUMBER($B324),IF(设置!$B$6&lt;$B324,"",(设置!$B$6-$B324)*100000+ROW()),""))</f>
        <v/>
      </c>
      <c r="V324" s="0" t="str">
        <f aca="false">IF(ISNUMBER($O324),IF($O324&gt;=2,IF(COUNTIFS($D324:$D$2006,$D324,$E324:$E$2006,$E324)=1,ROW(),""),""),"")</f>
        <v/>
      </c>
    </row>
    <row r="325" customFormat="false" ht="15" hidden="false" customHeight="true" outlineLevel="0" collapsed="false">
      <c r="A325" s="13" t="str">
        <f aca="false">IF(AND($B325="",$D325="",$E325="",$F325=""),"",IF(OR($B325="",$D325="",$E325=""),"待补",IF($D325="公共区域","公",IF($D325="商铺","S",SUBSTITUTE($D325,"栋","")))&amp;"-"&amp;$E325&amp;"-"&amp;TEXT(MONTH($B325),"00")&amp;TEXT(DAY($B325),"00")&amp;IF(ISNUMBER($O325),IF($O325&gt;1,"-"&amp;TEXT($O325,"00"),""),"")))</f>
        <v/>
      </c>
      <c r="B325" s="14"/>
      <c r="C325" s="10"/>
      <c r="D325" s="10"/>
      <c r="E325" s="10"/>
      <c r="F325" s="16"/>
      <c r="G325" s="10"/>
      <c r="H325" s="10"/>
      <c r="I325" s="10"/>
      <c r="J325" s="10"/>
      <c r="K325" s="10"/>
      <c r="L325" s="10"/>
      <c r="M325" s="14"/>
      <c r="N325" s="17" t="str">
        <f aca="false">IF($B325="","",IF($L325="已完成",IF($M325="","",$M325-$B325),IF(设置!$B$6&lt;$B325,"",IF((设置!$B$6-$B325)&gt;=设置!$B$5,"超期"&amp;(设置!$B$6-$B325)&amp;"天","已等"&amp;(设置!$B$6-$B325)&amp;"天"))))</f>
        <v/>
      </c>
      <c r="O325" s="18" t="str">
        <f aca="false">IF(OR($D325="",$E325=""),"",COUNTIFS($D$7:$D325,$D325,$E$7:$E325,$E325))</f>
        <v/>
      </c>
      <c r="P325" s="16"/>
      <c r="Q325" s="19"/>
      <c r="R325" s="10"/>
      <c r="S325" s="16"/>
      <c r="T325" s="0" t="str">
        <f aca="false">IF(OR($D325="",单元查询!$B$3=""),"",IF($D325&lt;&gt;单元查询!$B$3,"",IF(OR(单元查询!$D$3="",$E325&amp;""=单元查询!$D$3&amp;""),IF(ISNUMBER($B325),$B325*10000,0)+ROW(),"")))</f>
        <v/>
      </c>
      <c r="U325" s="0" t="str">
        <f aca="false">IF(OR($B325="",$L325="已完成"),"",IF(ISNUMBER($B325),IF(设置!$B$6&lt;$B325,"",(设置!$B$6-$B325)*100000+ROW()),""))</f>
        <v/>
      </c>
      <c r="V325" s="0" t="str">
        <f aca="false">IF(ISNUMBER($O325),IF($O325&gt;=2,IF(COUNTIFS($D325:$D$2006,$D325,$E325:$E$2006,$E325)=1,ROW(),""),""),"")</f>
        <v/>
      </c>
    </row>
    <row r="326" customFormat="false" ht="15" hidden="false" customHeight="true" outlineLevel="0" collapsed="false">
      <c r="A326" s="13" t="str">
        <f aca="false">IF(AND($B326="",$D326="",$E326="",$F326=""),"",IF(OR($B326="",$D326="",$E326=""),"待补",IF($D326="公共区域","公",IF($D326="商铺","S",SUBSTITUTE($D326,"栋","")))&amp;"-"&amp;$E326&amp;"-"&amp;TEXT(MONTH($B326),"00")&amp;TEXT(DAY($B326),"00")&amp;IF(ISNUMBER($O326),IF($O326&gt;1,"-"&amp;TEXT($O326,"00"),""),"")))</f>
        <v/>
      </c>
      <c r="B326" s="14"/>
      <c r="C326" s="10"/>
      <c r="D326" s="10"/>
      <c r="E326" s="10"/>
      <c r="F326" s="16"/>
      <c r="G326" s="10"/>
      <c r="H326" s="10"/>
      <c r="I326" s="10"/>
      <c r="J326" s="10"/>
      <c r="K326" s="10"/>
      <c r="L326" s="10"/>
      <c r="M326" s="14"/>
      <c r="N326" s="17" t="str">
        <f aca="false">IF($B326="","",IF($L326="已完成",IF($M326="","",$M326-$B326),IF(设置!$B$6&lt;$B326,"",IF((设置!$B$6-$B326)&gt;=设置!$B$5,"超期"&amp;(设置!$B$6-$B326)&amp;"天","已等"&amp;(设置!$B$6-$B326)&amp;"天"))))</f>
        <v/>
      </c>
      <c r="O326" s="18" t="str">
        <f aca="false">IF(OR($D326="",$E326=""),"",COUNTIFS($D$7:$D326,$D326,$E$7:$E326,$E326))</f>
        <v/>
      </c>
      <c r="P326" s="16"/>
      <c r="Q326" s="19"/>
      <c r="R326" s="10"/>
      <c r="S326" s="16"/>
      <c r="T326" s="0" t="str">
        <f aca="false">IF(OR($D326="",单元查询!$B$3=""),"",IF($D326&lt;&gt;单元查询!$B$3,"",IF(OR(单元查询!$D$3="",$E326&amp;""=单元查询!$D$3&amp;""),IF(ISNUMBER($B326),$B326*10000,0)+ROW(),"")))</f>
        <v/>
      </c>
      <c r="U326" s="0" t="str">
        <f aca="false">IF(OR($B326="",$L326="已完成"),"",IF(ISNUMBER($B326),IF(设置!$B$6&lt;$B326,"",(设置!$B$6-$B326)*100000+ROW()),""))</f>
        <v/>
      </c>
      <c r="V326" s="0" t="str">
        <f aca="false">IF(ISNUMBER($O326),IF($O326&gt;=2,IF(COUNTIFS($D326:$D$2006,$D326,$E326:$E$2006,$E326)=1,ROW(),""),""),"")</f>
        <v/>
      </c>
    </row>
    <row r="327" customFormat="false" ht="15" hidden="false" customHeight="true" outlineLevel="0" collapsed="false">
      <c r="A327" s="13" t="str">
        <f aca="false">IF(AND($B327="",$D327="",$E327="",$F327=""),"",IF(OR($B327="",$D327="",$E327=""),"待补",IF($D327="公共区域","公",IF($D327="商铺","S",SUBSTITUTE($D327,"栋","")))&amp;"-"&amp;$E327&amp;"-"&amp;TEXT(MONTH($B327),"00")&amp;TEXT(DAY($B327),"00")&amp;IF(ISNUMBER($O327),IF($O327&gt;1,"-"&amp;TEXT($O327,"00"),""),"")))</f>
        <v/>
      </c>
      <c r="B327" s="14"/>
      <c r="C327" s="10"/>
      <c r="D327" s="10"/>
      <c r="E327" s="10"/>
      <c r="F327" s="16"/>
      <c r="G327" s="10"/>
      <c r="H327" s="10"/>
      <c r="I327" s="10"/>
      <c r="J327" s="10"/>
      <c r="K327" s="10"/>
      <c r="L327" s="10"/>
      <c r="M327" s="14"/>
      <c r="N327" s="17" t="str">
        <f aca="false">IF($B327="","",IF($L327="已完成",IF($M327="","",$M327-$B327),IF(设置!$B$6&lt;$B327,"",IF((设置!$B$6-$B327)&gt;=设置!$B$5,"超期"&amp;(设置!$B$6-$B327)&amp;"天","已等"&amp;(设置!$B$6-$B327)&amp;"天"))))</f>
        <v/>
      </c>
      <c r="O327" s="18" t="str">
        <f aca="false">IF(OR($D327="",$E327=""),"",COUNTIFS($D$7:$D327,$D327,$E$7:$E327,$E327))</f>
        <v/>
      </c>
      <c r="P327" s="16"/>
      <c r="Q327" s="19"/>
      <c r="R327" s="10"/>
      <c r="S327" s="16"/>
      <c r="T327" s="0" t="str">
        <f aca="false">IF(OR($D327="",单元查询!$B$3=""),"",IF($D327&lt;&gt;单元查询!$B$3,"",IF(OR(单元查询!$D$3="",$E327&amp;""=单元查询!$D$3&amp;""),IF(ISNUMBER($B327),$B327*10000,0)+ROW(),"")))</f>
        <v/>
      </c>
      <c r="U327" s="0" t="str">
        <f aca="false">IF(OR($B327="",$L327="已完成"),"",IF(ISNUMBER($B327),IF(设置!$B$6&lt;$B327,"",(设置!$B$6-$B327)*100000+ROW()),""))</f>
        <v/>
      </c>
      <c r="V327" s="0" t="str">
        <f aca="false">IF(ISNUMBER($O327),IF($O327&gt;=2,IF(COUNTIFS($D327:$D$2006,$D327,$E327:$E$2006,$E327)=1,ROW(),""),""),"")</f>
        <v/>
      </c>
    </row>
    <row r="328" customFormat="false" ht="15" hidden="false" customHeight="true" outlineLevel="0" collapsed="false">
      <c r="A328" s="13" t="str">
        <f aca="false">IF(AND($B328="",$D328="",$E328="",$F328=""),"",IF(OR($B328="",$D328="",$E328=""),"待补",IF($D328="公共区域","公",IF($D328="商铺","S",SUBSTITUTE($D328,"栋","")))&amp;"-"&amp;$E328&amp;"-"&amp;TEXT(MONTH($B328),"00")&amp;TEXT(DAY($B328),"00")&amp;IF(ISNUMBER($O328),IF($O328&gt;1,"-"&amp;TEXT($O328,"00"),""),"")))</f>
        <v/>
      </c>
      <c r="B328" s="14"/>
      <c r="C328" s="10"/>
      <c r="D328" s="10"/>
      <c r="E328" s="10"/>
      <c r="F328" s="16"/>
      <c r="G328" s="10"/>
      <c r="H328" s="10"/>
      <c r="I328" s="10"/>
      <c r="J328" s="10"/>
      <c r="K328" s="10"/>
      <c r="L328" s="10"/>
      <c r="M328" s="14"/>
      <c r="N328" s="17" t="str">
        <f aca="false">IF($B328="","",IF($L328="已完成",IF($M328="","",$M328-$B328),IF(设置!$B$6&lt;$B328,"",IF((设置!$B$6-$B328)&gt;=设置!$B$5,"超期"&amp;(设置!$B$6-$B328)&amp;"天","已等"&amp;(设置!$B$6-$B328)&amp;"天"))))</f>
        <v/>
      </c>
      <c r="O328" s="18" t="str">
        <f aca="false">IF(OR($D328="",$E328=""),"",COUNTIFS($D$7:$D328,$D328,$E$7:$E328,$E328))</f>
        <v/>
      </c>
      <c r="P328" s="16"/>
      <c r="Q328" s="19"/>
      <c r="R328" s="10"/>
      <c r="S328" s="16"/>
      <c r="T328" s="0" t="str">
        <f aca="false">IF(OR($D328="",单元查询!$B$3=""),"",IF($D328&lt;&gt;单元查询!$B$3,"",IF(OR(单元查询!$D$3="",$E328&amp;""=单元查询!$D$3&amp;""),IF(ISNUMBER($B328),$B328*10000,0)+ROW(),"")))</f>
        <v/>
      </c>
      <c r="U328" s="0" t="str">
        <f aca="false">IF(OR($B328="",$L328="已完成"),"",IF(ISNUMBER($B328),IF(设置!$B$6&lt;$B328,"",(设置!$B$6-$B328)*100000+ROW()),""))</f>
        <v/>
      </c>
      <c r="V328" s="0" t="str">
        <f aca="false">IF(ISNUMBER($O328),IF($O328&gt;=2,IF(COUNTIFS($D328:$D$2006,$D328,$E328:$E$2006,$E328)=1,ROW(),""),""),"")</f>
        <v/>
      </c>
    </row>
    <row r="329" customFormat="false" ht="15" hidden="false" customHeight="true" outlineLevel="0" collapsed="false">
      <c r="A329" s="13" t="str">
        <f aca="false">IF(AND($B329="",$D329="",$E329="",$F329=""),"",IF(OR($B329="",$D329="",$E329=""),"待补",IF($D329="公共区域","公",IF($D329="商铺","S",SUBSTITUTE($D329,"栋","")))&amp;"-"&amp;$E329&amp;"-"&amp;TEXT(MONTH($B329),"00")&amp;TEXT(DAY($B329),"00")&amp;IF(ISNUMBER($O329),IF($O329&gt;1,"-"&amp;TEXT($O329,"00"),""),"")))</f>
        <v/>
      </c>
      <c r="B329" s="14"/>
      <c r="C329" s="10"/>
      <c r="D329" s="10"/>
      <c r="E329" s="10"/>
      <c r="F329" s="16"/>
      <c r="G329" s="10"/>
      <c r="H329" s="10"/>
      <c r="I329" s="10"/>
      <c r="J329" s="10"/>
      <c r="K329" s="10"/>
      <c r="L329" s="10"/>
      <c r="M329" s="14"/>
      <c r="N329" s="17" t="str">
        <f aca="false">IF($B329="","",IF($L329="已完成",IF($M329="","",$M329-$B329),IF(设置!$B$6&lt;$B329,"",IF((设置!$B$6-$B329)&gt;=设置!$B$5,"超期"&amp;(设置!$B$6-$B329)&amp;"天","已等"&amp;(设置!$B$6-$B329)&amp;"天"))))</f>
        <v/>
      </c>
      <c r="O329" s="18" t="str">
        <f aca="false">IF(OR($D329="",$E329=""),"",COUNTIFS($D$7:$D329,$D329,$E$7:$E329,$E329))</f>
        <v/>
      </c>
      <c r="P329" s="16"/>
      <c r="Q329" s="19"/>
      <c r="R329" s="10"/>
      <c r="S329" s="16"/>
      <c r="T329" s="0" t="str">
        <f aca="false">IF(OR($D329="",单元查询!$B$3=""),"",IF($D329&lt;&gt;单元查询!$B$3,"",IF(OR(单元查询!$D$3="",$E329&amp;""=单元查询!$D$3&amp;""),IF(ISNUMBER($B329),$B329*10000,0)+ROW(),"")))</f>
        <v/>
      </c>
      <c r="U329" s="0" t="str">
        <f aca="false">IF(OR($B329="",$L329="已完成"),"",IF(ISNUMBER($B329),IF(设置!$B$6&lt;$B329,"",(设置!$B$6-$B329)*100000+ROW()),""))</f>
        <v/>
      </c>
      <c r="V329" s="0" t="str">
        <f aca="false">IF(ISNUMBER($O329),IF($O329&gt;=2,IF(COUNTIFS($D329:$D$2006,$D329,$E329:$E$2006,$E329)=1,ROW(),""),""),"")</f>
        <v/>
      </c>
    </row>
    <row r="330" customFormat="false" ht="15" hidden="false" customHeight="true" outlineLevel="0" collapsed="false">
      <c r="A330" s="13" t="str">
        <f aca="false">IF(AND($B330="",$D330="",$E330="",$F330=""),"",IF(OR($B330="",$D330="",$E330=""),"待补",IF($D330="公共区域","公",IF($D330="商铺","S",SUBSTITUTE($D330,"栋","")))&amp;"-"&amp;$E330&amp;"-"&amp;TEXT(MONTH($B330),"00")&amp;TEXT(DAY($B330),"00")&amp;IF(ISNUMBER($O330),IF($O330&gt;1,"-"&amp;TEXT($O330,"00"),""),"")))</f>
        <v/>
      </c>
      <c r="B330" s="14"/>
      <c r="C330" s="10"/>
      <c r="D330" s="10"/>
      <c r="E330" s="10"/>
      <c r="F330" s="16"/>
      <c r="G330" s="10"/>
      <c r="H330" s="10"/>
      <c r="I330" s="10"/>
      <c r="J330" s="10"/>
      <c r="K330" s="10"/>
      <c r="L330" s="10"/>
      <c r="M330" s="14"/>
      <c r="N330" s="17" t="str">
        <f aca="false">IF($B330="","",IF($L330="已完成",IF($M330="","",$M330-$B330),IF(设置!$B$6&lt;$B330,"",IF((设置!$B$6-$B330)&gt;=设置!$B$5,"超期"&amp;(设置!$B$6-$B330)&amp;"天","已等"&amp;(设置!$B$6-$B330)&amp;"天"))))</f>
        <v/>
      </c>
      <c r="O330" s="18" t="str">
        <f aca="false">IF(OR($D330="",$E330=""),"",COUNTIFS($D$7:$D330,$D330,$E$7:$E330,$E330))</f>
        <v/>
      </c>
      <c r="P330" s="16"/>
      <c r="Q330" s="19"/>
      <c r="R330" s="10"/>
      <c r="S330" s="16"/>
      <c r="T330" s="0" t="str">
        <f aca="false">IF(OR($D330="",单元查询!$B$3=""),"",IF($D330&lt;&gt;单元查询!$B$3,"",IF(OR(单元查询!$D$3="",$E330&amp;""=单元查询!$D$3&amp;""),IF(ISNUMBER($B330),$B330*10000,0)+ROW(),"")))</f>
        <v/>
      </c>
      <c r="U330" s="0" t="str">
        <f aca="false">IF(OR($B330="",$L330="已完成"),"",IF(ISNUMBER($B330),IF(设置!$B$6&lt;$B330,"",(设置!$B$6-$B330)*100000+ROW()),""))</f>
        <v/>
      </c>
      <c r="V330" s="0" t="str">
        <f aca="false">IF(ISNUMBER($O330),IF($O330&gt;=2,IF(COUNTIFS($D330:$D$2006,$D330,$E330:$E$2006,$E330)=1,ROW(),""),""),"")</f>
        <v/>
      </c>
    </row>
    <row r="331" customFormat="false" ht="15" hidden="false" customHeight="true" outlineLevel="0" collapsed="false">
      <c r="A331" s="13" t="str">
        <f aca="false">IF(AND($B331="",$D331="",$E331="",$F331=""),"",IF(OR($B331="",$D331="",$E331=""),"待补",IF($D331="公共区域","公",IF($D331="商铺","S",SUBSTITUTE($D331,"栋","")))&amp;"-"&amp;$E331&amp;"-"&amp;TEXT(MONTH($B331),"00")&amp;TEXT(DAY($B331),"00")&amp;IF(ISNUMBER($O331),IF($O331&gt;1,"-"&amp;TEXT($O331,"00"),""),"")))</f>
        <v/>
      </c>
      <c r="B331" s="14"/>
      <c r="C331" s="10"/>
      <c r="D331" s="10"/>
      <c r="E331" s="10"/>
      <c r="F331" s="16"/>
      <c r="G331" s="10"/>
      <c r="H331" s="10"/>
      <c r="I331" s="10"/>
      <c r="J331" s="10"/>
      <c r="K331" s="10"/>
      <c r="L331" s="10"/>
      <c r="M331" s="14"/>
      <c r="N331" s="17" t="str">
        <f aca="false">IF($B331="","",IF($L331="已完成",IF($M331="","",$M331-$B331),IF(设置!$B$6&lt;$B331,"",IF((设置!$B$6-$B331)&gt;=设置!$B$5,"超期"&amp;(设置!$B$6-$B331)&amp;"天","已等"&amp;(设置!$B$6-$B331)&amp;"天"))))</f>
        <v/>
      </c>
      <c r="O331" s="18" t="str">
        <f aca="false">IF(OR($D331="",$E331=""),"",COUNTIFS($D$7:$D331,$D331,$E$7:$E331,$E331))</f>
        <v/>
      </c>
      <c r="P331" s="16"/>
      <c r="Q331" s="19"/>
      <c r="R331" s="10"/>
      <c r="S331" s="16"/>
      <c r="T331" s="0" t="str">
        <f aca="false">IF(OR($D331="",单元查询!$B$3=""),"",IF($D331&lt;&gt;单元查询!$B$3,"",IF(OR(单元查询!$D$3="",$E331&amp;""=单元查询!$D$3&amp;""),IF(ISNUMBER($B331),$B331*10000,0)+ROW(),"")))</f>
        <v/>
      </c>
      <c r="U331" s="0" t="str">
        <f aca="false">IF(OR($B331="",$L331="已完成"),"",IF(ISNUMBER($B331),IF(设置!$B$6&lt;$B331,"",(设置!$B$6-$B331)*100000+ROW()),""))</f>
        <v/>
      </c>
      <c r="V331" s="0" t="str">
        <f aca="false">IF(ISNUMBER($O331),IF($O331&gt;=2,IF(COUNTIFS($D331:$D$2006,$D331,$E331:$E$2006,$E331)=1,ROW(),""),""),"")</f>
        <v/>
      </c>
    </row>
    <row r="332" customFormat="false" ht="15" hidden="false" customHeight="true" outlineLevel="0" collapsed="false">
      <c r="A332" s="13" t="str">
        <f aca="false">IF(AND($B332="",$D332="",$E332="",$F332=""),"",IF(OR($B332="",$D332="",$E332=""),"待补",IF($D332="公共区域","公",IF($D332="商铺","S",SUBSTITUTE($D332,"栋","")))&amp;"-"&amp;$E332&amp;"-"&amp;TEXT(MONTH($B332),"00")&amp;TEXT(DAY($B332),"00")&amp;IF(ISNUMBER($O332),IF($O332&gt;1,"-"&amp;TEXT($O332,"00"),""),"")))</f>
        <v/>
      </c>
      <c r="B332" s="14"/>
      <c r="C332" s="10"/>
      <c r="D332" s="10"/>
      <c r="E332" s="10"/>
      <c r="F332" s="16"/>
      <c r="G332" s="10"/>
      <c r="H332" s="10"/>
      <c r="I332" s="10"/>
      <c r="J332" s="10"/>
      <c r="K332" s="10"/>
      <c r="L332" s="10"/>
      <c r="M332" s="14"/>
      <c r="N332" s="17" t="str">
        <f aca="false">IF($B332="","",IF($L332="已完成",IF($M332="","",$M332-$B332),IF(设置!$B$6&lt;$B332,"",IF((设置!$B$6-$B332)&gt;=设置!$B$5,"超期"&amp;(设置!$B$6-$B332)&amp;"天","已等"&amp;(设置!$B$6-$B332)&amp;"天"))))</f>
        <v/>
      </c>
      <c r="O332" s="18" t="str">
        <f aca="false">IF(OR($D332="",$E332=""),"",COUNTIFS($D$7:$D332,$D332,$E$7:$E332,$E332))</f>
        <v/>
      </c>
      <c r="P332" s="16"/>
      <c r="Q332" s="19"/>
      <c r="R332" s="10"/>
      <c r="S332" s="16"/>
      <c r="T332" s="0" t="str">
        <f aca="false">IF(OR($D332="",单元查询!$B$3=""),"",IF($D332&lt;&gt;单元查询!$B$3,"",IF(OR(单元查询!$D$3="",$E332&amp;""=单元查询!$D$3&amp;""),IF(ISNUMBER($B332),$B332*10000,0)+ROW(),"")))</f>
        <v/>
      </c>
      <c r="U332" s="0" t="str">
        <f aca="false">IF(OR($B332="",$L332="已完成"),"",IF(ISNUMBER($B332),IF(设置!$B$6&lt;$B332,"",(设置!$B$6-$B332)*100000+ROW()),""))</f>
        <v/>
      </c>
      <c r="V332" s="0" t="str">
        <f aca="false">IF(ISNUMBER($O332),IF($O332&gt;=2,IF(COUNTIFS($D332:$D$2006,$D332,$E332:$E$2006,$E332)=1,ROW(),""),""),"")</f>
        <v/>
      </c>
    </row>
    <row r="333" customFormat="false" ht="15" hidden="false" customHeight="true" outlineLevel="0" collapsed="false">
      <c r="A333" s="13" t="str">
        <f aca="false">IF(AND($B333="",$D333="",$E333="",$F333=""),"",IF(OR($B333="",$D333="",$E333=""),"待补",IF($D333="公共区域","公",IF($D333="商铺","S",SUBSTITUTE($D333,"栋","")))&amp;"-"&amp;$E333&amp;"-"&amp;TEXT(MONTH($B333),"00")&amp;TEXT(DAY($B333),"00")&amp;IF(ISNUMBER($O333),IF($O333&gt;1,"-"&amp;TEXT($O333,"00"),""),"")))</f>
        <v/>
      </c>
      <c r="B333" s="14"/>
      <c r="C333" s="10"/>
      <c r="D333" s="10"/>
      <c r="E333" s="10"/>
      <c r="F333" s="16"/>
      <c r="G333" s="10"/>
      <c r="H333" s="10"/>
      <c r="I333" s="10"/>
      <c r="J333" s="10"/>
      <c r="K333" s="10"/>
      <c r="L333" s="10"/>
      <c r="M333" s="14"/>
      <c r="N333" s="17" t="str">
        <f aca="false">IF($B333="","",IF($L333="已完成",IF($M333="","",$M333-$B333),IF(设置!$B$6&lt;$B333,"",IF((设置!$B$6-$B333)&gt;=设置!$B$5,"超期"&amp;(设置!$B$6-$B333)&amp;"天","已等"&amp;(设置!$B$6-$B333)&amp;"天"))))</f>
        <v/>
      </c>
      <c r="O333" s="18" t="str">
        <f aca="false">IF(OR($D333="",$E333=""),"",COUNTIFS($D$7:$D333,$D333,$E$7:$E333,$E333))</f>
        <v/>
      </c>
      <c r="P333" s="16"/>
      <c r="Q333" s="19"/>
      <c r="R333" s="10"/>
      <c r="S333" s="16"/>
      <c r="T333" s="0" t="str">
        <f aca="false">IF(OR($D333="",单元查询!$B$3=""),"",IF($D333&lt;&gt;单元查询!$B$3,"",IF(OR(单元查询!$D$3="",$E333&amp;""=单元查询!$D$3&amp;""),IF(ISNUMBER($B333),$B333*10000,0)+ROW(),"")))</f>
        <v/>
      </c>
      <c r="U333" s="0" t="str">
        <f aca="false">IF(OR($B333="",$L333="已完成"),"",IF(ISNUMBER($B333),IF(设置!$B$6&lt;$B333,"",(设置!$B$6-$B333)*100000+ROW()),""))</f>
        <v/>
      </c>
      <c r="V333" s="0" t="str">
        <f aca="false">IF(ISNUMBER($O333),IF($O333&gt;=2,IF(COUNTIFS($D333:$D$2006,$D333,$E333:$E$2006,$E333)=1,ROW(),""),""),"")</f>
        <v/>
      </c>
    </row>
    <row r="334" customFormat="false" ht="15" hidden="false" customHeight="true" outlineLevel="0" collapsed="false">
      <c r="A334" s="13" t="str">
        <f aca="false">IF(AND($B334="",$D334="",$E334="",$F334=""),"",IF(OR($B334="",$D334="",$E334=""),"待补",IF($D334="公共区域","公",IF($D334="商铺","S",SUBSTITUTE($D334,"栋","")))&amp;"-"&amp;$E334&amp;"-"&amp;TEXT(MONTH($B334),"00")&amp;TEXT(DAY($B334),"00")&amp;IF(ISNUMBER($O334),IF($O334&gt;1,"-"&amp;TEXT($O334,"00"),""),"")))</f>
        <v/>
      </c>
      <c r="B334" s="14"/>
      <c r="C334" s="10"/>
      <c r="D334" s="10"/>
      <c r="E334" s="10"/>
      <c r="F334" s="16"/>
      <c r="G334" s="10"/>
      <c r="H334" s="10"/>
      <c r="I334" s="10"/>
      <c r="J334" s="10"/>
      <c r="K334" s="10"/>
      <c r="L334" s="10"/>
      <c r="M334" s="14"/>
      <c r="N334" s="17" t="str">
        <f aca="false">IF($B334="","",IF($L334="已完成",IF($M334="","",$M334-$B334),IF(设置!$B$6&lt;$B334,"",IF((设置!$B$6-$B334)&gt;=设置!$B$5,"超期"&amp;(设置!$B$6-$B334)&amp;"天","已等"&amp;(设置!$B$6-$B334)&amp;"天"))))</f>
        <v/>
      </c>
      <c r="O334" s="18" t="str">
        <f aca="false">IF(OR($D334="",$E334=""),"",COUNTIFS($D$7:$D334,$D334,$E$7:$E334,$E334))</f>
        <v/>
      </c>
      <c r="P334" s="16"/>
      <c r="Q334" s="19"/>
      <c r="R334" s="10"/>
      <c r="S334" s="16"/>
      <c r="T334" s="0" t="str">
        <f aca="false">IF(OR($D334="",单元查询!$B$3=""),"",IF($D334&lt;&gt;单元查询!$B$3,"",IF(OR(单元查询!$D$3="",$E334&amp;""=单元查询!$D$3&amp;""),IF(ISNUMBER($B334),$B334*10000,0)+ROW(),"")))</f>
        <v/>
      </c>
      <c r="U334" s="0" t="str">
        <f aca="false">IF(OR($B334="",$L334="已完成"),"",IF(ISNUMBER($B334),IF(设置!$B$6&lt;$B334,"",(设置!$B$6-$B334)*100000+ROW()),""))</f>
        <v/>
      </c>
      <c r="V334" s="0" t="str">
        <f aca="false">IF(ISNUMBER($O334),IF($O334&gt;=2,IF(COUNTIFS($D334:$D$2006,$D334,$E334:$E$2006,$E334)=1,ROW(),""),""),"")</f>
        <v/>
      </c>
    </row>
    <row r="335" customFormat="false" ht="15" hidden="false" customHeight="true" outlineLevel="0" collapsed="false">
      <c r="A335" s="13" t="str">
        <f aca="false">IF(AND($B335="",$D335="",$E335="",$F335=""),"",IF(OR($B335="",$D335="",$E335=""),"待补",IF($D335="公共区域","公",IF($D335="商铺","S",SUBSTITUTE($D335,"栋","")))&amp;"-"&amp;$E335&amp;"-"&amp;TEXT(MONTH($B335),"00")&amp;TEXT(DAY($B335),"00")&amp;IF(ISNUMBER($O335),IF($O335&gt;1,"-"&amp;TEXT($O335,"00"),""),"")))</f>
        <v/>
      </c>
      <c r="B335" s="14"/>
      <c r="C335" s="10"/>
      <c r="D335" s="10"/>
      <c r="E335" s="10"/>
      <c r="F335" s="16"/>
      <c r="G335" s="10"/>
      <c r="H335" s="10"/>
      <c r="I335" s="10"/>
      <c r="J335" s="10"/>
      <c r="K335" s="10"/>
      <c r="L335" s="10"/>
      <c r="M335" s="14"/>
      <c r="N335" s="17" t="str">
        <f aca="false">IF($B335="","",IF($L335="已完成",IF($M335="","",$M335-$B335),IF(设置!$B$6&lt;$B335,"",IF((设置!$B$6-$B335)&gt;=设置!$B$5,"超期"&amp;(设置!$B$6-$B335)&amp;"天","已等"&amp;(设置!$B$6-$B335)&amp;"天"))))</f>
        <v/>
      </c>
      <c r="O335" s="18" t="str">
        <f aca="false">IF(OR($D335="",$E335=""),"",COUNTIFS($D$7:$D335,$D335,$E$7:$E335,$E335))</f>
        <v/>
      </c>
      <c r="P335" s="16"/>
      <c r="Q335" s="19"/>
      <c r="R335" s="10"/>
      <c r="S335" s="16"/>
      <c r="T335" s="0" t="str">
        <f aca="false">IF(OR($D335="",单元查询!$B$3=""),"",IF($D335&lt;&gt;单元查询!$B$3,"",IF(OR(单元查询!$D$3="",$E335&amp;""=单元查询!$D$3&amp;""),IF(ISNUMBER($B335),$B335*10000,0)+ROW(),"")))</f>
        <v/>
      </c>
      <c r="U335" s="0" t="str">
        <f aca="false">IF(OR($B335="",$L335="已完成"),"",IF(ISNUMBER($B335),IF(设置!$B$6&lt;$B335,"",(设置!$B$6-$B335)*100000+ROW()),""))</f>
        <v/>
      </c>
      <c r="V335" s="0" t="str">
        <f aca="false">IF(ISNUMBER($O335),IF($O335&gt;=2,IF(COUNTIFS($D335:$D$2006,$D335,$E335:$E$2006,$E335)=1,ROW(),""),""),"")</f>
        <v/>
      </c>
    </row>
    <row r="336" customFormat="false" ht="15" hidden="false" customHeight="true" outlineLevel="0" collapsed="false">
      <c r="A336" s="13" t="str">
        <f aca="false">IF(AND($B336="",$D336="",$E336="",$F336=""),"",IF(OR($B336="",$D336="",$E336=""),"待补",IF($D336="公共区域","公",IF($D336="商铺","S",SUBSTITUTE($D336,"栋","")))&amp;"-"&amp;$E336&amp;"-"&amp;TEXT(MONTH($B336),"00")&amp;TEXT(DAY($B336),"00")&amp;IF(ISNUMBER($O336),IF($O336&gt;1,"-"&amp;TEXT($O336,"00"),""),"")))</f>
        <v/>
      </c>
      <c r="B336" s="14"/>
      <c r="C336" s="10"/>
      <c r="D336" s="10"/>
      <c r="E336" s="10"/>
      <c r="F336" s="16"/>
      <c r="G336" s="10"/>
      <c r="H336" s="10"/>
      <c r="I336" s="10"/>
      <c r="J336" s="10"/>
      <c r="K336" s="10"/>
      <c r="L336" s="10"/>
      <c r="M336" s="14"/>
      <c r="N336" s="17" t="str">
        <f aca="false">IF($B336="","",IF($L336="已完成",IF($M336="","",$M336-$B336),IF(设置!$B$6&lt;$B336,"",IF((设置!$B$6-$B336)&gt;=设置!$B$5,"超期"&amp;(设置!$B$6-$B336)&amp;"天","已等"&amp;(设置!$B$6-$B336)&amp;"天"))))</f>
        <v/>
      </c>
      <c r="O336" s="18" t="str">
        <f aca="false">IF(OR($D336="",$E336=""),"",COUNTIFS($D$7:$D336,$D336,$E$7:$E336,$E336))</f>
        <v/>
      </c>
      <c r="P336" s="16"/>
      <c r="Q336" s="19"/>
      <c r="R336" s="10"/>
      <c r="S336" s="16"/>
      <c r="T336" s="0" t="str">
        <f aca="false">IF(OR($D336="",单元查询!$B$3=""),"",IF($D336&lt;&gt;单元查询!$B$3,"",IF(OR(单元查询!$D$3="",$E336&amp;""=单元查询!$D$3&amp;""),IF(ISNUMBER($B336),$B336*10000,0)+ROW(),"")))</f>
        <v/>
      </c>
      <c r="U336" s="0" t="str">
        <f aca="false">IF(OR($B336="",$L336="已完成"),"",IF(ISNUMBER($B336),IF(设置!$B$6&lt;$B336,"",(设置!$B$6-$B336)*100000+ROW()),""))</f>
        <v/>
      </c>
      <c r="V336" s="0" t="str">
        <f aca="false">IF(ISNUMBER($O336),IF($O336&gt;=2,IF(COUNTIFS($D336:$D$2006,$D336,$E336:$E$2006,$E336)=1,ROW(),""),""),"")</f>
        <v/>
      </c>
    </row>
    <row r="337" customFormat="false" ht="15" hidden="false" customHeight="true" outlineLevel="0" collapsed="false">
      <c r="A337" s="13" t="str">
        <f aca="false">IF(AND($B337="",$D337="",$E337="",$F337=""),"",IF(OR($B337="",$D337="",$E337=""),"待补",IF($D337="公共区域","公",IF($D337="商铺","S",SUBSTITUTE($D337,"栋","")))&amp;"-"&amp;$E337&amp;"-"&amp;TEXT(MONTH($B337),"00")&amp;TEXT(DAY($B337),"00")&amp;IF(ISNUMBER($O337),IF($O337&gt;1,"-"&amp;TEXT($O337,"00"),""),"")))</f>
        <v/>
      </c>
      <c r="B337" s="14"/>
      <c r="C337" s="10"/>
      <c r="D337" s="10"/>
      <c r="E337" s="10"/>
      <c r="F337" s="16"/>
      <c r="G337" s="10"/>
      <c r="H337" s="10"/>
      <c r="I337" s="10"/>
      <c r="J337" s="10"/>
      <c r="K337" s="10"/>
      <c r="L337" s="10"/>
      <c r="M337" s="14"/>
      <c r="N337" s="17" t="str">
        <f aca="false">IF($B337="","",IF($L337="已完成",IF($M337="","",$M337-$B337),IF(设置!$B$6&lt;$B337,"",IF((设置!$B$6-$B337)&gt;=设置!$B$5,"超期"&amp;(设置!$B$6-$B337)&amp;"天","已等"&amp;(设置!$B$6-$B337)&amp;"天"))))</f>
        <v/>
      </c>
      <c r="O337" s="18" t="str">
        <f aca="false">IF(OR($D337="",$E337=""),"",COUNTIFS($D$7:$D337,$D337,$E$7:$E337,$E337))</f>
        <v/>
      </c>
      <c r="P337" s="16"/>
      <c r="Q337" s="19"/>
      <c r="R337" s="10"/>
      <c r="S337" s="16"/>
      <c r="T337" s="0" t="str">
        <f aca="false">IF(OR($D337="",单元查询!$B$3=""),"",IF($D337&lt;&gt;单元查询!$B$3,"",IF(OR(单元查询!$D$3="",$E337&amp;""=单元查询!$D$3&amp;""),IF(ISNUMBER($B337),$B337*10000,0)+ROW(),"")))</f>
        <v/>
      </c>
      <c r="U337" s="0" t="str">
        <f aca="false">IF(OR($B337="",$L337="已完成"),"",IF(ISNUMBER($B337),IF(设置!$B$6&lt;$B337,"",(设置!$B$6-$B337)*100000+ROW()),""))</f>
        <v/>
      </c>
      <c r="V337" s="0" t="str">
        <f aca="false">IF(ISNUMBER($O337),IF($O337&gt;=2,IF(COUNTIFS($D337:$D$2006,$D337,$E337:$E$2006,$E337)=1,ROW(),""),""),"")</f>
        <v/>
      </c>
    </row>
    <row r="338" customFormat="false" ht="15" hidden="false" customHeight="true" outlineLevel="0" collapsed="false">
      <c r="A338" s="13" t="str">
        <f aca="false">IF(AND($B338="",$D338="",$E338="",$F338=""),"",IF(OR($B338="",$D338="",$E338=""),"待补",IF($D338="公共区域","公",IF($D338="商铺","S",SUBSTITUTE($D338,"栋","")))&amp;"-"&amp;$E338&amp;"-"&amp;TEXT(MONTH($B338),"00")&amp;TEXT(DAY($B338),"00")&amp;IF(ISNUMBER($O338),IF($O338&gt;1,"-"&amp;TEXT($O338,"00"),""),"")))</f>
        <v/>
      </c>
      <c r="B338" s="14"/>
      <c r="C338" s="10"/>
      <c r="D338" s="10"/>
      <c r="E338" s="10"/>
      <c r="F338" s="16"/>
      <c r="G338" s="10"/>
      <c r="H338" s="10"/>
      <c r="I338" s="10"/>
      <c r="J338" s="10"/>
      <c r="K338" s="10"/>
      <c r="L338" s="10"/>
      <c r="M338" s="14"/>
      <c r="N338" s="17" t="str">
        <f aca="false">IF($B338="","",IF($L338="已完成",IF($M338="","",$M338-$B338),IF(设置!$B$6&lt;$B338,"",IF((设置!$B$6-$B338)&gt;=设置!$B$5,"超期"&amp;(设置!$B$6-$B338)&amp;"天","已等"&amp;(设置!$B$6-$B338)&amp;"天"))))</f>
        <v/>
      </c>
      <c r="O338" s="18" t="str">
        <f aca="false">IF(OR($D338="",$E338=""),"",COUNTIFS($D$7:$D338,$D338,$E$7:$E338,$E338))</f>
        <v/>
      </c>
      <c r="P338" s="16"/>
      <c r="Q338" s="19"/>
      <c r="R338" s="10"/>
      <c r="S338" s="16"/>
      <c r="T338" s="0" t="str">
        <f aca="false">IF(OR($D338="",单元查询!$B$3=""),"",IF($D338&lt;&gt;单元查询!$B$3,"",IF(OR(单元查询!$D$3="",$E338&amp;""=单元查询!$D$3&amp;""),IF(ISNUMBER($B338),$B338*10000,0)+ROW(),"")))</f>
        <v/>
      </c>
      <c r="U338" s="0" t="str">
        <f aca="false">IF(OR($B338="",$L338="已完成"),"",IF(ISNUMBER($B338),IF(设置!$B$6&lt;$B338,"",(设置!$B$6-$B338)*100000+ROW()),""))</f>
        <v/>
      </c>
      <c r="V338" s="0" t="str">
        <f aca="false">IF(ISNUMBER($O338),IF($O338&gt;=2,IF(COUNTIFS($D338:$D$2006,$D338,$E338:$E$2006,$E338)=1,ROW(),""),""),"")</f>
        <v/>
      </c>
    </row>
    <row r="339" customFormat="false" ht="15" hidden="false" customHeight="true" outlineLevel="0" collapsed="false">
      <c r="A339" s="13" t="str">
        <f aca="false">IF(AND($B339="",$D339="",$E339="",$F339=""),"",IF(OR($B339="",$D339="",$E339=""),"待补",IF($D339="公共区域","公",IF($D339="商铺","S",SUBSTITUTE($D339,"栋","")))&amp;"-"&amp;$E339&amp;"-"&amp;TEXT(MONTH($B339),"00")&amp;TEXT(DAY($B339),"00")&amp;IF(ISNUMBER($O339),IF($O339&gt;1,"-"&amp;TEXT($O339,"00"),""),"")))</f>
        <v/>
      </c>
      <c r="B339" s="14"/>
      <c r="C339" s="10"/>
      <c r="D339" s="10"/>
      <c r="E339" s="10"/>
      <c r="F339" s="16"/>
      <c r="G339" s="10"/>
      <c r="H339" s="10"/>
      <c r="I339" s="10"/>
      <c r="J339" s="10"/>
      <c r="K339" s="10"/>
      <c r="L339" s="10"/>
      <c r="M339" s="14"/>
      <c r="N339" s="17" t="str">
        <f aca="false">IF($B339="","",IF($L339="已完成",IF($M339="","",$M339-$B339),IF(设置!$B$6&lt;$B339,"",IF((设置!$B$6-$B339)&gt;=设置!$B$5,"超期"&amp;(设置!$B$6-$B339)&amp;"天","已等"&amp;(设置!$B$6-$B339)&amp;"天"))))</f>
        <v/>
      </c>
      <c r="O339" s="18" t="str">
        <f aca="false">IF(OR($D339="",$E339=""),"",COUNTIFS($D$7:$D339,$D339,$E$7:$E339,$E339))</f>
        <v/>
      </c>
      <c r="P339" s="16"/>
      <c r="Q339" s="19"/>
      <c r="R339" s="10"/>
      <c r="S339" s="16"/>
      <c r="T339" s="0" t="str">
        <f aca="false">IF(OR($D339="",单元查询!$B$3=""),"",IF($D339&lt;&gt;单元查询!$B$3,"",IF(OR(单元查询!$D$3="",$E339&amp;""=单元查询!$D$3&amp;""),IF(ISNUMBER($B339),$B339*10000,0)+ROW(),"")))</f>
        <v/>
      </c>
      <c r="U339" s="0" t="str">
        <f aca="false">IF(OR($B339="",$L339="已完成"),"",IF(ISNUMBER($B339),IF(设置!$B$6&lt;$B339,"",(设置!$B$6-$B339)*100000+ROW()),""))</f>
        <v/>
      </c>
      <c r="V339" s="0" t="str">
        <f aca="false">IF(ISNUMBER($O339),IF($O339&gt;=2,IF(COUNTIFS($D339:$D$2006,$D339,$E339:$E$2006,$E339)=1,ROW(),""),""),"")</f>
        <v/>
      </c>
    </row>
    <row r="340" customFormat="false" ht="15" hidden="false" customHeight="true" outlineLevel="0" collapsed="false">
      <c r="A340" s="13" t="str">
        <f aca="false">IF(AND($B340="",$D340="",$E340="",$F340=""),"",IF(OR($B340="",$D340="",$E340=""),"待补",IF($D340="公共区域","公",IF($D340="商铺","S",SUBSTITUTE($D340,"栋","")))&amp;"-"&amp;$E340&amp;"-"&amp;TEXT(MONTH($B340),"00")&amp;TEXT(DAY($B340),"00")&amp;IF(ISNUMBER($O340),IF($O340&gt;1,"-"&amp;TEXT($O340,"00"),""),"")))</f>
        <v/>
      </c>
      <c r="B340" s="14"/>
      <c r="C340" s="10"/>
      <c r="D340" s="10"/>
      <c r="E340" s="10"/>
      <c r="F340" s="16"/>
      <c r="G340" s="10"/>
      <c r="H340" s="10"/>
      <c r="I340" s="10"/>
      <c r="J340" s="10"/>
      <c r="K340" s="10"/>
      <c r="L340" s="10"/>
      <c r="M340" s="14"/>
      <c r="N340" s="17" t="str">
        <f aca="false">IF($B340="","",IF($L340="已完成",IF($M340="","",$M340-$B340),IF(设置!$B$6&lt;$B340,"",IF((设置!$B$6-$B340)&gt;=设置!$B$5,"超期"&amp;(设置!$B$6-$B340)&amp;"天","已等"&amp;(设置!$B$6-$B340)&amp;"天"))))</f>
        <v/>
      </c>
      <c r="O340" s="18" t="str">
        <f aca="false">IF(OR($D340="",$E340=""),"",COUNTIFS($D$7:$D340,$D340,$E$7:$E340,$E340))</f>
        <v/>
      </c>
      <c r="P340" s="16"/>
      <c r="Q340" s="19"/>
      <c r="R340" s="10"/>
      <c r="S340" s="16"/>
      <c r="T340" s="0" t="str">
        <f aca="false">IF(OR($D340="",单元查询!$B$3=""),"",IF($D340&lt;&gt;单元查询!$B$3,"",IF(OR(单元查询!$D$3="",$E340&amp;""=单元查询!$D$3&amp;""),IF(ISNUMBER($B340),$B340*10000,0)+ROW(),"")))</f>
        <v/>
      </c>
      <c r="U340" s="0" t="str">
        <f aca="false">IF(OR($B340="",$L340="已完成"),"",IF(ISNUMBER($B340),IF(设置!$B$6&lt;$B340,"",(设置!$B$6-$B340)*100000+ROW()),""))</f>
        <v/>
      </c>
      <c r="V340" s="0" t="str">
        <f aca="false">IF(ISNUMBER($O340),IF($O340&gt;=2,IF(COUNTIFS($D340:$D$2006,$D340,$E340:$E$2006,$E340)=1,ROW(),""),""),"")</f>
        <v/>
      </c>
    </row>
    <row r="341" customFormat="false" ht="15" hidden="false" customHeight="true" outlineLevel="0" collapsed="false">
      <c r="A341" s="13" t="str">
        <f aca="false">IF(AND($B341="",$D341="",$E341="",$F341=""),"",IF(OR($B341="",$D341="",$E341=""),"待补",IF($D341="公共区域","公",IF($D341="商铺","S",SUBSTITUTE($D341,"栋","")))&amp;"-"&amp;$E341&amp;"-"&amp;TEXT(MONTH($B341),"00")&amp;TEXT(DAY($B341),"00")&amp;IF(ISNUMBER($O341),IF($O341&gt;1,"-"&amp;TEXT($O341,"00"),""),"")))</f>
        <v/>
      </c>
      <c r="B341" s="14"/>
      <c r="C341" s="10"/>
      <c r="D341" s="10"/>
      <c r="E341" s="10"/>
      <c r="F341" s="16"/>
      <c r="G341" s="10"/>
      <c r="H341" s="10"/>
      <c r="I341" s="10"/>
      <c r="J341" s="10"/>
      <c r="K341" s="10"/>
      <c r="L341" s="10"/>
      <c r="M341" s="14"/>
      <c r="N341" s="17" t="str">
        <f aca="false">IF($B341="","",IF($L341="已完成",IF($M341="","",$M341-$B341),IF(设置!$B$6&lt;$B341,"",IF((设置!$B$6-$B341)&gt;=设置!$B$5,"超期"&amp;(设置!$B$6-$B341)&amp;"天","已等"&amp;(设置!$B$6-$B341)&amp;"天"))))</f>
        <v/>
      </c>
      <c r="O341" s="18" t="str">
        <f aca="false">IF(OR($D341="",$E341=""),"",COUNTIFS($D$7:$D341,$D341,$E$7:$E341,$E341))</f>
        <v/>
      </c>
      <c r="P341" s="16"/>
      <c r="Q341" s="19"/>
      <c r="R341" s="10"/>
      <c r="S341" s="16"/>
      <c r="T341" s="0" t="str">
        <f aca="false">IF(OR($D341="",单元查询!$B$3=""),"",IF($D341&lt;&gt;单元查询!$B$3,"",IF(OR(单元查询!$D$3="",$E341&amp;""=单元查询!$D$3&amp;""),IF(ISNUMBER($B341),$B341*10000,0)+ROW(),"")))</f>
        <v/>
      </c>
      <c r="U341" s="0" t="str">
        <f aca="false">IF(OR($B341="",$L341="已完成"),"",IF(ISNUMBER($B341),IF(设置!$B$6&lt;$B341,"",(设置!$B$6-$B341)*100000+ROW()),""))</f>
        <v/>
      </c>
      <c r="V341" s="0" t="str">
        <f aca="false">IF(ISNUMBER($O341),IF($O341&gt;=2,IF(COUNTIFS($D341:$D$2006,$D341,$E341:$E$2006,$E341)=1,ROW(),""),""),"")</f>
        <v/>
      </c>
    </row>
    <row r="342" customFormat="false" ht="15" hidden="false" customHeight="true" outlineLevel="0" collapsed="false">
      <c r="A342" s="13" t="str">
        <f aca="false">IF(AND($B342="",$D342="",$E342="",$F342=""),"",IF(OR($B342="",$D342="",$E342=""),"待补",IF($D342="公共区域","公",IF($D342="商铺","S",SUBSTITUTE($D342,"栋","")))&amp;"-"&amp;$E342&amp;"-"&amp;TEXT(MONTH($B342),"00")&amp;TEXT(DAY($B342),"00")&amp;IF(ISNUMBER($O342),IF($O342&gt;1,"-"&amp;TEXT($O342,"00"),""),"")))</f>
        <v/>
      </c>
      <c r="B342" s="14"/>
      <c r="C342" s="10"/>
      <c r="D342" s="10"/>
      <c r="E342" s="10"/>
      <c r="F342" s="16"/>
      <c r="G342" s="10"/>
      <c r="H342" s="10"/>
      <c r="I342" s="10"/>
      <c r="J342" s="10"/>
      <c r="K342" s="10"/>
      <c r="L342" s="10"/>
      <c r="M342" s="14"/>
      <c r="N342" s="17" t="str">
        <f aca="false">IF($B342="","",IF($L342="已完成",IF($M342="","",$M342-$B342),IF(设置!$B$6&lt;$B342,"",IF((设置!$B$6-$B342)&gt;=设置!$B$5,"超期"&amp;(设置!$B$6-$B342)&amp;"天","已等"&amp;(设置!$B$6-$B342)&amp;"天"))))</f>
        <v/>
      </c>
      <c r="O342" s="18" t="str">
        <f aca="false">IF(OR($D342="",$E342=""),"",COUNTIFS($D$7:$D342,$D342,$E$7:$E342,$E342))</f>
        <v/>
      </c>
      <c r="P342" s="16"/>
      <c r="Q342" s="19"/>
      <c r="R342" s="10"/>
      <c r="S342" s="16"/>
      <c r="T342" s="0" t="str">
        <f aca="false">IF(OR($D342="",单元查询!$B$3=""),"",IF($D342&lt;&gt;单元查询!$B$3,"",IF(OR(单元查询!$D$3="",$E342&amp;""=单元查询!$D$3&amp;""),IF(ISNUMBER($B342),$B342*10000,0)+ROW(),"")))</f>
        <v/>
      </c>
      <c r="U342" s="0" t="str">
        <f aca="false">IF(OR($B342="",$L342="已完成"),"",IF(ISNUMBER($B342),IF(设置!$B$6&lt;$B342,"",(设置!$B$6-$B342)*100000+ROW()),""))</f>
        <v/>
      </c>
      <c r="V342" s="0" t="str">
        <f aca="false">IF(ISNUMBER($O342),IF($O342&gt;=2,IF(COUNTIFS($D342:$D$2006,$D342,$E342:$E$2006,$E342)=1,ROW(),""),""),"")</f>
        <v/>
      </c>
    </row>
    <row r="343" customFormat="false" ht="15" hidden="false" customHeight="true" outlineLevel="0" collapsed="false">
      <c r="A343" s="13" t="str">
        <f aca="false">IF(AND($B343="",$D343="",$E343="",$F343=""),"",IF(OR($B343="",$D343="",$E343=""),"待补",IF($D343="公共区域","公",IF($D343="商铺","S",SUBSTITUTE($D343,"栋","")))&amp;"-"&amp;$E343&amp;"-"&amp;TEXT(MONTH($B343),"00")&amp;TEXT(DAY($B343),"00")&amp;IF(ISNUMBER($O343),IF($O343&gt;1,"-"&amp;TEXT($O343,"00"),""),"")))</f>
        <v/>
      </c>
      <c r="B343" s="14"/>
      <c r="C343" s="10"/>
      <c r="D343" s="10"/>
      <c r="E343" s="10"/>
      <c r="F343" s="16"/>
      <c r="G343" s="10"/>
      <c r="H343" s="10"/>
      <c r="I343" s="10"/>
      <c r="J343" s="10"/>
      <c r="K343" s="10"/>
      <c r="L343" s="10"/>
      <c r="M343" s="14"/>
      <c r="N343" s="17" t="str">
        <f aca="false">IF($B343="","",IF($L343="已完成",IF($M343="","",$M343-$B343),IF(设置!$B$6&lt;$B343,"",IF((设置!$B$6-$B343)&gt;=设置!$B$5,"超期"&amp;(设置!$B$6-$B343)&amp;"天","已等"&amp;(设置!$B$6-$B343)&amp;"天"))))</f>
        <v/>
      </c>
      <c r="O343" s="18" t="str">
        <f aca="false">IF(OR($D343="",$E343=""),"",COUNTIFS($D$7:$D343,$D343,$E$7:$E343,$E343))</f>
        <v/>
      </c>
      <c r="P343" s="16"/>
      <c r="Q343" s="19"/>
      <c r="R343" s="10"/>
      <c r="S343" s="16"/>
      <c r="T343" s="0" t="str">
        <f aca="false">IF(OR($D343="",单元查询!$B$3=""),"",IF($D343&lt;&gt;单元查询!$B$3,"",IF(OR(单元查询!$D$3="",$E343&amp;""=单元查询!$D$3&amp;""),IF(ISNUMBER($B343),$B343*10000,0)+ROW(),"")))</f>
        <v/>
      </c>
      <c r="U343" s="0" t="str">
        <f aca="false">IF(OR($B343="",$L343="已完成"),"",IF(ISNUMBER($B343),IF(设置!$B$6&lt;$B343,"",(设置!$B$6-$B343)*100000+ROW()),""))</f>
        <v/>
      </c>
      <c r="V343" s="0" t="str">
        <f aca="false">IF(ISNUMBER($O343),IF($O343&gt;=2,IF(COUNTIFS($D343:$D$2006,$D343,$E343:$E$2006,$E343)=1,ROW(),""),""),"")</f>
        <v/>
      </c>
    </row>
    <row r="344" customFormat="false" ht="15" hidden="false" customHeight="true" outlineLevel="0" collapsed="false">
      <c r="A344" s="13" t="str">
        <f aca="false">IF(AND($B344="",$D344="",$E344="",$F344=""),"",IF(OR($B344="",$D344="",$E344=""),"待补",IF($D344="公共区域","公",IF($D344="商铺","S",SUBSTITUTE($D344,"栋","")))&amp;"-"&amp;$E344&amp;"-"&amp;TEXT(MONTH($B344),"00")&amp;TEXT(DAY($B344),"00")&amp;IF(ISNUMBER($O344),IF($O344&gt;1,"-"&amp;TEXT($O344,"00"),""),"")))</f>
        <v/>
      </c>
      <c r="B344" s="14"/>
      <c r="C344" s="10"/>
      <c r="D344" s="10"/>
      <c r="E344" s="10"/>
      <c r="F344" s="16"/>
      <c r="G344" s="10"/>
      <c r="H344" s="10"/>
      <c r="I344" s="10"/>
      <c r="J344" s="10"/>
      <c r="K344" s="10"/>
      <c r="L344" s="10"/>
      <c r="M344" s="14"/>
      <c r="N344" s="17" t="str">
        <f aca="false">IF($B344="","",IF($L344="已完成",IF($M344="","",$M344-$B344),IF(设置!$B$6&lt;$B344,"",IF((设置!$B$6-$B344)&gt;=设置!$B$5,"超期"&amp;(设置!$B$6-$B344)&amp;"天","已等"&amp;(设置!$B$6-$B344)&amp;"天"))))</f>
        <v/>
      </c>
      <c r="O344" s="18" t="str">
        <f aca="false">IF(OR($D344="",$E344=""),"",COUNTIFS($D$7:$D344,$D344,$E$7:$E344,$E344))</f>
        <v/>
      </c>
      <c r="P344" s="16"/>
      <c r="Q344" s="19"/>
      <c r="R344" s="10"/>
      <c r="S344" s="16"/>
      <c r="T344" s="0" t="str">
        <f aca="false">IF(OR($D344="",单元查询!$B$3=""),"",IF($D344&lt;&gt;单元查询!$B$3,"",IF(OR(单元查询!$D$3="",$E344&amp;""=单元查询!$D$3&amp;""),IF(ISNUMBER($B344),$B344*10000,0)+ROW(),"")))</f>
        <v/>
      </c>
      <c r="U344" s="0" t="str">
        <f aca="false">IF(OR($B344="",$L344="已完成"),"",IF(ISNUMBER($B344),IF(设置!$B$6&lt;$B344,"",(设置!$B$6-$B344)*100000+ROW()),""))</f>
        <v/>
      </c>
      <c r="V344" s="0" t="str">
        <f aca="false">IF(ISNUMBER($O344),IF($O344&gt;=2,IF(COUNTIFS($D344:$D$2006,$D344,$E344:$E$2006,$E344)=1,ROW(),""),""),"")</f>
        <v/>
      </c>
    </row>
    <row r="345" customFormat="false" ht="15" hidden="false" customHeight="true" outlineLevel="0" collapsed="false">
      <c r="A345" s="13" t="str">
        <f aca="false">IF(AND($B345="",$D345="",$E345="",$F345=""),"",IF(OR($B345="",$D345="",$E345=""),"待补",IF($D345="公共区域","公",IF($D345="商铺","S",SUBSTITUTE($D345,"栋","")))&amp;"-"&amp;$E345&amp;"-"&amp;TEXT(MONTH($B345),"00")&amp;TEXT(DAY($B345),"00")&amp;IF(ISNUMBER($O345),IF($O345&gt;1,"-"&amp;TEXT($O345,"00"),""),"")))</f>
        <v/>
      </c>
      <c r="B345" s="14"/>
      <c r="C345" s="10"/>
      <c r="D345" s="10"/>
      <c r="E345" s="10"/>
      <c r="F345" s="16"/>
      <c r="G345" s="10"/>
      <c r="H345" s="10"/>
      <c r="I345" s="10"/>
      <c r="J345" s="10"/>
      <c r="K345" s="10"/>
      <c r="L345" s="10"/>
      <c r="M345" s="14"/>
      <c r="N345" s="17" t="str">
        <f aca="false">IF($B345="","",IF($L345="已完成",IF($M345="","",$M345-$B345),IF(设置!$B$6&lt;$B345,"",IF((设置!$B$6-$B345)&gt;=设置!$B$5,"超期"&amp;(设置!$B$6-$B345)&amp;"天","已等"&amp;(设置!$B$6-$B345)&amp;"天"))))</f>
        <v/>
      </c>
      <c r="O345" s="18" t="str">
        <f aca="false">IF(OR($D345="",$E345=""),"",COUNTIFS($D$7:$D345,$D345,$E$7:$E345,$E345))</f>
        <v/>
      </c>
      <c r="P345" s="16"/>
      <c r="Q345" s="19"/>
      <c r="R345" s="10"/>
      <c r="S345" s="16"/>
      <c r="T345" s="0" t="str">
        <f aca="false">IF(OR($D345="",单元查询!$B$3=""),"",IF($D345&lt;&gt;单元查询!$B$3,"",IF(OR(单元查询!$D$3="",$E345&amp;""=单元查询!$D$3&amp;""),IF(ISNUMBER($B345),$B345*10000,0)+ROW(),"")))</f>
        <v/>
      </c>
      <c r="U345" s="0" t="str">
        <f aca="false">IF(OR($B345="",$L345="已完成"),"",IF(ISNUMBER($B345),IF(设置!$B$6&lt;$B345,"",(设置!$B$6-$B345)*100000+ROW()),""))</f>
        <v/>
      </c>
      <c r="V345" s="0" t="str">
        <f aca="false">IF(ISNUMBER($O345),IF($O345&gt;=2,IF(COUNTIFS($D345:$D$2006,$D345,$E345:$E$2006,$E345)=1,ROW(),""),""),"")</f>
        <v/>
      </c>
    </row>
    <row r="346" customFormat="false" ht="15" hidden="false" customHeight="true" outlineLevel="0" collapsed="false">
      <c r="A346" s="13" t="str">
        <f aca="false">IF(AND($B346="",$D346="",$E346="",$F346=""),"",IF(OR($B346="",$D346="",$E346=""),"待补",IF($D346="公共区域","公",IF($D346="商铺","S",SUBSTITUTE($D346,"栋","")))&amp;"-"&amp;$E346&amp;"-"&amp;TEXT(MONTH($B346),"00")&amp;TEXT(DAY($B346),"00")&amp;IF(ISNUMBER($O346),IF($O346&gt;1,"-"&amp;TEXT($O346,"00"),""),"")))</f>
        <v/>
      </c>
      <c r="B346" s="14"/>
      <c r="C346" s="10"/>
      <c r="D346" s="10"/>
      <c r="E346" s="10"/>
      <c r="F346" s="16"/>
      <c r="G346" s="10"/>
      <c r="H346" s="10"/>
      <c r="I346" s="10"/>
      <c r="J346" s="10"/>
      <c r="K346" s="10"/>
      <c r="L346" s="10"/>
      <c r="M346" s="14"/>
      <c r="N346" s="17" t="str">
        <f aca="false">IF($B346="","",IF($L346="已完成",IF($M346="","",$M346-$B346),IF(设置!$B$6&lt;$B346,"",IF((设置!$B$6-$B346)&gt;=设置!$B$5,"超期"&amp;(设置!$B$6-$B346)&amp;"天","已等"&amp;(设置!$B$6-$B346)&amp;"天"))))</f>
        <v/>
      </c>
      <c r="O346" s="18" t="str">
        <f aca="false">IF(OR($D346="",$E346=""),"",COUNTIFS($D$7:$D346,$D346,$E$7:$E346,$E346))</f>
        <v/>
      </c>
      <c r="P346" s="16"/>
      <c r="Q346" s="19"/>
      <c r="R346" s="10"/>
      <c r="S346" s="16"/>
      <c r="T346" s="0" t="str">
        <f aca="false">IF(OR($D346="",单元查询!$B$3=""),"",IF($D346&lt;&gt;单元查询!$B$3,"",IF(OR(单元查询!$D$3="",$E346&amp;""=单元查询!$D$3&amp;""),IF(ISNUMBER($B346),$B346*10000,0)+ROW(),"")))</f>
        <v/>
      </c>
      <c r="U346" s="0" t="str">
        <f aca="false">IF(OR($B346="",$L346="已完成"),"",IF(ISNUMBER($B346),IF(设置!$B$6&lt;$B346,"",(设置!$B$6-$B346)*100000+ROW()),""))</f>
        <v/>
      </c>
      <c r="V346" s="0" t="str">
        <f aca="false">IF(ISNUMBER($O346),IF($O346&gt;=2,IF(COUNTIFS($D346:$D$2006,$D346,$E346:$E$2006,$E346)=1,ROW(),""),""),"")</f>
        <v/>
      </c>
    </row>
    <row r="347" customFormat="false" ht="15" hidden="false" customHeight="true" outlineLevel="0" collapsed="false">
      <c r="A347" s="13" t="str">
        <f aca="false">IF(AND($B347="",$D347="",$E347="",$F347=""),"",IF(OR($B347="",$D347="",$E347=""),"待补",IF($D347="公共区域","公",IF($D347="商铺","S",SUBSTITUTE($D347,"栋","")))&amp;"-"&amp;$E347&amp;"-"&amp;TEXT(MONTH($B347),"00")&amp;TEXT(DAY($B347),"00")&amp;IF(ISNUMBER($O347),IF($O347&gt;1,"-"&amp;TEXT($O347,"00"),""),"")))</f>
        <v/>
      </c>
      <c r="B347" s="14"/>
      <c r="C347" s="10"/>
      <c r="D347" s="10"/>
      <c r="E347" s="10"/>
      <c r="F347" s="16"/>
      <c r="G347" s="10"/>
      <c r="H347" s="10"/>
      <c r="I347" s="10"/>
      <c r="J347" s="10"/>
      <c r="K347" s="10"/>
      <c r="L347" s="10"/>
      <c r="M347" s="14"/>
      <c r="N347" s="17" t="str">
        <f aca="false">IF($B347="","",IF($L347="已完成",IF($M347="","",$M347-$B347),IF(设置!$B$6&lt;$B347,"",IF((设置!$B$6-$B347)&gt;=设置!$B$5,"超期"&amp;(设置!$B$6-$B347)&amp;"天","已等"&amp;(设置!$B$6-$B347)&amp;"天"))))</f>
        <v/>
      </c>
      <c r="O347" s="18" t="str">
        <f aca="false">IF(OR($D347="",$E347=""),"",COUNTIFS($D$7:$D347,$D347,$E$7:$E347,$E347))</f>
        <v/>
      </c>
      <c r="P347" s="16"/>
      <c r="Q347" s="19"/>
      <c r="R347" s="10"/>
      <c r="S347" s="16"/>
      <c r="T347" s="0" t="str">
        <f aca="false">IF(OR($D347="",单元查询!$B$3=""),"",IF($D347&lt;&gt;单元查询!$B$3,"",IF(OR(单元查询!$D$3="",$E347&amp;""=单元查询!$D$3&amp;""),IF(ISNUMBER($B347),$B347*10000,0)+ROW(),"")))</f>
        <v/>
      </c>
      <c r="U347" s="0" t="str">
        <f aca="false">IF(OR($B347="",$L347="已完成"),"",IF(ISNUMBER($B347),IF(设置!$B$6&lt;$B347,"",(设置!$B$6-$B347)*100000+ROW()),""))</f>
        <v/>
      </c>
      <c r="V347" s="0" t="str">
        <f aca="false">IF(ISNUMBER($O347),IF($O347&gt;=2,IF(COUNTIFS($D347:$D$2006,$D347,$E347:$E$2006,$E347)=1,ROW(),""),""),"")</f>
        <v/>
      </c>
    </row>
    <row r="348" customFormat="false" ht="15" hidden="false" customHeight="true" outlineLevel="0" collapsed="false">
      <c r="A348" s="13" t="str">
        <f aca="false">IF(AND($B348="",$D348="",$E348="",$F348=""),"",IF(OR($B348="",$D348="",$E348=""),"待补",IF($D348="公共区域","公",IF($D348="商铺","S",SUBSTITUTE($D348,"栋","")))&amp;"-"&amp;$E348&amp;"-"&amp;TEXT(MONTH($B348),"00")&amp;TEXT(DAY($B348),"00")&amp;IF(ISNUMBER($O348),IF($O348&gt;1,"-"&amp;TEXT($O348,"00"),""),"")))</f>
        <v/>
      </c>
      <c r="B348" s="14"/>
      <c r="C348" s="10"/>
      <c r="D348" s="10"/>
      <c r="E348" s="10"/>
      <c r="F348" s="16"/>
      <c r="G348" s="10"/>
      <c r="H348" s="10"/>
      <c r="I348" s="10"/>
      <c r="J348" s="10"/>
      <c r="K348" s="10"/>
      <c r="L348" s="10"/>
      <c r="M348" s="14"/>
      <c r="N348" s="17" t="str">
        <f aca="false">IF($B348="","",IF($L348="已完成",IF($M348="","",$M348-$B348),IF(设置!$B$6&lt;$B348,"",IF((设置!$B$6-$B348)&gt;=设置!$B$5,"超期"&amp;(设置!$B$6-$B348)&amp;"天","已等"&amp;(设置!$B$6-$B348)&amp;"天"))))</f>
        <v/>
      </c>
      <c r="O348" s="18" t="str">
        <f aca="false">IF(OR($D348="",$E348=""),"",COUNTIFS($D$7:$D348,$D348,$E$7:$E348,$E348))</f>
        <v/>
      </c>
      <c r="P348" s="16"/>
      <c r="Q348" s="19"/>
      <c r="R348" s="10"/>
      <c r="S348" s="16"/>
      <c r="T348" s="0" t="str">
        <f aca="false">IF(OR($D348="",单元查询!$B$3=""),"",IF($D348&lt;&gt;单元查询!$B$3,"",IF(OR(单元查询!$D$3="",$E348&amp;""=单元查询!$D$3&amp;""),IF(ISNUMBER($B348),$B348*10000,0)+ROW(),"")))</f>
        <v/>
      </c>
      <c r="U348" s="0" t="str">
        <f aca="false">IF(OR($B348="",$L348="已完成"),"",IF(ISNUMBER($B348),IF(设置!$B$6&lt;$B348,"",(设置!$B$6-$B348)*100000+ROW()),""))</f>
        <v/>
      </c>
      <c r="V348" s="0" t="str">
        <f aca="false">IF(ISNUMBER($O348),IF($O348&gt;=2,IF(COUNTIFS($D348:$D$2006,$D348,$E348:$E$2006,$E348)=1,ROW(),""),""),"")</f>
        <v/>
      </c>
    </row>
    <row r="349" customFormat="false" ht="15" hidden="false" customHeight="true" outlineLevel="0" collapsed="false">
      <c r="A349" s="13" t="str">
        <f aca="false">IF(AND($B349="",$D349="",$E349="",$F349=""),"",IF(OR($B349="",$D349="",$E349=""),"待补",IF($D349="公共区域","公",IF($D349="商铺","S",SUBSTITUTE($D349,"栋","")))&amp;"-"&amp;$E349&amp;"-"&amp;TEXT(MONTH($B349),"00")&amp;TEXT(DAY($B349),"00")&amp;IF(ISNUMBER($O349),IF($O349&gt;1,"-"&amp;TEXT($O349,"00"),""),"")))</f>
        <v/>
      </c>
      <c r="B349" s="14"/>
      <c r="C349" s="10"/>
      <c r="D349" s="10"/>
      <c r="E349" s="10"/>
      <c r="F349" s="16"/>
      <c r="G349" s="10"/>
      <c r="H349" s="10"/>
      <c r="I349" s="10"/>
      <c r="J349" s="10"/>
      <c r="K349" s="10"/>
      <c r="L349" s="10"/>
      <c r="M349" s="14"/>
      <c r="N349" s="17" t="str">
        <f aca="false">IF($B349="","",IF($L349="已完成",IF($M349="","",$M349-$B349),IF(设置!$B$6&lt;$B349,"",IF((设置!$B$6-$B349)&gt;=设置!$B$5,"超期"&amp;(设置!$B$6-$B349)&amp;"天","已等"&amp;(设置!$B$6-$B349)&amp;"天"))))</f>
        <v/>
      </c>
      <c r="O349" s="18" t="str">
        <f aca="false">IF(OR($D349="",$E349=""),"",COUNTIFS($D$7:$D349,$D349,$E$7:$E349,$E349))</f>
        <v/>
      </c>
      <c r="P349" s="16"/>
      <c r="Q349" s="19"/>
      <c r="R349" s="10"/>
      <c r="S349" s="16"/>
      <c r="T349" s="0" t="str">
        <f aca="false">IF(OR($D349="",单元查询!$B$3=""),"",IF($D349&lt;&gt;单元查询!$B$3,"",IF(OR(单元查询!$D$3="",$E349&amp;""=单元查询!$D$3&amp;""),IF(ISNUMBER($B349),$B349*10000,0)+ROW(),"")))</f>
        <v/>
      </c>
      <c r="U349" s="0" t="str">
        <f aca="false">IF(OR($B349="",$L349="已完成"),"",IF(ISNUMBER($B349),IF(设置!$B$6&lt;$B349,"",(设置!$B$6-$B349)*100000+ROW()),""))</f>
        <v/>
      </c>
      <c r="V349" s="0" t="str">
        <f aca="false">IF(ISNUMBER($O349),IF($O349&gt;=2,IF(COUNTIFS($D349:$D$2006,$D349,$E349:$E$2006,$E349)=1,ROW(),""),""),"")</f>
        <v/>
      </c>
    </row>
    <row r="350" customFormat="false" ht="15" hidden="false" customHeight="true" outlineLevel="0" collapsed="false">
      <c r="A350" s="13" t="str">
        <f aca="false">IF(AND($B350="",$D350="",$E350="",$F350=""),"",IF(OR($B350="",$D350="",$E350=""),"待补",IF($D350="公共区域","公",IF($D350="商铺","S",SUBSTITUTE($D350,"栋","")))&amp;"-"&amp;$E350&amp;"-"&amp;TEXT(MONTH($B350),"00")&amp;TEXT(DAY($B350),"00")&amp;IF(ISNUMBER($O350),IF($O350&gt;1,"-"&amp;TEXT($O350,"00"),""),"")))</f>
        <v/>
      </c>
      <c r="B350" s="14"/>
      <c r="C350" s="10"/>
      <c r="D350" s="10"/>
      <c r="E350" s="10"/>
      <c r="F350" s="16"/>
      <c r="G350" s="10"/>
      <c r="H350" s="10"/>
      <c r="I350" s="10"/>
      <c r="J350" s="10"/>
      <c r="K350" s="10"/>
      <c r="L350" s="10"/>
      <c r="M350" s="14"/>
      <c r="N350" s="17" t="str">
        <f aca="false">IF($B350="","",IF($L350="已完成",IF($M350="","",$M350-$B350),IF(设置!$B$6&lt;$B350,"",IF((设置!$B$6-$B350)&gt;=设置!$B$5,"超期"&amp;(设置!$B$6-$B350)&amp;"天","已等"&amp;(设置!$B$6-$B350)&amp;"天"))))</f>
        <v/>
      </c>
      <c r="O350" s="18" t="str">
        <f aca="false">IF(OR($D350="",$E350=""),"",COUNTIFS($D$7:$D350,$D350,$E$7:$E350,$E350))</f>
        <v/>
      </c>
      <c r="P350" s="16"/>
      <c r="Q350" s="19"/>
      <c r="R350" s="10"/>
      <c r="S350" s="16"/>
      <c r="T350" s="0" t="str">
        <f aca="false">IF(OR($D350="",单元查询!$B$3=""),"",IF($D350&lt;&gt;单元查询!$B$3,"",IF(OR(单元查询!$D$3="",$E350&amp;""=单元查询!$D$3&amp;""),IF(ISNUMBER($B350),$B350*10000,0)+ROW(),"")))</f>
        <v/>
      </c>
      <c r="U350" s="0" t="str">
        <f aca="false">IF(OR($B350="",$L350="已完成"),"",IF(ISNUMBER($B350),IF(设置!$B$6&lt;$B350,"",(设置!$B$6-$B350)*100000+ROW()),""))</f>
        <v/>
      </c>
      <c r="V350" s="0" t="str">
        <f aca="false">IF(ISNUMBER($O350),IF($O350&gt;=2,IF(COUNTIFS($D350:$D$2006,$D350,$E350:$E$2006,$E350)=1,ROW(),""),""),"")</f>
        <v/>
      </c>
    </row>
    <row r="351" customFormat="false" ht="15" hidden="false" customHeight="true" outlineLevel="0" collapsed="false">
      <c r="A351" s="13" t="str">
        <f aca="false">IF(AND($B351="",$D351="",$E351="",$F351=""),"",IF(OR($B351="",$D351="",$E351=""),"待补",IF($D351="公共区域","公",IF($D351="商铺","S",SUBSTITUTE($D351,"栋","")))&amp;"-"&amp;$E351&amp;"-"&amp;TEXT(MONTH($B351),"00")&amp;TEXT(DAY($B351),"00")&amp;IF(ISNUMBER($O351),IF($O351&gt;1,"-"&amp;TEXT($O351,"00"),""),"")))</f>
        <v/>
      </c>
      <c r="B351" s="14"/>
      <c r="C351" s="10"/>
      <c r="D351" s="10"/>
      <c r="E351" s="10"/>
      <c r="F351" s="16"/>
      <c r="G351" s="10"/>
      <c r="H351" s="10"/>
      <c r="I351" s="10"/>
      <c r="J351" s="10"/>
      <c r="K351" s="10"/>
      <c r="L351" s="10"/>
      <c r="M351" s="14"/>
      <c r="N351" s="17" t="str">
        <f aca="false">IF($B351="","",IF($L351="已完成",IF($M351="","",$M351-$B351),IF(设置!$B$6&lt;$B351,"",IF((设置!$B$6-$B351)&gt;=设置!$B$5,"超期"&amp;(设置!$B$6-$B351)&amp;"天","已等"&amp;(设置!$B$6-$B351)&amp;"天"))))</f>
        <v/>
      </c>
      <c r="O351" s="18" t="str">
        <f aca="false">IF(OR($D351="",$E351=""),"",COUNTIFS($D$7:$D351,$D351,$E$7:$E351,$E351))</f>
        <v/>
      </c>
      <c r="P351" s="16"/>
      <c r="Q351" s="19"/>
      <c r="R351" s="10"/>
      <c r="S351" s="16"/>
      <c r="T351" s="0" t="str">
        <f aca="false">IF(OR($D351="",单元查询!$B$3=""),"",IF($D351&lt;&gt;单元查询!$B$3,"",IF(OR(单元查询!$D$3="",$E351&amp;""=单元查询!$D$3&amp;""),IF(ISNUMBER($B351),$B351*10000,0)+ROW(),"")))</f>
        <v/>
      </c>
      <c r="U351" s="0" t="str">
        <f aca="false">IF(OR($B351="",$L351="已完成"),"",IF(ISNUMBER($B351),IF(设置!$B$6&lt;$B351,"",(设置!$B$6-$B351)*100000+ROW()),""))</f>
        <v/>
      </c>
      <c r="V351" s="0" t="str">
        <f aca="false">IF(ISNUMBER($O351),IF($O351&gt;=2,IF(COUNTIFS($D351:$D$2006,$D351,$E351:$E$2006,$E351)=1,ROW(),""),""),"")</f>
        <v/>
      </c>
    </row>
    <row r="352" customFormat="false" ht="15" hidden="false" customHeight="true" outlineLevel="0" collapsed="false">
      <c r="A352" s="13" t="str">
        <f aca="false">IF(AND($B352="",$D352="",$E352="",$F352=""),"",IF(OR($B352="",$D352="",$E352=""),"待补",IF($D352="公共区域","公",IF($D352="商铺","S",SUBSTITUTE($D352,"栋","")))&amp;"-"&amp;$E352&amp;"-"&amp;TEXT(MONTH($B352),"00")&amp;TEXT(DAY($B352),"00")&amp;IF(ISNUMBER($O352),IF($O352&gt;1,"-"&amp;TEXT($O352,"00"),""),"")))</f>
        <v/>
      </c>
      <c r="B352" s="14"/>
      <c r="C352" s="10"/>
      <c r="D352" s="10"/>
      <c r="E352" s="10"/>
      <c r="F352" s="16"/>
      <c r="G352" s="10"/>
      <c r="H352" s="10"/>
      <c r="I352" s="10"/>
      <c r="J352" s="10"/>
      <c r="K352" s="10"/>
      <c r="L352" s="10"/>
      <c r="M352" s="14"/>
      <c r="N352" s="17" t="str">
        <f aca="false">IF($B352="","",IF($L352="已完成",IF($M352="","",$M352-$B352),IF(设置!$B$6&lt;$B352,"",IF((设置!$B$6-$B352)&gt;=设置!$B$5,"超期"&amp;(设置!$B$6-$B352)&amp;"天","已等"&amp;(设置!$B$6-$B352)&amp;"天"))))</f>
        <v/>
      </c>
      <c r="O352" s="18" t="str">
        <f aca="false">IF(OR($D352="",$E352=""),"",COUNTIFS($D$7:$D352,$D352,$E$7:$E352,$E352))</f>
        <v/>
      </c>
      <c r="P352" s="16"/>
      <c r="Q352" s="19"/>
      <c r="R352" s="10"/>
      <c r="S352" s="16"/>
      <c r="T352" s="0" t="str">
        <f aca="false">IF(OR($D352="",单元查询!$B$3=""),"",IF($D352&lt;&gt;单元查询!$B$3,"",IF(OR(单元查询!$D$3="",$E352&amp;""=单元查询!$D$3&amp;""),IF(ISNUMBER($B352),$B352*10000,0)+ROW(),"")))</f>
        <v/>
      </c>
      <c r="U352" s="0" t="str">
        <f aca="false">IF(OR($B352="",$L352="已完成"),"",IF(ISNUMBER($B352),IF(设置!$B$6&lt;$B352,"",(设置!$B$6-$B352)*100000+ROW()),""))</f>
        <v/>
      </c>
      <c r="V352" s="0" t="str">
        <f aca="false">IF(ISNUMBER($O352),IF($O352&gt;=2,IF(COUNTIFS($D352:$D$2006,$D352,$E352:$E$2006,$E352)=1,ROW(),""),""),"")</f>
        <v/>
      </c>
    </row>
    <row r="353" customFormat="false" ht="15" hidden="false" customHeight="true" outlineLevel="0" collapsed="false">
      <c r="A353" s="13" t="str">
        <f aca="false">IF(AND($B353="",$D353="",$E353="",$F353=""),"",IF(OR($B353="",$D353="",$E353=""),"待补",IF($D353="公共区域","公",IF($D353="商铺","S",SUBSTITUTE($D353,"栋","")))&amp;"-"&amp;$E353&amp;"-"&amp;TEXT(MONTH($B353),"00")&amp;TEXT(DAY($B353),"00")&amp;IF(ISNUMBER($O353),IF($O353&gt;1,"-"&amp;TEXT($O353,"00"),""),"")))</f>
        <v/>
      </c>
      <c r="B353" s="14"/>
      <c r="C353" s="10"/>
      <c r="D353" s="10"/>
      <c r="E353" s="10"/>
      <c r="F353" s="16"/>
      <c r="G353" s="10"/>
      <c r="H353" s="10"/>
      <c r="I353" s="10"/>
      <c r="J353" s="10"/>
      <c r="K353" s="10"/>
      <c r="L353" s="10"/>
      <c r="M353" s="14"/>
      <c r="N353" s="17" t="str">
        <f aca="false">IF($B353="","",IF($L353="已完成",IF($M353="","",$M353-$B353),IF(设置!$B$6&lt;$B353,"",IF((设置!$B$6-$B353)&gt;=设置!$B$5,"超期"&amp;(设置!$B$6-$B353)&amp;"天","已等"&amp;(设置!$B$6-$B353)&amp;"天"))))</f>
        <v/>
      </c>
      <c r="O353" s="18" t="str">
        <f aca="false">IF(OR($D353="",$E353=""),"",COUNTIFS($D$7:$D353,$D353,$E$7:$E353,$E353))</f>
        <v/>
      </c>
      <c r="P353" s="16"/>
      <c r="Q353" s="19"/>
      <c r="R353" s="10"/>
      <c r="S353" s="16"/>
      <c r="T353" s="0" t="str">
        <f aca="false">IF(OR($D353="",单元查询!$B$3=""),"",IF($D353&lt;&gt;单元查询!$B$3,"",IF(OR(单元查询!$D$3="",$E353&amp;""=单元查询!$D$3&amp;""),IF(ISNUMBER($B353),$B353*10000,0)+ROW(),"")))</f>
        <v/>
      </c>
      <c r="U353" s="0" t="str">
        <f aca="false">IF(OR($B353="",$L353="已完成"),"",IF(ISNUMBER($B353),IF(设置!$B$6&lt;$B353,"",(设置!$B$6-$B353)*100000+ROW()),""))</f>
        <v/>
      </c>
      <c r="V353" s="0" t="str">
        <f aca="false">IF(ISNUMBER($O353),IF($O353&gt;=2,IF(COUNTIFS($D353:$D$2006,$D353,$E353:$E$2006,$E353)=1,ROW(),""),""),"")</f>
        <v/>
      </c>
    </row>
    <row r="354" customFormat="false" ht="15" hidden="false" customHeight="true" outlineLevel="0" collapsed="false">
      <c r="A354" s="13" t="str">
        <f aca="false">IF(AND($B354="",$D354="",$E354="",$F354=""),"",IF(OR($B354="",$D354="",$E354=""),"待补",IF($D354="公共区域","公",IF($D354="商铺","S",SUBSTITUTE($D354,"栋","")))&amp;"-"&amp;$E354&amp;"-"&amp;TEXT(MONTH($B354),"00")&amp;TEXT(DAY($B354),"00")&amp;IF(ISNUMBER($O354),IF($O354&gt;1,"-"&amp;TEXT($O354,"00"),""),"")))</f>
        <v/>
      </c>
      <c r="B354" s="14"/>
      <c r="C354" s="10"/>
      <c r="D354" s="10"/>
      <c r="E354" s="10"/>
      <c r="F354" s="16"/>
      <c r="G354" s="10"/>
      <c r="H354" s="10"/>
      <c r="I354" s="10"/>
      <c r="J354" s="10"/>
      <c r="K354" s="10"/>
      <c r="L354" s="10"/>
      <c r="M354" s="14"/>
      <c r="N354" s="17" t="str">
        <f aca="false">IF($B354="","",IF($L354="已完成",IF($M354="","",$M354-$B354),IF(设置!$B$6&lt;$B354,"",IF((设置!$B$6-$B354)&gt;=设置!$B$5,"超期"&amp;(设置!$B$6-$B354)&amp;"天","已等"&amp;(设置!$B$6-$B354)&amp;"天"))))</f>
        <v/>
      </c>
      <c r="O354" s="18" t="str">
        <f aca="false">IF(OR($D354="",$E354=""),"",COUNTIFS($D$7:$D354,$D354,$E$7:$E354,$E354))</f>
        <v/>
      </c>
      <c r="P354" s="16"/>
      <c r="Q354" s="19"/>
      <c r="R354" s="10"/>
      <c r="S354" s="16"/>
      <c r="T354" s="0" t="str">
        <f aca="false">IF(OR($D354="",单元查询!$B$3=""),"",IF($D354&lt;&gt;单元查询!$B$3,"",IF(OR(单元查询!$D$3="",$E354&amp;""=单元查询!$D$3&amp;""),IF(ISNUMBER($B354),$B354*10000,0)+ROW(),"")))</f>
        <v/>
      </c>
      <c r="U354" s="0" t="str">
        <f aca="false">IF(OR($B354="",$L354="已完成"),"",IF(ISNUMBER($B354),IF(设置!$B$6&lt;$B354,"",(设置!$B$6-$B354)*100000+ROW()),""))</f>
        <v/>
      </c>
      <c r="V354" s="0" t="str">
        <f aca="false">IF(ISNUMBER($O354),IF($O354&gt;=2,IF(COUNTIFS($D354:$D$2006,$D354,$E354:$E$2006,$E354)=1,ROW(),""),""),"")</f>
        <v/>
      </c>
    </row>
    <row r="355" customFormat="false" ht="15" hidden="false" customHeight="true" outlineLevel="0" collapsed="false">
      <c r="A355" s="13" t="str">
        <f aca="false">IF(AND($B355="",$D355="",$E355="",$F355=""),"",IF(OR($B355="",$D355="",$E355=""),"待补",IF($D355="公共区域","公",IF($D355="商铺","S",SUBSTITUTE($D355,"栋","")))&amp;"-"&amp;$E355&amp;"-"&amp;TEXT(MONTH($B355),"00")&amp;TEXT(DAY($B355),"00")&amp;IF(ISNUMBER($O355),IF($O355&gt;1,"-"&amp;TEXT($O355,"00"),""),"")))</f>
        <v/>
      </c>
      <c r="B355" s="14"/>
      <c r="C355" s="10"/>
      <c r="D355" s="10"/>
      <c r="E355" s="10"/>
      <c r="F355" s="16"/>
      <c r="G355" s="10"/>
      <c r="H355" s="10"/>
      <c r="I355" s="10"/>
      <c r="J355" s="10"/>
      <c r="K355" s="10"/>
      <c r="L355" s="10"/>
      <c r="M355" s="14"/>
      <c r="N355" s="17" t="str">
        <f aca="false">IF($B355="","",IF($L355="已完成",IF($M355="","",$M355-$B355),IF(设置!$B$6&lt;$B355,"",IF((设置!$B$6-$B355)&gt;=设置!$B$5,"超期"&amp;(设置!$B$6-$B355)&amp;"天","已等"&amp;(设置!$B$6-$B355)&amp;"天"))))</f>
        <v/>
      </c>
      <c r="O355" s="18" t="str">
        <f aca="false">IF(OR($D355="",$E355=""),"",COUNTIFS($D$7:$D355,$D355,$E$7:$E355,$E355))</f>
        <v/>
      </c>
      <c r="P355" s="16"/>
      <c r="Q355" s="19"/>
      <c r="R355" s="10"/>
      <c r="S355" s="16"/>
      <c r="T355" s="0" t="str">
        <f aca="false">IF(OR($D355="",单元查询!$B$3=""),"",IF($D355&lt;&gt;单元查询!$B$3,"",IF(OR(单元查询!$D$3="",$E355&amp;""=单元查询!$D$3&amp;""),IF(ISNUMBER($B355),$B355*10000,0)+ROW(),"")))</f>
        <v/>
      </c>
      <c r="U355" s="0" t="str">
        <f aca="false">IF(OR($B355="",$L355="已完成"),"",IF(ISNUMBER($B355),IF(设置!$B$6&lt;$B355,"",(设置!$B$6-$B355)*100000+ROW()),""))</f>
        <v/>
      </c>
      <c r="V355" s="0" t="str">
        <f aca="false">IF(ISNUMBER($O355),IF($O355&gt;=2,IF(COUNTIFS($D355:$D$2006,$D355,$E355:$E$2006,$E355)=1,ROW(),""),""),"")</f>
        <v/>
      </c>
    </row>
    <row r="356" customFormat="false" ht="15" hidden="false" customHeight="true" outlineLevel="0" collapsed="false">
      <c r="A356" s="13" t="str">
        <f aca="false">IF(AND($B356="",$D356="",$E356="",$F356=""),"",IF(OR($B356="",$D356="",$E356=""),"待补",IF($D356="公共区域","公",IF($D356="商铺","S",SUBSTITUTE($D356,"栋","")))&amp;"-"&amp;$E356&amp;"-"&amp;TEXT(MONTH($B356),"00")&amp;TEXT(DAY($B356),"00")&amp;IF(ISNUMBER($O356),IF($O356&gt;1,"-"&amp;TEXT($O356,"00"),""),"")))</f>
        <v/>
      </c>
      <c r="B356" s="14"/>
      <c r="C356" s="10"/>
      <c r="D356" s="10"/>
      <c r="E356" s="10"/>
      <c r="F356" s="16"/>
      <c r="G356" s="10"/>
      <c r="H356" s="10"/>
      <c r="I356" s="10"/>
      <c r="J356" s="10"/>
      <c r="K356" s="10"/>
      <c r="L356" s="10"/>
      <c r="M356" s="14"/>
      <c r="N356" s="17" t="str">
        <f aca="false">IF($B356="","",IF($L356="已完成",IF($M356="","",$M356-$B356),IF(设置!$B$6&lt;$B356,"",IF((设置!$B$6-$B356)&gt;=设置!$B$5,"超期"&amp;(设置!$B$6-$B356)&amp;"天","已等"&amp;(设置!$B$6-$B356)&amp;"天"))))</f>
        <v/>
      </c>
      <c r="O356" s="18" t="str">
        <f aca="false">IF(OR($D356="",$E356=""),"",COUNTIFS($D$7:$D356,$D356,$E$7:$E356,$E356))</f>
        <v/>
      </c>
      <c r="P356" s="16"/>
      <c r="Q356" s="19"/>
      <c r="R356" s="10"/>
      <c r="S356" s="16"/>
      <c r="T356" s="0" t="str">
        <f aca="false">IF(OR($D356="",单元查询!$B$3=""),"",IF($D356&lt;&gt;单元查询!$B$3,"",IF(OR(单元查询!$D$3="",$E356&amp;""=单元查询!$D$3&amp;""),IF(ISNUMBER($B356),$B356*10000,0)+ROW(),"")))</f>
        <v/>
      </c>
      <c r="U356" s="0" t="str">
        <f aca="false">IF(OR($B356="",$L356="已完成"),"",IF(ISNUMBER($B356),IF(设置!$B$6&lt;$B356,"",(设置!$B$6-$B356)*100000+ROW()),""))</f>
        <v/>
      </c>
      <c r="V356" s="0" t="str">
        <f aca="false">IF(ISNUMBER($O356),IF($O356&gt;=2,IF(COUNTIFS($D356:$D$2006,$D356,$E356:$E$2006,$E356)=1,ROW(),""),""),"")</f>
        <v/>
      </c>
    </row>
    <row r="357" customFormat="false" ht="15" hidden="false" customHeight="true" outlineLevel="0" collapsed="false">
      <c r="A357" s="13" t="str">
        <f aca="false">IF(AND($B357="",$D357="",$E357="",$F357=""),"",IF(OR($B357="",$D357="",$E357=""),"待补",IF($D357="公共区域","公",IF($D357="商铺","S",SUBSTITUTE($D357,"栋","")))&amp;"-"&amp;$E357&amp;"-"&amp;TEXT(MONTH($B357),"00")&amp;TEXT(DAY($B357),"00")&amp;IF(ISNUMBER($O357),IF($O357&gt;1,"-"&amp;TEXT($O357,"00"),""),"")))</f>
        <v/>
      </c>
      <c r="B357" s="14"/>
      <c r="C357" s="10"/>
      <c r="D357" s="10"/>
      <c r="E357" s="10"/>
      <c r="F357" s="16"/>
      <c r="G357" s="10"/>
      <c r="H357" s="10"/>
      <c r="I357" s="10"/>
      <c r="J357" s="10"/>
      <c r="K357" s="10"/>
      <c r="L357" s="10"/>
      <c r="M357" s="14"/>
      <c r="N357" s="17" t="str">
        <f aca="false">IF($B357="","",IF($L357="已完成",IF($M357="","",$M357-$B357),IF(设置!$B$6&lt;$B357,"",IF((设置!$B$6-$B357)&gt;=设置!$B$5,"超期"&amp;(设置!$B$6-$B357)&amp;"天","已等"&amp;(设置!$B$6-$B357)&amp;"天"))))</f>
        <v/>
      </c>
      <c r="O357" s="18" t="str">
        <f aca="false">IF(OR($D357="",$E357=""),"",COUNTIFS($D$7:$D357,$D357,$E$7:$E357,$E357))</f>
        <v/>
      </c>
      <c r="P357" s="16"/>
      <c r="Q357" s="19"/>
      <c r="R357" s="10"/>
      <c r="S357" s="16"/>
      <c r="T357" s="0" t="str">
        <f aca="false">IF(OR($D357="",单元查询!$B$3=""),"",IF($D357&lt;&gt;单元查询!$B$3,"",IF(OR(单元查询!$D$3="",$E357&amp;""=单元查询!$D$3&amp;""),IF(ISNUMBER($B357),$B357*10000,0)+ROW(),"")))</f>
        <v/>
      </c>
      <c r="U357" s="0" t="str">
        <f aca="false">IF(OR($B357="",$L357="已完成"),"",IF(ISNUMBER($B357),IF(设置!$B$6&lt;$B357,"",(设置!$B$6-$B357)*100000+ROW()),""))</f>
        <v/>
      </c>
      <c r="V357" s="0" t="str">
        <f aca="false">IF(ISNUMBER($O357),IF($O357&gt;=2,IF(COUNTIFS($D357:$D$2006,$D357,$E357:$E$2006,$E357)=1,ROW(),""),""),"")</f>
        <v/>
      </c>
    </row>
    <row r="358" customFormat="false" ht="15" hidden="false" customHeight="true" outlineLevel="0" collapsed="false">
      <c r="A358" s="13" t="str">
        <f aca="false">IF(AND($B358="",$D358="",$E358="",$F358=""),"",IF(OR($B358="",$D358="",$E358=""),"待补",IF($D358="公共区域","公",IF($D358="商铺","S",SUBSTITUTE($D358,"栋","")))&amp;"-"&amp;$E358&amp;"-"&amp;TEXT(MONTH($B358),"00")&amp;TEXT(DAY($B358),"00")&amp;IF(ISNUMBER($O358),IF($O358&gt;1,"-"&amp;TEXT($O358,"00"),""),"")))</f>
        <v/>
      </c>
      <c r="B358" s="14"/>
      <c r="C358" s="10"/>
      <c r="D358" s="10"/>
      <c r="E358" s="10"/>
      <c r="F358" s="16"/>
      <c r="G358" s="10"/>
      <c r="H358" s="10"/>
      <c r="I358" s="10"/>
      <c r="J358" s="10"/>
      <c r="K358" s="10"/>
      <c r="L358" s="10"/>
      <c r="M358" s="14"/>
      <c r="N358" s="17" t="str">
        <f aca="false">IF($B358="","",IF($L358="已完成",IF($M358="","",$M358-$B358),IF(设置!$B$6&lt;$B358,"",IF((设置!$B$6-$B358)&gt;=设置!$B$5,"超期"&amp;(设置!$B$6-$B358)&amp;"天","已等"&amp;(设置!$B$6-$B358)&amp;"天"))))</f>
        <v/>
      </c>
      <c r="O358" s="18" t="str">
        <f aca="false">IF(OR($D358="",$E358=""),"",COUNTIFS($D$7:$D358,$D358,$E$7:$E358,$E358))</f>
        <v/>
      </c>
      <c r="P358" s="16"/>
      <c r="Q358" s="19"/>
      <c r="R358" s="10"/>
      <c r="S358" s="16"/>
      <c r="T358" s="0" t="str">
        <f aca="false">IF(OR($D358="",单元查询!$B$3=""),"",IF($D358&lt;&gt;单元查询!$B$3,"",IF(OR(单元查询!$D$3="",$E358&amp;""=单元查询!$D$3&amp;""),IF(ISNUMBER($B358),$B358*10000,0)+ROW(),"")))</f>
        <v/>
      </c>
      <c r="U358" s="0" t="str">
        <f aca="false">IF(OR($B358="",$L358="已完成"),"",IF(ISNUMBER($B358),IF(设置!$B$6&lt;$B358,"",(设置!$B$6-$B358)*100000+ROW()),""))</f>
        <v/>
      </c>
      <c r="V358" s="0" t="str">
        <f aca="false">IF(ISNUMBER($O358),IF($O358&gt;=2,IF(COUNTIFS($D358:$D$2006,$D358,$E358:$E$2006,$E358)=1,ROW(),""),""),"")</f>
        <v/>
      </c>
    </row>
    <row r="359" customFormat="false" ht="15" hidden="false" customHeight="true" outlineLevel="0" collapsed="false">
      <c r="A359" s="13" t="str">
        <f aca="false">IF(AND($B359="",$D359="",$E359="",$F359=""),"",IF(OR($B359="",$D359="",$E359=""),"待补",IF($D359="公共区域","公",IF($D359="商铺","S",SUBSTITUTE($D359,"栋","")))&amp;"-"&amp;$E359&amp;"-"&amp;TEXT(MONTH($B359),"00")&amp;TEXT(DAY($B359),"00")&amp;IF(ISNUMBER($O359),IF($O359&gt;1,"-"&amp;TEXT($O359,"00"),""),"")))</f>
        <v/>
      </c>
      <c r="B359" s="14"/>
      <c r="C359" s="10"/>
      <c r="D359" s="10"/>
      <c r="E359" s="10"/>
      <c r="F359" s="16"/>
      <c r="G359" s="10"/>
      <c r="H359" s="10"/>
      <c r="I359" s="10"/>
      <c r="J359" s="10"/>
      <c r="K359" s="10"/>
      <c r="L359" s="10"/>
      <c r="M359" s="14"/>
      <c r="N359" s="17" t="str">
        <f aca="false">IF($B359="","",IF($L359="已完成",IF($M359="","",$M359-$B359),IF(设置!$B$6&lt;$B359,"",IF((设置!$B$6-$B359)&gt;=设置!$B$5,"超期"&amp;(设置!$B$6-$B359)&amp;"天","已等"&amp;(设置!$B$6-$B359)&amp;"天"))))</f>
        <v/>
      </c>
      <c r="O359" s="18" t="str">
        <f aca="false">IF(OR($D359="",$E359=""),"",COUNTIFS($D$7:$D359,$D359,$E$7:$E359,$E359))</f>
        <v/>
      </c>
      <c r="P359" s="16"/>
      <c r="Q359" s="19"/>
      <c r="R359" s="10"/>
      <c r="S359" s="16"/>
      <c r="T359" s="0" t="str">
        <f aca="false">IF(OR($D359="",单元查询!$B$3=""),"",IF($D359&lt;&gt;单元查询!$B$3,"",IF(OR(单元查询!$D$3="",$E359&amp;""=单元查询!$D$3&amp;""),IF(ISNUMBER($B359),$B359*10000,0)+ROW(),"")))</f>
        <v/>
      </c>
      <c r="U359" s="0" t="str">
        <f aca="false">IF(OR($B359="",$L359="已完成"),"",IF(ISNUMBER($B359),IF(设置!$B$6&lt;$B359,"",(设置!$B$6-$B359)*100000+ROW()),""))</f>
        <v/>
      </c>
      <c r="V359" s="0" t="str">
        <f aca="false">IF(ISNUMBER($O359),IF($O359&gt;=2,IF(COUNTIFS($D359:$D$2006,$D359,$E359:$E$2006,$E359)=1,ROW(),""),""),"")</f>
        <v/>
      </c>
    </row>
    <row r="360" customFormat="false" ht="15" hidden="false" customHeight="true" outlineLevel="0" collapsed="false">
      <c r="A360" s="13" t="str">
        <f aca="false">IF(AND($B360="",$D360="",$E360="",$F360=""),"",IF(OR($B360="",$D360="",$E360=""),"待补",IF($D360="公共区域","公",IF($D360="商铺","S",SUBSTITUTE($D360,"栋","")))&amp;"-"&amp;$E360&amp;"-"&amp;TEXT(MONTH($B360),"00")&amp;TEXT(DAY($B360),"00")&amp;IF(ISNUMBER($O360),IF($O360&gt;1,"-"&amp;TEXT($O360,"00"),""),"")))</f>
        <v/>
      </c>
      <c r="B360" s="14"/>
      <c r="C360" s="10"/>
      <c r="D360" s="10"/>
      <c r="E360" s="10"/>
      <c r="F360" s="16"/>
      <c r="G360" s="10"/>
      <c r="H360" s="10"/>
      <c r="I360" s="10"/>
      <c r="J360" s="10"/>
      <c r="K360" s="10"/>
      <c r="L360" s="10"/>
      <c r="M360" s="14"/>
      <c r="N360" s="17" t="str">
        <f aca="false">IF($B360="","",IF($L360="已完成",IF($M360="","",$M360-$B360),IF(设置!$B$6&lt;$B360,"",IF((设置!$B$6-$B360)&gt;=设置!$B$5,"超期"&amp;(设置!$B$6-$B360)&amp;"天","已等"&amp;(设置!$B$6-$B360)&amp;"天"))))</f>
        <v/>
      </c>
      <c r="O360" s="18" t="str">
        <f aca="false">IF(OR($D360="",$E360=""),"",COUNTIFS($D$7:$D360,$D360,$E$7:$E360,$E360))</f>
        <v/>
      </c>
      <c r="P360" s="16"/>
      <c r="Q360" s="19"/>
      <c r="R360" s="10"/>
      <c r="S360" s="16"/>
      <c r="T360" s="0" t="str">
        <f aca="false">IF(OR($D360="",单元查询!$B$3=""),"",IF($D360&lt;&gt;单元查询!$B$3,"",IF(OR(单元查询!$D$3="",$E360&amp;""=单元查询!$D$3&amp;""),IF(ISNUMBER($B360),$B360*10000,0)+ROW(),"")))</f>
        <v/>
      </c>
      <c r="U360" s="0" t="str">
        <f aca="false">IF(OR($B360="",$L360="已完成"),"",IF(ISNUMBER($B360),IF(设置!$B$6&lt;$B360,"",(设置!$B$6-$B360)*100000+ROW()),""))</f>
        <v/>
      </c>
      <c r="V360" s="0" t="str">
        <f aca="false">IF(ISNUMBER($O360),IF($O360&gt;=2,IF(COUNTIFS($D360:$D$2006,$D360,$E360:$E$2006,$E360)=1,ROW(),""),""),"")</f>
        <v/>
      </c>
    </row>
    <row r="361" customFormat="false" ht="15" hidden="false" customHeight="true" outlineLevel="0" collapsed="false">
      <c r="A361" s="13" t="str">
        <f aca="false">IF(AND($B361="",$D361="",$E361="",$F361=""),"",IF(OR($B361="",$D361="",$E361=""),"待补",IF($D361="公共区域","公",IF($D361="商铺","S",SUBSTITUTE($D361,"栋","")))&amp;"-"&amp;$E361&amp;"-"&amp;TEXT(MONTH($B361),"00")&amp;TEXT(DAY($B361),"00")&amp;IF(ISNUMBER($O361),IF($O361&gt;1,"-"&amp;TEXT($O361,"00"),""),"")))</f>
        <v/>
      </c>
      <c r="B361" s="14"/>
      <c r="C361" s="10"/>
      <c r="D361" s="10"/>
      <c r="E361" s="10"/>
      <c r="F361" s="16"/>
      <c r="G361" s="10"/>
      <c r="H361" s="10"/>
      <c r="I361" s="10"/>
      <c r="J361" s="10"/>
      <c r="K361" s="10"/>
      <c r="L361" s="10"/>
      <c r="M361" s="14"/>
      <c r="N361" s="17" t="str">
        <f aca="false">IF($B361="","",IF($L361="已完成",IF($M361="","",$M361-$B361),IF(设置!$B$6&lt;$B361,"",IF((设置!$B$6-$B361)&gt;=设置!$B$5,"超期"&amp;(设置!$B$6-$B361)&amp;"天","已等"&amp;(设置!$B$6-$B361)&amp;"天"))))</f>
        <v/>
      </c>
      <c r="O361" s="18" t="str">
        <f aca="false">IF(OR($D361="",$E361=""),"",COUNTIFS($D$7:$D361,$D361,$E$7:$E361,$E361))</f>
        <v/>
      </c>
      <c r="P361" s="16"/>
      <c r="Q361" s="19"/>
      <c r="R361" s="10"/>
      <c r="S361" s="16"/>
      <c r="T361" s="0" t="str">
        <f aca="false">IF(OR($D361="",单元查询!$B$3=""),"",IF($D361&lt;&gt;单元查询!$B$3,"",IF(OR(单元查询!$D$3="",$E361&amp;""=单元查询!$D$3&amp;""),IF(ISNUMBER($B361),$B361*10000,0)+ROW(),"")))</f>
        <v/>
      </c>
      <c r="U361" s="0" t="str">
        <f aca="false">IF(OR($B361="",$L361="已完成"),"",IF(ISNUMBER($B361),IF(设置!$B$6&lt;$B361,"",(设置!$B$6-$B361)*100000+ROW()),""))</f>
        <v/>
      </c>
      <c r="V361" s="0" t="str">
        <f aca="false">IF(ISNUMBER($O361),IF($O361&gt;=2,IF(COUNTIFS($D361:$D$2006,$D361,$E361:$E$2006,$E361)=1,ROW(),""),""),"")</f>
        <v/>
      </c>
    </row>
    <row r="362" customFormat="false" ht="15" hidden="false" customHeight="true" outlineLevel="0" collapsed="false">
      <c r="A362" s="13" t="str">
        <f aca="false">IF(AND($B362="",$D362="",$E362="",$F362=""),"",IF(OR($B362="",$D362="",$E362=""),"待补",IF($D362="公共区域","公",IF($D362="商铺","S",SUBSTITUTE($D362,"栋","")))&amp;"-"&amp;$E362&amp;"-"&amp;TEXT(MONTH($B362),"00")&amp;TEXT(DAY($B362),"00")&amp;IF(ISNUMBER($O362),IF($O362&gt;1,"-"&amp;TEXT($O362,"00"),""),"")))</f>
        <v/>
      </c>
      <c r="B362" s="14"/>
      <c r="C362" s="10"/>
      <c r="D362" s="10"/>
      <c r="E362" s="10"/>
      <c r="F362" s="16"/>
      <c r="G362" s="10"/>
      <c r="H362" s="10"/>
      <c r="I362" s="10"/>
      <c r="J362" s="10"/>
      <c r="K362" s="10"/>
      <c r="L362" s="10"/>
      <c r="M362" s="14"/>
      <c r="N362" s="17" t="str">
        <f aca="false">IF($B362="","",IF($L362="已完成",IF($M362="","",$M362-$B362),IF(设置!$B$6&lt;$B362,"",IF((设置!$B$6-$B362)&gt;=设置!$B$5,"超期"&amp;(设置!$B$6-$B362)&amp;"天","已等"&amp;(设置!$B$6-$B362)&amp;"天"))))</f>
        <v/>
      </c>
      <c r="O362" s="18" t="str">
        <f aca="false">IF(OR($D362="",$E362=""),"",COUNTIFS($D$7:$D362,$D362,$E$7:$E362,$E362))</f>
        <v/>
      </c>
      <c r="P362" s="16"/>
      <c r="Q362" s="19"/>
      <c r="R362" s="10"/>
      <c r="S362" s="16"/>
      <c r="T362" s="0" t="str">
        <f aca="false">IF(OR($D362="",单元查询!$B$3=""),"",IF($D362&lt;&gt;单元查询!$B$3,"",IF(OR(单元查询!$D$3="",$E362&amp;""=单元查询!$D$3&amp;""),IF(ISNUMBER($B362),$B362*10000,0)+ROW(),"")))</f>
        <v/>
      </c>
      <c r="U362" s="0" t="str">
        <f aca="false">IF(OR($B362="",$L362="已完成"),"",IF(ISNUMBER($B362),IF(设置!$B$6&lt;$B362,"",(设置!$B$6-$B362)*100000+ROW()),""))</f>
        <v/>
      </c>
      <c r="V362" s="0" t="str">
        <f aca="false">IF(ISNUMBER($O362),IF($O362&gt;=2,IF(COUNTIFS($D362:$D$2006,$D362,$E362:$E$2006,$E362)=1,ROW(),""),""),"")</f>
        <v/>
      </c>
    </row>
    <row r="363" customFormat="false" ht="15" hidden="false" customHeight="true" outlineLevel="0" collapsed="false">
      <c r="A363" s="13" t="str">
        <f aca="false">IF(AND($B363="",$D363="",$E363="",$F363=""),"",IF(OR($B363="",$D363="",$E363=""),"待补",IF($D363="公共区域","公",IF($D363="商铺","S",SUBSTITUTE($D363,"栋","")))&amp;"-"&amp;$E363&amp;"-"&amp;TEXT(MONTH($B363),"00")&amp;TEXT(DAY($B363),"00")&amp;IF(ISNUMBER($O363),IF($O363&gt;1,"-"&amp;TEXT($O363,"00"),""),"")))</f>
        <v/>
      </c>
      <c r="B363" s="14"/>
      <c r="C363" s="10"/>
      <c r="D363" s="10"/>
      <c r="E363" s="10"/>
      <c r="F363" s="16"/>
      <c r="G363" s="10"/>
      <c r="H363" s="10"/>
      <c r="I363" s="10"/>
      <c r="J363" s="10"/>
      <c r="K363" s="10"/>
      <c r="L363" s="10"/>
      <c r="M363" s="14"/>
      <c r="N363" s="17" t="str">
        <f aca="false">IF($B363="","",IF($L363="已完成",IF($M363="","",$M363-$B363),IF(设置!$B$6&lt;$B363,"",IF((设置!$B$6-$B363)&gt;=设置!$B$5,"超期"&amp;(设置!$B$6-$B363)&amp;"天","已等"&amp;(设置!$B$6-$B363)&amp;"天"))))</f>
        <v/>
      </c>
      <c r="O363" s="18" t="str">
        <f aca="false">IF(OR($D363="",$E363=""),"",COUNTIFS($D$7:$D363,$D363,$E$7:$E363,$E363))</f>
        <v/>
      </c>
      <c r="P363" s="16"/>
      <c r="Q363" s="19"/>
      <c r="R363" s="10"/>
      <c r="S363" s="16"/>
      <c r="T363" s="0" t="str">
        <f aca="false">IF(OR($D363="",单元查询!$B$3=""),"",IF($D363&lt;&gt;单元查询!$B$3,"",IF(OR(单元查询!$D$3="",$E363&amp;""=单元查询!$D$3&amp;""),IF(ISNUMBER($B363),$B363*10000,0)+ROW(),"")))</f>
        <v/>
      </c>
      <c r="U363" s="0" t="str">
        <f aca="false">IF(OR($B363="",$L363="已完成"),"",IF(ISNUMBER($B363),IF(设置!$B$6&lt;$B363,"",(设置!$B$6-$B363)*100000+ROW()),""))</f>
        <v/>
      </c>
      <c r="V363" s="0" t="str">
        <f aca="false">IF(ISNUMBER($O363),IF($O363&gt;=2,IF(COUNTIFS($D363:$D$2006,$D363,$E363:$E$2006,$E363)=1,ROW(),""),""),"")</f>
        <v/>
      </c>
    </row>
    <row r="364" customFormat="false" ht="15" hidden="false" customHeight="true" outlineLevel="0" collapsed="false">
      <c r="A364" s="13" t="str">
        <f aca="false">IF(AND($B364="",$D364="",$E364="",$F364=""),"",IF(OR($B364="",$D364="",$E364=""),"待补",IF($D364="公共区域","公",IF($D364="商铺","S",SUBSTITUTE($D364,"栋","")))&amp;"-"&amp;$E364&amp;"-"&amp;TEXT(MONTH($B364),"00")&amp;TEXT(DAY($B364),"00")&amp;IF(ISNUMBER($O364),IF($O364&gt;1,"-"&amp;TEXT($O364,"00"),""),"")))</f>
        <v/>
      </c>
      <c r="B364" s="14"/>
      <c r="C364" s="10"/>
      <c r="D364" s="10"/>
      <c r="E364" s="10"/>
      <c r="F364" s="16"/>
      <c r="G364" s="10"/>
      <c r="H364" s="10"/>
      <c r="I364" s="10"/>
      <c r="J364" s="10"/>
      <c r="K364" s="10"/>
      <c r="L364" s="10"/>
      <c r="M364" s="14"/>
      <c r="N364" s="17" t="str">
        <f aca="false">IF($B364="","",IF($L364="已完成",IF($M364="","",$M364-$B364),IF(设置!$B$6&lt;$B364,"",IF((设置!$B$6-$B364)&gt;=设置!$B$5,"超期"&amp;(设置!$B$6-$B364)&amp;"天","已等"&amp;(设置!$B$6-$B364)&amp;"天"))))</f>
        <v/>
      </c>
      <c r="O364" s="18" t="str">
        <f aca="false">IF(OR($D364="",$E364=""),"",COUNTIFS($D$7:$D364,$D364,$E$7:$E364,$E364))</f>
        <v/>
      </c>
      <c r="P364" s="16"/>
      <c r="Q364" s="19"/>
      <c r="R364" s="10"/>
      <c r="S364" s="16"/>
      <c r="T364" s="0" t="str">
        <f aca="false">IF(OR($D364="",单元查询!$B$3=""),"",IF($D364&lt;&gt;单元查询!$B$3,"",IF(OR(单元查询!$D$3="",$E364&amp;""=单元查询!$D$3&amp;""),IF(ISNUMBER($B364),$B364*10000,0)+ROW(),"")))</f>
        <v/>
      </c>
      <c r="U364" s="0" t="str">
        <f aca="false">IF(OR($B364="",$L364="已完成"),"",IF(ISNUMBER($B364),IF(设置!$B$6&lt;$B364,"",(设置!$B$6-$B364)*100000+ROW()),""))</f>
        <v/>
      </c>
      <c r="V364" s="0" t="str">
        <f aca="false">IF(ISNUMBER($O364),IF($O364&gt;=2,IF(COUNTIFS($D364:$D$2006,$D364,$E364:$E$2006,$E364)=1,ROW(),""),""),"")</f>
        <v/>
      </c>
    </row>
    <row r="365" customFormat="false" ht="15" hidden="false" customHeight="true" outlineLevel="0" collapsed="false">
      <c r="A365" s="13" t="str">
        <f aca="false">IF(AND($B365="",$D365="",$E365="",$F365=""),"",IF(OR($B365="",$D365="",$E365=""),"待补",IF($D365="公共区域","公",IF($D365="商铺","S",SUBSTITUTE($D365,"栋","")))&amp;"-"&amp;$E365&amp;"-"&amp;TEXT(MONTH($B365),"00")&amp;TEXT(DAY($B365),"00")&amp;IF(ISNUMBER($O365),IF($O365&gt;1,"-"&amp;TEXT($O365,"00"),""),"")))</f>
        <v/>
      </c>
      <c r="B365" s="14"/>
      <c r="C365" s="10"/>
      <c r="D365" s="10"/>
      <c r="E365" s="10"/>
      <c r="F365" s="16"/>
      <c r="G365" s="10"/>
      <c r="H365" s="10"/>
      <c r="I365" s="10"/>
      <c r="J365" s="10"/>
      <c r="K365" s="10"/>
      <c r="L365" s="10"/>
      <c r="M365" s="14"/>
      <c r="N365" s="17" t="str">
        <f aca="false">IF($B365="","",IF($L365="已完成",IF($M365="","",$M365-$B365),IF(设置!$B$6&lt;$B365,"",IF((设置!$B$6-$B365)&gt;=设置!$B$5,"超期"&amp;(设置!$B$6-$B365)&amp;"天","已等"&amp;(设置!$B$6-$B365)&amp;"天"))))</f>
        <v/>
      </c>
      <c r="O365" s="18" t="str">
        <f aca="false">IF(OR($D365="",$E365=""),"",COUNTIFS($D$7:$D365,$D365,$E$7:$E365,$E365))</f>
        <v/>
      </c>
      <c r="P365" s="16"/>
      <c r="Q365" s="19"/>
      <c r="R365" s="10"/>
      <c r="S365" s="16"/>
      <c r="T365" s="0" t="str">
        <f aca="false">IF(OR($D365="",单元查询!$B$3=""),"",IF($D365&lt;&gt;单元查询!$B$3,"",IF(OR(单元查询!$D$3="",$E365&amp;""=单元查询!$D$3&amp;""),IF(ISNUMBER($B365),$B365*10000,0)+ROW(),"")))</f>
        <v/>
      </c>
      <c r="U365" s="0" t="str">
        <f aca="false">IF(OR($B365="",$L365="已完成"),"",IF(ISNUMBER($B365),IF(设置!$B$6&lt;$B365,"",(设置!$B$6-$B365)*100000+ROW()),""))</f>
        <v/>
      </c>
      <c r="V365" s="0" t="str">
        <f aca="false">IF(ISNUMBER($O365),IF($O365&gt;=2,IF(COUNTIFS($D365:$D$2006,$D365,$E365:$E$2006,$E365)=1,ROW(),""),""),"")</f>
        <v/>
      </c>
    </row>
    <row r="366" customFormat="false" ht="15" hidden="false" customHeight="true" outlineLevel="0" collapsed="false">
      <c r="A366" s="13" t="str">
        <f aca="false">IF(AND($B366="",$D366="",$E366="",$F366=""),"",IF(OR($B366="",$D366="",$E366=""),"待补",IF($D366="公共区域","公",IF($D366="商铺","S",SUBSTITUTE($D366,"栋","")))&amp;"-"&amp;$E366&amp;"-"&amp;TEXT(MONTH($B366),"00")&amp;TEXT(DAY($B366),"00")&amp;IF(ISNUMBER($O366),IF($O366&gt;1,"-"&amp;TEXT($O366,"00"),""),"")))</f>
        <v/>
      </c>
      <c r="B366" s="14"/>
      <c r="C366" s="10"/>
      <c r="D366" s="10"/>
      <c r="E366" s="10"/>
      <c r="F366" s="16"/>
      <c r="G366" s="10"/>
      <c r="H366" s="10"/>
      <c r="I366" s="10"/>
      <c r="J366" s="10"/>
      <c r="K366" s="10"/>
      <c r="L366" s="10"/>
      <c r="M366" s="14"/>
      <c r="N366" s="17" t="str">
        <f aca="false">IF($B366="","",IF($L366="已完成",IF($M366="","",$M366-$B366),IF(设置!$B$6&lt;$B366,"",IF((设置!$B$6-$B366)&gt;=设置!$B$5,"超期"&amp;(设置!$B$6-$B366)&amp;"天","已等"&amp;(设置!$B$6-$B366)&amp;"天"))))</f>
        <v/>
      </c>
      <c r="O366" s="18" t="str">
        <f aca="false">IF(OR($D366="",$E366=""),"",COUNTIFS($D$7:$D366,$D366,$E$7:$E366,$E366))</f>
        <v/>
      </c>
      <c r="P366" s="16"/>
      <c r="Q366" s="19"/>
      <c r="R366" s="10"/>
      <c r="S366" s="16"/>
      <c r="T366" s="0" t="str">
        <f aca="false">IF(OR($D366="",单元查询!$B$3=""),"",IF($D366&lt;&gt;单元查询!$B$3,"",IF(OR(单元查询!$D$3="",$E366&amp;""=单元查询!$D$3&amp;""),IF(ISNUMBER($B366),$B366*10000,0)+ROW(),"")))</f>
        <v/>
      </c>
      <c r="U366" s="0" t="str">
        <f aca="false">IF(OR($B366="",$L366="已完成"),"",IF(ISNUMBER($B366),IF(设置!$B$6&lt;$B366,"",(设置!$B$6-$B366)*100000+ROW()),""))</f>
        <v/>
      </c>
      <c r="V366" s="0" t="str">
        <f aca="false">IF(ISNUMBER($O366),IF($O366&gt;=2,IF(COUNTIFS($D366:$D$2006,$D366,$E366:$E$2006,$E366)=1,ROW(),""),""),"")</f>
        <v/>
      </c>
    </row>
    <row r="367" customFormat="false" ht="15" hidden="false" customHeight="true" outlineLevel="0" collapsed="false">
      <c r="A367" s="13" t="str">
        <f aca="false">IF(AND($B367="",$D367="",$E367="",$F367=""),"",IF(OR($B367="",$D367="",$E367=""),"待补",IF($D367="公共区域","公",IF($D367="商铺","S",SUBSTITUTE($D367,"栋","")))&amp;"-"&amp;$E367&amp;"-"&amp;TEXT(MONTH($B367),"00")&amp;TEXT(DAY($B367),"00")&amp;IF(ISNUMBER($O367),IF($O367&gt;1,"-"&amp;TEXT($O367,"00"),""),"")))</f>
        <v/>
      </c>
      <c r="B367" s="14"/>
      <c r="C367" s="10"/>
      <c r="D367" s="10"/>
      <c r="E367" s="10"/>
      <c r="F367" s="16"/>
      <c r="G367" s="10"/>
      <c r="H367" s="10"/>
      <c r="I367" s="10"/>
      <c r="J367" s="10"/>
      <c r="K367" s="10"/>
      <c r="L367" s="10"/>
      <c r="M367" s="14"/>
      <c r="N367" s="17" t="str">
        <f aca="false">IF($B367="","",IF($L367="已完成",IF($M367="","",$M367-$B367),IF(设置!$B$6&lt;$B367,"",IF((设置!$B$6-$B367)&gt;=设置!$B$5,"超期"&amp;(设置!$B$6-$B367)&amp;"天","已等"&amp;(设置!$B$6-$B367)&amp;"天"))))</f>
        <v/>
      </c>
      <c r="O367" s="18" t="str">
        <f aca="false">IF(OR($D367="",$E367=""),"",COUNTIFS($D$7:$D367,$D367,$E$7:$E367,$E367))</f>
        <v/>
      </c>
      <c r="P367" s="16"/>
      <c r="Q367" s="19"/>
      <c r="R367" s="10"/>
      <c r="S367" s="16"/>
      <c r="T367" s="0" t="str">
        <f aca="false">IF(OR($D367="",单元查询!$B$3=""),"",IF($D367&lt;&gt;单元查询!$B$3,"",IF(OR(单元查询!$D$3="",$E367&amp;""=单元查询!$D$3&amp;""),IF(ISNUMBER($B367),$B367*10000,0)+ROW(),"")))</f>
        <v/>
      </c>
      <c r="U367" s="0" t="str">
        <f aca="false">IF(OR($B367="",$L367="已完成"),"",IF(ISNUMBER($B367),IF(设置!$B$6&lt;$B367,"",(设置!$B$6-$B367)*100000+ROW()),""))</f>
        <v/>
      </c>
      <c r="V367" s="0" t="str">
        <f aca="false">IF(ISNUMBER($O367),IF($O367&gt;=2,IF(COUNTIFS($D367:$D$2006,$D367,$E367:$E$2006,$E367)=1,ROW(),""),""),"")</f>
        <v/>
      </c>
    </row>
    <row r="368" customFormat="false" ht="15" hidden="false" customHeight="true" outlineLevel="0" collapsed="false">
      <c r="A368" s="13" t="str">
        <f aca="false">IF(AND($B368="",$D368="",$E368="",$F368=""),"",IF(OR($B368="",$D368="",$E368=""),"待补",IF($D368="公共区域","公",IF($D368="商铺","S",SUBSTITUTE($D368,"栋","")))&amp;"-"&amp;$E368&amp;"-"&amp;TEXT(MONTH($B368),"00")&amp;TEXT(DAY($B368),"00")&amp;IF(ISNUMBER($O368),IF($O368&gt;1,"-"&amp;TEXT($O368,"00"),""),"")))</f>
        <v/>
      </c>
      <c r="B368" s="14"/>
      <c r="C368" s="10"/>
      <c r="D368" s="10"/>
      <c r="E368" s="10"/>
      <c r="F368" s="16"/>
      <c r="G368" s="10"/>
      <c r="H368" s="10"/>
      <c r="I368" s="10"/>
      <c r="J368" s="10"/>
      <c r="K368" s="10"/>
      <c r="L368" s="10"/>
      <c r="M368" s="14"/>
      <c r="N368" s="17" t="str">
        <f aca="false">IF($B368="","",IF($L368="已完成",IF($M368="","",$M368-$B368),IF(设置!$B$6&lt;$B368,"",IF((设置!$B$6-$B368)&gt;=设置!$B$5,"超期"&amp;(设置!$B$6-$B368)&amp;"天","已等"&amp;(设置!$B$6-$B368)&amp;"天"))))</f>
        <v/>
      </c>
      <c r="O368" s="18" t="str">
        <f aca="false">IF(OR($D368="",$E368=""),"",COUNTIFS($D$7:$D368,$D368,$E$7:$E368,$E368))</f>
        <v/>
      </c>
      <c r="P368" s="16"/>
      <c r="Q368" s="19"/>
      <c r="R368" s="10"/>
      <c r="S368" s="16"/>
      <c r="T368" s="0" t="str">
        <f aca="false">IF(OR($D368="",单元查询!$B$3=""),"",IF($D368&lt;&gt;单元查询!$B$3,"",IF(OR(单元查询!$D$3="",$E368&amp;""=单元查询!$D$3&amp;""),IF(ISNUMBER($B368),$B368*10000,0)+ROW(),"")))</f>
        <v/>
      </c>
      <c r="U368" s="0" t="str">
        <f aca="false">IF(OR($B368="",$L368="已完成"),"",IF(ISNUMBER($B368),IF(设置!$B$6&lt;$B368,"",(设置!$B$6-$B368)*100000+ROW()),""))</f>
        <v/>
      </c>
      <c r="V368" s="0" t="str">
        <f aca="false">IF(ISNUMBER($O368),IF($O368&gt;=2,IF(COUNTIFS($D368:$D$2006,$D368,$E368:$E$2006,$E368)=1,ROW(),""),""),"")</f>
        <v/>
      </c>
    </row>
    <row r="369" customFormat="false" ht="15" hidden="false" customHeight="true" outlineLevel="0" collapsed="false">
      <c r="A369" s="13" t="str">
        <f aca="false">IF(AND($B369="",$D369="",$E369="",$F369=""),"",IF(OR($B369="",$D369="",$E369=""),"待补",IF($D369="公共区域","公",IF($D369="商铺","S",SUBSTITUTE($D369,"栋","")))&amp;"-"&amp;$E369&amp;"-"&amp;TEXT(MONTH($B369),"00")&amp;TEXT(DAY($B369),"00")&amp;IF(ISNUMBER($O369),IF($O369&gt;1,"-"&amp;TEXT($O369,"00"),""),"")))</f>
        <v/>
      </c>
      <c r="B369" s="14"/>
      <c r="C369" s="10"/>
      <c r="D369" s="10"/>
      <c r="E369" s="10"/>
      <c r="F369" s="16"/>
      <c r="G369" s="10"/>
      <c r="H369" s="10"/>
      <c r="I369" s="10"/>
      <c r="J369" s="10"/>
      <c r="K369" s="10"/>
      <c r="L369" s="10"/>
      <c r="M369" s="14"/>
      <c r="N369" s="17" t="str">
        <f aca="false">IF($B369="","",IF($L369="已完成",IF($M369="","",$M369-$B369),IF(设置!$B$6&lt;$B369,"",IF((设置!$B$6-$B369)&gt;=设置!$B$5,"超期"&amp;(设置!$B$6-$B369)&amp;"天","已等"&amp;(设置!$B$6-$B369)&amp;"天"))))</f>
        <v/>
      </c>
      <c r="O369" s="18" t="str">
        <f aca="false">IF(OR($D369="",$E369=""),"",COUNTIFS($D$7:$D369,$D369,$E$7:$E369,$E369))</f>
        <v/>
      </c>
      <c r="P369" s="16"/>
      <c r="Q369" s="19"/>
      <c r="R369" s="10"/>
      <c r="S369" s="16"/>
      <c r="T369" s="0" t="str">
        <f aca="false">IF(OR($D369="",单元查询!$B$3=""),"",IF($D369&lt;&gt;单元查询!$B$3,"",IF(OR(单元查询!$D$3="",$E369&amp;""=单元查询!$D$3&amp;""),IF(ISNUMBER($B369),$B369*10000,0)+ROW(),"")))</f>
        <v/>
      </c>
      <c r="U369" s="0" t="str">
        <f aca="false">IF(OR($B369="",$L369="已完成"),"",IF(ISNUMBER($B369),IF(设置!$B$6&lt;$B369,"",(设置!$B$6-$B369)*100000+ROW()),""))</f>
        <v/>
      </c>
      <c r="V369" s="0" t="str">
        <f aca="false">IF(ISNUMBER($O369),IF($O369&gt;=2,IF(COUNTIFS($D369:$D$2006,$D369,$E369:$E$2006,$E369)=1,ROW(),""),""),"")</f>
        <v/>
      </c>
    </row>
    <row r="370" customFormat="false" ht="15" hidden="false" customHeight="true" outlineLevel="0" collapsed="false">
      <c r="A370" s="13" t="str">
        <f aca="false">IF(AND($B370="",$D370="",$E370="",$F370=""),"",IF(OR($B370="",$D370="",$E370=""),"待补",IF($D370="公共区域","公",IF($D370="商铺","S",SUBSTITUTE($D370,"栋","")))&amp;"-"&amp;$E370&amp;"-"&amp;TEXT(MONTH($B370),"00")&amp;TEXT(DAY($B370),"00")&amp;IF(ISNUMBER($O370),IF($O370&gt;1,"-"&amp;TEXT($O370,"00"),""),"")))</f>
        <v/>
      </c>
      <c r="B370" s="14"/>
      <c r="C370" s="10"/>
      <c r="D370" s="10"/>
      <c r="E370" s="10"/>
      <c r="F370" s="16"/>
      <c r="G370" s="10"/>
      <c r="H370" s="10"/>
      <c r="I370" s="10"/>
      <c r="J370" s="10"/>
      <c r="K370" s="10"/>
      <c r="L370" s="10"/>
      <c r="M370" s="14"/>
      <c r="N370" s="17" t="str">
        <f aca="false">IF($B370="","",IF($L370="已完成",IF($M370="","",$M370-$B370),IF(设置!$B$6&lt;$B370,"",IF((设置!$B$6-$B370)&gt;=设置!$B$5,"超期"&amp;(设置!$B$6-$B370)&amp;"天","已等"&amp;(设置!$B$6-$B370)&amp;"天"))))</f>
        <v/>
      </c>
      <c r="O370" s="18" t="str">
        <f aca="false">IF(OR($D370="",$E370=""),"",COUNTIFS($D$7:$D370,$D370,$E$7:$E370,$E370))</f>
        <v/>
      </c>
      <c r="P370" s="16"/>
      <c r="Q370" s="19"/>
      <c r="R370" s="10"/>
      <c r="S370" s="16"/>
      <c r="T370" s="0" t="str">
        <f aca="false">IF(OR($D370="",单元查询!$B$3=""),"",IF($D370&lt;&gt;单元查询!$B$3,"",IF(OR(单元查询!$D$3="",$E370&amp;""=单元查询!$D$3&amp;""),IF(ISNUMBER($B370),$B370*10000,0)+ROW(),"")))</f>
        <v/>
      </c>
      <c r="U370" s="0" t="str">
        <f aca="false">IF(OR($B370="",$L370="已完成"),"",IF(ISNUMBER($B370),IF(设置!$B$6&lt;$B370,"",(设置!$B$6-$B370)*100000+ROW()),""))</f>
        <v/>
      </c>
      <c r="V370" s="0" t="str">
        <f aca="false">IF(ISNUMBER($O370),IF($O370&gt;=2,IF(COUNTIFS($D370:$D$2006,$D370,$E370:$E$2006,$E370)=1,ROW(),""),""),"")</f>
        <v/>
      </c>
    </row>
    <row r="371" customFormat="false" ht="15" hidden="false" customHeight="true" outlineLevel="0" collapsed="false">
      <c r="A371" s="13" t="str">
        <f aca="false">IF(AND($B371="",$D371="",$E371="",$F371=""),"",IF(OR($B371="",$D371="",$E371=""),"待补",IF($D371="公共区域","公",IF($D371="商铺","S",SUBSTITUTE($D371,"栋","")))&amp;"-"&amp;$E371&amp;"-"&amp;TEXT(MONTH($B371),"00")&amp;TEXT(DAY($B371),"00")&amp;IF(ISNUMBER($O371),IF($O371&gt;1,"-"&amp;TEXT($O371,"00"),""),"")))</f>
        <v/>
      </c>
      <c r="B371" s="14"/>
      <c r="C371" s="10"/>
      <c r="D371" s="10"/>
      <c r="E371" s="10"/>
      <c r="F371" s="16"/>
      <c r="G371" s="10"/>
      <c r="H371" s="10"/>
      <c r="I371" s="10"/>
      <c r="J371" s="10"/>
      <c r="K371" s="10"/>
      <c r="L371" s="10"/>
      <c r="M371" s="14"/>
      <c r="N371" s="17" t="str">
        <f aca="false">IF($B371="","",IF($L371="已完成",IF($M371="","",$M371-$B371),IF(设置!$B$6&lt;$B371,"",IF((设置!$B$6-$B371)&gt;=设置!$B$5,"超期"&amp;(设置!$B$6-$B371)&amp;"天","已等"&amp;(设置!$B$6-$B371)&amp;"天"))))</f>
        <v/>
      </c>
      <c r="O371" s="18" t="str">
        <f aca="false">IF(OR($D371="",$E371=""),"",COUNTIFS($D$7:$D371,$D371,$E$7:$E371,$E371))</f>
        <v/>
      </c>
      <c r="P371" s="16"/>
      <c r="Q371" s="19"/>
      <c r="R371" s="10"/>
      <c r="S371" s="16"/>
      <c r="T371" s="0" t="str">
        <f aca="false">IF(OR($D371="",单元查询!$B$3=""),"",IF($D371&lt;&gt;单元查询!$B$3,"",IF(OR(单元查询!$D$3="",$E371&amp;""=单元查询!$D$3&amp;""),IF(ISNUMBER($B371),$B371*10000,0)+ROW(),"")))</f>
        <v/>
      </c>
      <c r="U371" s="0" t="str">
        <f aca="false">IF(OR($B371="",$L371="已完成"),"",IF(ISNUMBER($B371),IF(设置!$B$6&lt;$B371,"",(设置!$B$6-$B371)*100000+ROW()),""))</f>
        <v/>
      </c>
      <c r="V371" s="0" t="str">
        <f aca="false">IF(ISNUMBER($O371),IF($O371&gt;=2,IF(COUNTIFS($D371:$D$2006,$D371,$E371:$E$2006,$E371)=1,ROW(),""),""),"")</f>
        <v/>
      </c>
    </row>
    <row r="372" customFormat="false" ht="15" hidden="false" customHeight="true" outlineLevel="0" collapsed="false">
      <c r="A372" s="13" t="str">
        <f aca="false">IF(AND($B372="",$D372="",$E372="",$F372=""),"",IF(OR($B372="",$D372="",$E372=""),"待补",IF($D372="公共区域","公",IF($D372="商铺","S",SUBSTITUTE($D372,"栋","")))&amp;"-"&amp;$E372&amp;"-"&amp;TEXT(MONTH($B372),"00")&amp;TEXT(DAY($B372),"00")&amp;IF(ISNUMBER($O372),IF($O372&gt;1,"-"&amp;TEXT($O372,"00"),""),"")))</f>
        <v/>
      </c>
      <c r="B372" s="14"/>
      <c r="C372" s="10"/>
      <c r="D372" s="10"/>
      <c r="E372" s="10"/>
      <c r="F372" s="16"/>
      <c r="G372" s="10"/>
      <c r="H372" s="10"/>
      <c r="I372" s="10"/>
      <c r="J372" s="10"/>
      <c r="K372" s="10"/>
      <c r="L372" s="10"/>
      <c r="M372" s="14"/>
      <c r="N372" s="17" t="str">
        <f aca="false">IF($B372="","",IF($L372="已完成",IF($M372="","",$M372-$B372),IF(设置!$B$6&lt;$B372,"",IF((设置!$B$6-$B372)&gt;=设置!$B$5,"超期"&amp;(设置!$B$6-$B372)&amp;"天","已等"&amp;(设置!$B$6-$B372)&amp;"天"))))</f>
        <v/>
      </c>
      <c r="O372" s="18" t="str">
        <f aca="false">IF(OR($D372="",$E372=""),"",COUNTIFS($D$7:$D372,$D372,$E$7:$E372,$E372))</f>
        <v/>
      </c>
      <c r="P372" s="16"/>
      <c r="Q372" s="19"/>
      <c r="R372" s="10"/>
      <c r="S372" s="16"/>
      <c r="T372" s="0" t="str">
        <f aca="false">IF(OR($D372="",单元查询!$B$3=""),"",IF($D372&lt;&gt;单元查询!$B$3,"",IF(OR(单元查询!$D$3="",$E372&amp;""=单元查询!$D$3&amp;""),IF(ISNUMBER($B372),$B372*10000,0)+ROW(),"")))</f>
        <v/>
      </c>
      <c r="U372" s="0" t="str">
        <f aca="false">IF(OR($B372="",$L372="已完成"),"",IF(ISNUMBER($B372),IF(设置!$B$6&lt;$B372,"",(设置!$B$6-$B372)*100000+ROW()),""))</f>
        <v/>
      </c>
      <c r="V372" s="0" t="str">
        <f aca="false">IF(ISNUMBER($O372),IF($O372&gt;=2,IF(COUNTIFS($D372:$D$2006,$D372,$E372:$E$2006,$E372)=1,ROW(),""),""),"")</f>
        <v/>
      </c>
    </row>
    <row r="373" customFormat="false" ht="15" hidden="false" customHeight="true" outlineLevel="0" collapsed="false">
      <c r="A373" s="13" t="str">
        <f aca="false">IF(AND($B373="",$D373="",$E373="",$F373=""),"",IF(OR($B373="",$D373="",$E373=""),"待补",IF($D373="公共区域","公",IF($D373="商铺","S",SUBSTITUTE($D373,"栋","")))&amp;"-"&amp;$E373&amp;"-"&amp;TEXT(MONTH($B373),"00")&amp;TEXT(DAY($B373),"00")&amp;IF(ISNUMBER($O373),IF($O373&gt;1,"-"&amp;TEXT($O373,"00"),""),"")))</f>
        <v/>
      </c>
      <c r="B373" s="14"/>
      <c r="C373" s="10"/>
      <c r="D373" s="10"/>
      <c r="E373" s="10"/>
      <c r="F373" s="16"/>
      <c r="G373" s="10"/>
      <c r="H373" s="10"/>
      <c r="I373" s="10"/>
      <c r="J373" s="10"/>
      <c r="K373" s="10"/>
      <c r="L373" s="10"/>
      <c r="M373" s="14"/>
      <c r="N373" s="17" t="str">
        <f aca="false">IF($B373="","",IF($L373="已完成",IF($M373="","",$M373-$B373),IF(设置!$B$6&lt;$B373,"",IF((设置!$B$6-$B373)&gt;=设置!$B$5,"超期"&amp;(设置!$B$6-$B373)&amp;"天","已等"&amp;(设置!$B$6-$B373)&amp;"天"))))</f>
        <v/>
      </c>
      <c r="O373" s="18" t="str">
        <f aca="false">IF(OR($D373="",$E373=""),"",COUNTIFS($D$7:$D373,$D373,$E$7:$E373,$E373))</f>
        <v/>
      </c>
      <c r="P373" s="16"/>
      <c r="Q373" s="19"/>
      <c r="R373" s="10"/>
      <c r="S373" s="16"/>
      <c r="T373" s="0" t="str">
        <f aca="false">IF(OR($D373="",单元查询!$B$3=""),"",IF($D373&lt;&gt;单元查询!$B$3,"",IF(OR(单元查询!$D$3="",$E373&amp;""=单元查询!$D$3&amp;""),IF(ISNUMBER($B373),$B373*10000,0)+ROW(),"")))</f>
        <v/>
      </c>
      <c r="U373" s="0" t="str">
        <f aca="false">IF(OR($B373="",$L373="已完成"),"",IF(ISNUMBER($B373),IF(设置!$B$6&lt;$B373,"",(设置!$B$6-$B373)*100000+ROW()),""))</f>
        <v/>
      </c>
      <c r="V373" s="0" t="str">
        <f aca="false">IF(ISNUMBER($O373),IF($O373&gt;=2,IF(COUNTIFS($D373:$D$2006,$D373,$E373:$E$2006,$E373)=1,ROW(),""),""),"")</f>
        <v/>
      </c>
    </row>
    <row r="374" customFormat="false" ht="15" hidden="false" customHeight="true" outlineLevel="0" collapsed="false">
      <c r="A374" s="13" t="str">
        <f aca="false">IF(AND($B374="",$D374="",$E374="",$F374=""),"",IF(OR($B374="",$D374="",$E374=""),"待补",IF($D374="公共区域","公",IF($D374="商铺","S",SUBSTITUTE($D374,"栋","")))&amp;"-"&amp;$E374&amp;"-"&amp;TEXT(MONTH($B374),"00")&amp;TEXT(DAY($B374),"00")&amp;IF(ISNUMBER($O374),IF($O374&gt;1,"-"&amp;TEXT($O374,"00"),""),"")))</f>
        <v/>
      </c>
      <c r="B374" s="14"/>
      <c r="C374" s="10"/>
      <c r="D374" s="10"/>
      <c r="E374" s="10"/>
      <c r="F374" s="16"/>
      <c r="G374" s="10"/>
      <c r="H374" s="10"/>
      <c r="I374" s="10"/>
      <c r="J374" s="10"/>
      <c r="K374" s="10"/>
      <c r="L374" s="10"/>
      <c r="M374" s="14"/>
      <c r="N374" s="17" t="str">
        <f aca="false">IF($B374="","",IF($L374="已完成",IF($M374="","",$M374-$B374),IF(设置!$B$6&lt;$B374,"",IF((设置!$B$6-$B374)&gt;=设置!$B$5,"超期"&amp;(设置!$B$6-$B374)&amp;"天","已等"&amp;(设置!$B$6-$B374)&amp;"天"))))</f>
        <v/>
      </c>
      <c r="O374" s="18" t="str">
        <f aca="false">IF(OR($D374="",$E374=""),"",COUNTIFS($D$7:$D374,$D374,$E$7:$E374,$E374))</f>
        <v/>
      </c>
      <c r="P374" s="16"/>
      <c r="Q374" s="19"/>
      <c r="R374" s="10"/>
      <c r="S374" s="16"/>
      <c r="T374" s="0" t="str">
        <f aca="false">IF(OR($D374="",单元查询!$B$3=""),"",IF($D374&lt;&gt;单元查询!$B$3,"",IF(OR(单元查询!$D$3="",$E374&amp;""=单元查询!$D$3&amp;""),IF(ISNUMBER($B374),$B374*10000,0)+ROW(),"")))</f>
        <v/>
      </c>
      <c r="U374" s="0" t="str">
        <f aca="false">IF(OR($B374="",$L374="已完成"),"",IF(ISNUMBER($B374),IF(设置!$B$6&lt;$B374,"",(设置!$B$6-$B374)*100000+ROW()),""))</f>
        <v/>
      </c>
      <c r="V374" s="0" t="str">
        <f aca="false">IF(ISNUMBER($O374),IF($O374&gt;=2,IF(COUNTIFS($D374:$D$2006,$D374,$E374:$E$2006,$E374)=1,ROW(),""),""),"")</f>
        <v/>
      </c>
    </row>
    <row r="375" customFormat="false" ht="15" hidden="false" customHeight="true" outlineLevel="0" collapsed="false">
      <c r="A375" s="13" t="str">
        <f aca="false">IF(AND($B375="",$D375="",$E375="",$F375=""),"",IF(OR($B375="",$D375="",$E375=""),"待补",IF($D375="公共区域","公",IF($D375="商铺","S",SUBSTITUTE($D375,"栋","")))&amp;"-"&amp;$E375&amp;"-"&amp;TEXT(MONTH($B375),"00")&amp;TEXT(DAY($B375),"00")&amp;IF(ISNUMBER($O375),IF($O375&gt;1,"-"&amp;TEXT($O375,"00"),""),"")))</f>
        <v/>
      </c>
      <c r="B375" s="14"/>
      <c r="C375" s="10"/>
      <c r="D375" s="10"/>
      <c r="E375" s="10"/>
      <c r="F375" s="16"/>
      <c r="G375" s="10"/>
      <c r="H375" s="10"/>
      <c r="I375" s="10"/>
      <c r="J375" s="10"/>
      <c r="K375" s="10"/>
      <c r="L375" s="10"/>
      <c r="M375" s="14"/>
      <c r="N375" s="17" t="str">
        <f aca="false">IF($B375="","",IF($L375="已完成",IF($M375="","",$M375-$B375),IF(设置!$B$6&lt;$B375,"",IF((设置!$B$6-$B375)&gt;=设置!$B$5,"超期"&amp;(设置!$B$6-$B375)&amp;"天","已等"&amp;(设置!$B$6-$B375)&amp;"天"))))</f>
        <v/>
      </c>
      <c r="O375" s="18" t="str">
        <f aca="false">IF(OR($D375="",$E375=""),"",COUNTIFS($D$7:$D375,$D375,$E$7:$E375,$E375))</f>
        <v/>
      </c>
      <c r="P375" s="16"/>
      <c r="Q375" s="19"/>
      <c r="R375" s="10"/>
      <c r="S375" s="16"/>
      <c r="T375" s="0" t="str">
        <f aca="false">IF(OR($D375="",单元查询!$B$3=""),"",IF($D375&lt;&gt;单元查询!$B$3,"",IF(OR(单元查询!$D$3="",$E375&amp;""=单元查询!$D$3&amp;""),IF(ISNUMBER($B375),$B375*10000,0)+ROW(),"")))</f>
        <v/>
      </c>
      <c r="U375" s="0" t="str">
        <f aca="false">IF(OR($B375="",$L375="已完成"),"",IF(ISNUMBER($B375),IF(设置!$B$6&lt;$B375,"",(设置!$B$6-$B375)*100000+ROW()),""))</f>
        <v/>
      </c>
      <c r="V375" s="0" t="str">
        <f aca="false">IF(ISNUMBER($O375),IF($O375&gt;=2,IF(COUNTIFS($D375:$D$2006,$D375,$E375:$E$2006,$E375)=1,ROW(),""),""),"")</f>
        <v/>
      </c>
    </row>
    <row r="376" customFormat="false" ht="15" hidden="false" customHeight="true" outlineLevel="0" collapsed="false">
      <c r="A376" s="13" t="str">
        <f aca="false">IF(AND($B376="",$D376="",$E376="",$F376=""),"",IF(OR($B376="",$D376="",$E376=""),"待补",IF($D376="公共区域","公",IF($D376="商铺","S",SUBSTITUTE($D376,"栋","")))&amp;"-"&amp;$E376&amp;"-"&amp;TEXT(MONTH($B376),"00")&amp;TEXT(DAY($B376),"00")&amp;IF(ISNUMBER($O376),IF($O376&gt;1,"-"&amp;TEXT($O376,"00"),""),"")))</f>
        <v/>
      </c>
      <c r="B376" s="14"/>
      <c r="C376" s="10"/>
      <c r="D376" s="10"/>
      <c r="E376" s="10"/>
      <c r="F376" s="16"/>
      <c r="G376" s="10"/>
      <c r="H376" s="10"/>
      <c r="I376" s="10"/>
      <c r="J376" s="10"/>
      <c r="K376" s="10"/>
      <c r="L376" s="10"/>
      <c r="M376" s="14"/>
      <c r="N376" s="17" t="str">
        <f aca="false">IF($B376="","",IF($L376="已完成",IF($M376="","",$M376-$B376),IF(设置!$B$6&lt;$B376,"",IF((设置!$B$6-$B376)&gt;=设置!$B$5,"超期"&amp;(设置!$B$6-$B376)&amp;"天","已等"&amp;(设置!$B$6-$B376)&amp;"天"))))</f>
        <v/>
      </c>
      <c r="O376" s="18" t="str">
        <f aca="false">IF(OR($D376="",$E376=""),"",COUNTIFS($D$7:$D376,$D376,$E$7:$E376,$E376))</f>
        <v/>
      </c>
      <c r="P376" s="16"/>
      <c r="Q376" s="19"/>
      <c r="R376" s="10"/>
      <c r="S376" s="16"/>
      <c r="T376" s="0" t="str">
        <f aca="false">IF(OR($D376="",单元查询!$B$3=""),"",IF($D376&lt;&gt;单元查询!$B$3,"",IF(OR(单元查询!$D$3="",$E376&amp;""=单元查询!$D$3&amp;""),IF(ISNUMBER($B376),$B376*10000,0)+ROW(),"")))</f>
        <v/>
      </c>
      <c r="U376" s="0" t="str">
        <f aca="false">IF(OR($B376="",$L376="已完成"),"",IF(ISNUMBER($B376),IF(设置!$B$6&lt;$B376,"",(设置!$B$6-$B376)*100000+ROW()),""))</f>
        <v/>
      </c>
      <c r="V376" s="0" t="str">
        <f aca="false">IF(ISNUMBER($O376),IF($O376&gt;=2,IF(COUNTIFS($D376:$D$2006,$D376,$E376:$E$2006,$E376)=1,ROW(),""),""),"")</f>
        <v/>
      </c>
    </row>
    <row r="377" customFormat="false" ht="15" hidden="false" customHeight="true" outlineLevel="0" collapsed="false">
      <c r="A377" s="13" t="str">
        <f aca="false">IF(AND($B377="",$D377="",$E377="",$F377=""),"",IF(OR($B377="",$D377="",$E377=""),"待补",IF($D377="公共区域","公",IF($D377="商铺","S",SUBSTITUTE($D377,"栋","")))&amp;"-"&amp;$E377&amp;"-"&amp;TEXT(MONTH($B377),"00")&amp;TEXT(DAY($B377),"00")&amp;IF(ISNUMBER($O377),IF($O377&gt;1,"-"&amp;TEXT($O377,"00"),""),"")))</f>
        <v/>
      </c>
      <c r="B377" s="14"/>
      <c r="C377" s="10"/>
      <c r="D377" s="10"/>
      <c r="E377" s="10"/>
      <c r="F377" s="16"/>
      <c r="G377" s="10"/>
      <c r="H377" s="10"/>
      <c r="I377" s="10"/>
      <c r="J377" s="10"/>
      <c r="K377" s="10"/>
      <c r="L377" s="10"/>
      <c r="M377" s="14"/>
      <c r="N377" s="17" t="str">
        <f aca="false">IF($B377="","",IF($L377="已完成",IF($M377="","",$M377-$B377),IF(设置!$B$6&lt;$B377,"",IF((设置!$B$6-$B377)&gt;=设置!$B$5,"超期"&amp;(设置!$B$6-$B377)&amp;"天","已等"&amp;(设置!$B$6-$B377)&amp;"天"))))</f>
        <v/>
      </c>
      <c r="O377" s="18" t="str">
        <f aca="false">IF(OR($D377="",$E377=""),"",COUNTIFS($D$7:$D377,$D377,$E$7:$E377,$E377))</f>
        <v/>
      </c>
      <c r="P377" s="16"/>
      <c r="Q377" s="19"/>
      <c r="R377" s="10"/>
      <c r="S377" s="16"/>
      <c r="T377" s="0" t="str">
        <f aca="false">IF(OR($D377="",单元查询!$B$3=""),"",IF($D377&lt;&gt;单元查询!$B$3,"",IF(OR(单元查询!$D$3="",$E377&amp;""=单元查询!$D$3&amp;""),IF(ISNUMBER($B377),$B377*10000,0)+ROW(),"")))</f>
        <v/>
      </c>
      <c r="U377" s="0" t="str">
        <f aca="false">IF(OR($B377="",$L377="已完成"),"",IF(ISNUMBER($B377),IF(设置!$B$6&lt;$B377,"",(设置!$B$6-$B377)*100000+ROW()),""))</f>
        <v/>
      </c>
      <c r="V377" s="0" t="str">
        <f aca="false">IF(ISNUMBER($O377),IF($O377&gt;=2,IF(COUNTIFS($D377:$D$2006,$D377,$E377:$E$2006,$E377)=1,ROW(),""),""),"")</f>
        <v/>
      </c>
    </row>
    <row r="378" customFormat="false" ht="15" hidden="false" customHeight="true" outlineLevel="0" collapsed="false">
      <c r="A378" s="13" t="str">
        <f aca="false">IF(AND($B378="",$D378="",$E378="",$F378=""),"",IF(OR($B378="",$D378="",$E378=""),"待补",IF($D378="公共区域","公",IF($D378="商铺","S",SUBSTITUTE($D378,"栋","")))&amp;"-"&amp;$E378&amp;"-"&amp;TEXT(MONTH($B378),"00")&amp;TEXT(DAY($B378),"00")&amp;IF(ISNUMBER($O378),IF($O378&gt;1,"-"&amp;TEXT($O378,"00"),""),"")))</f>
        <v/>
      </c>
      <c r="B378" s="14"/>
      <c r="C378" s="10"/>
      <c r="D378" s="10"/>
      <c r="E378" s="10"/>
      <c r="F378" s="16"/>
      <c r="G378" s="10"/>
      <c r="H378" s="10"/>
      <c r="I378" s="10"/>
      <c r="J378" s="10"/>
      <c r="K378" s="10"/>
      <c r="L378" s="10"/>
      <c r="M378" s="14"/>
      <c r="N378" s="17" t="str">
        <f aca="false">IF($B378="","",IF($L378="已完成",IF($M378="","",$M378-$B378),IF(设置!$B$6&lt;$B378,"",IF((设置!$B$6-$B378)&gt;=设置!$B$5,"超期"&amp;(设置!$B$6-$B378)&amp;"天","已等"&amp;(设置!$B$6-$B378)&amp;"天"))))</f>
        <v/>
      </c>
      <c r="O378" s="18" t="str">
        <f aca="false">IF(OR($D378="",$E378=""),"",COUNTIFS($D$7:$D378,$D378,$E$7:$E378,$E378))</f>
        <v/>
      </c>
      <c r="P378" s="16"/>
      <c r="Q378" s="19"/>
      <c r="R378" s="10"/>
      <c r="S378" s="16"/>
      <c r="T378" s="0" t="str">
        <f aca="false">IF(OR($D378="",单元查询!$B$3=""),"",IF($D378&lt;&gt;单元查询!$B$3,"",IF(OR(单元查询!$D$3="",$E378&amp;""=单元查询!$D$3&amp;""),IF(ISNUMBER($B378),$B378*10000,0)+ROW(),"")))</f>
        <v/>
      </c>
      <c r="U378" s="0" t="str">
        <f aca="false">IF(OR($B378="",$L378="已完成"),"",IF(ISNUMBER($B378),IF(设置!$B$6&lt;$B378,"",(设置!$B$6-$B378)*100000+ROW()),""))</f>
        <v/>
      </c>
      <c r="V378" s="0" t="str">
        <f aca="false">IF(ISNUMBER($O378),IF($O378&gt;=2,IF(COUNTIFS($D378:$D$2006,$D378,$E378:$E$2006,$E378)=1,ROW(),""),""),"")</f>
        <v/>
      </c>
    </row>
    <row r="379" customFormat="false" ht="15" hidden="false" customHeight="true" outlineLevel="0" collapsed="false">
      <c r="A379" s="13" t="str">
        <f aca="false">IF(AND($B379="",$D379="",$E379="",$F379=""),"",IF(OR($B379="",$D379="",$E379=""),"待补",IF($D379="公共区域","公",IF($D379="商铺","S",SUBSTITUTE($D379,"栋","")))&amp;"-"&amp;$E379&amp;"-"&amp;TEXT(MONTH($B379),"00")&amp;TEXT(DAY($B379),"00")&amp;IF(ISNUMBER($O379),IF($O379&gt;1,"-"&amp;TEXT($O379,"00"),""),"")))</f>
        <v/>
      </c>
      <c r="B379" s="14"/>
      <c r="C379" s="10"/>
      <c r="D379" s="10"/>
      <c r="E379" s="10"/>
      <c r="F379" s="16"/>
      <c r="G379" s="10"/>
      <c r="H379" s="10"/>
      <c r="I379" s="10"/>
      <c r="J379" s="10"/>
      <c r="K379" s="10"/>
      <c r="L379" s="10"/>
      <c r="M379" s="14"/>
      <c r="N379" s="17" t="str">
        <f aca="false">IF($B379="","",IF($L379="已完成",IF($M379="","",$M379-$B379),IF(设置!$B$6&lt;$B379,"",IF((设置!$B$6-$B379)&gt;=设置!$B$5,"超期"&amp;(设置!$B$6-$B379)&amp;"天","已等"&amp;(设置!$B$6-$B379)&amp;"天"))))</f>
        <v/>
      </c>
      <c r="O379" s="18" t="str">
        <f aca="false">IF(OR($D379="",$E379=""),"",COUNTIFS($D$7:$D379,$D379,$E$7:$E379,$E379))</f>
        <v/>
      </c>
      <c r="P379" s="16"/>
      <c r="Q379" s="19"/>
      <c r="R379" s="10"/>
      <c r="S379" s="16"/>
      <c r="T379" s="0" t="str">
        <f aca="false">IF(OR($D379="",单元查询!$B$3=""),"",IF($D379&lt;&gt;单元查询!$B$3,"",IF(OR(单元查询!$D$3="",$E379&amp;""=单元查询!$D$3&amp;""),IF(ISNUMBER($B379),$B379*10000,0)+ROW(),"")))</f>
        <v/>
      </c>
      <c r="U379" s="0" t="str">
        <f aca="false">IF(OR($B379="",$L379="已完成"),"",IF(ISNUMBER($B379),IF(设置!$B$6&lt;$B379,"",(设置!$B$6-$B379)*100000+ROW()),""))</f>
        <v/>
      </c>
      <c r="V379" s="0" t="str">
        <f aca="false">IF(ISNUMBER($O379),IF($O379&gt;=2,IF(COUNTIFS($D379:$D$2006,$D379,$E379:$E$2006,$E379)=1,ROW(),""),""),"")</f>
        <v/>
      </c>
    </row>
    <row r="380" customFormat="false" ht="15" hidden="false" customHeight="true" outlineLevel="0" collapsed="false">
      <c r="A380" s="13" t="str">
        <f aca="false">IF(AND($B380="",$D380="",$E380="",$F380=""),"",IF(OR($B380="",$D380="",$E380=""),"待补",IF($D380="公共区域","公",IF($D380="商铺","S",SUBSTITUTE($D380,"栋","")))&amp;"-"&amp;$E380&amp;"-"&amp;TEXT(MONTH($B380),"00")&amp;TEXT(DAY($B380),"00")&amp;IF(ISNUMBER($O380),IF($O380&gt;1,"-"&amp;TEXT($O380,"00"),""),"")))</f>
        <v/>
      </c>
      <c r="B380" s="14"/>
      <c r="C380" s="10"/>
      <c r="D380" s="10"/>
      <c r="E380" s="10"/>
      <c r="F380" s="16"/>
      <c r="G380" s="10"/>
      <c r="H380" s="10"/>
      <c r="I380" s="10"/>
      <c r="J380" s="10"/>
      <c r="K380" s="10"/>
      <c r="L380" s="10"/>
      <c r="M380" s="14"/>
      <c r="N380" s="17" t="str">
        <f aca="false">IF($B380="","",IF($L380="已完成",IF($M380="","",$M380-$B380),IF(设置!$B$6&lt;$B380,"",IF((设置!$B$6-$B380)&gt;=设置!$B$5,"超期"&amp;(设置!$B$6-$B380)&amp;"天","已等"&amp;(设置!$B$6-$B380)&amp;"天"))))</f>
        <v/>
      </c>
      <c r="O380" s="18" t="str">
        <f aca="false">IF(OR($D380="",$E380=""),"",COUNTIFS($D$7:$D380,$D380,$E$7:$E380,$E380))</f>
        <v/>
      </c>
      <c r="P380" s="16"/>
      <c r="Q380" s="19"/>
      <c r="R380" s="10"/>
      <c r="S380" s="16"/>
      <c r="T380" s="0" t="str">
        <f aca="false">IF(OR($D380="",单元查询!$B$3=""),"",IF($D380&lt;&gt;单元查询!$B$3,"",IF(OR(单元查询!$D$3="",$E380&amp;""=单元查询!$D$3&amp;""),IF(ISNUMBER($B380),$B380*10000,0)+ROW(),"")))</f>
        <v/>
      </c>
      <c r="U380" s="0" t="str">
        <f aca="false">IF(OR($B380="",$L380="已完成"),"",IF(ISNUMBER($B380),IF(设置!$B$6&lt;$B380,"",(设置!$B$6-$B380)*100000+ROW()),""))</f>
        <v/>
      </c>
      <c r="V380" s="0" t="str">
        <f aca="false">IF(ISNUMBER($O380),IF($O380&gt;=2,IF(COUNTIFS($D380:$D$2006,$D380,$E380:$E$2006,$E380)=1,ROW(),""),""),"")</f>
        <v/>
      </c>
    </row>
    <row r="381" customFormat="false" ht="15" hidden="false" customHeight="true" outlineLevel="0" collapsed="false">
      <c r="A381" s="13" t="str">
        <f aca="false">IF(AND($B381="",$D381="",$E381="",$F381=""),"",IF(OR($B381="",$D381="",$E381=""),"待补",IF($D381="公共区域","公",IF($D381="商铺","S",SUBSTITUTE($D381,"栋","")))&amp;"-"&amp;$E381&amp;"-"&amp;TEXT(MONTH($B381),"00")&amp;TEXT(DAY($B381),"00")&amp;IF(ISNUMBER($O381),IF($O381&gt;1,"-"&amp;TEXT($O381,"00"),""),"")))</f>
        <v/>
      </c>
      <c r="B381" s="14"/>
      <c r="C381" s="10"/>
      <c r="D381" s="10"/>
      <c r="E381" s="10"/>
      <c r="F381" s="16"/>
      <c r="G381" s="10"/>
      <c r="H381" s="10"/>
      <c r="I381" s="10"/>
      <c r="J381" s="10"/>
      <c r="K381" s="10"/>
      <c r="L381" s="10"/>
      <c r="M381" s="14"/>
      <c r="N381" s="17" t="str">
        <f aca="false">IF($B381="","",IF($L381="已完成",IF($M381="","",$M381-$B381),IF(设置!$B$6&lt;$B381,"",IF((设置!$B$6-$B381)&gt;=设置!$B$5,"超期"&amp;(设置!$B$6-$B381)&amp;"天","已等"&amp;(设置!$B$6-$B381)&amp;"天"))))</f>
        <v/>
      </c>
      <c r="O381" s="18" t="str">
        <f aca="false">IF(OR($D381="",$E381=""),"",COUNTIFS($D$7:$D381,$D381,$E$7:$E381,$E381))</f>
        <v/>
      </c>
      <c r="P381" s="16"/>
      <c r="Q381" s="19"/>
      <c r="R381" s="10"/>
      <c r="S381" s="16"/>
      <c r="T381" s="0" t="str">
        <f aca="false">IF(OR($D381="",单元查询!$B$3=""),"",IF($D381&lt;&gt;单元查询!$B$3,"",IF(OR(单元查询!$D$3="",$E381&amp;""=单元查询!$D$3&amp;""),IF(ISNUMBER($B381),$B381*10000,0)+ROW(),"")))</f>
        <v/>
      </c>
      <c r="U381" s="0" t="str">
        <f aca="false">IF(OR($B381="",$L381="已完成"),"",IF(ISNUMBER($B381),IF(设置!$B$6&lt;$B381,"",(设置!$B$6-$B381)*100000+ROW()),""))</f>
        <v/>
      </c>
      <c r="V381" s="0" t="str">
        <f aca="false">IF(ISNUMBER($O381),IF($O381&gt;=2,IF(COUNTIFS($D381:$D$2006,$D381,$E381:$E$2006,$E381)=1,ROW(),""),""),"")</f>
        <v/>
      </c>
    </row>
    <row r="382" customFormat="false" ht="15" hidden="false" customHeight="true" outlineLevel="0" collapsed="false">
      <c r="A382" s="13" t="str">
        <f aca="false">IF(AND($B382="",$D382="",$E382="",$F382=""),"",IF(OR($B382="",$D382="",$E382=""),"待补",IF($D382="公共区域","公",IF($D382="商铺","S",SUBSTITUTE($D382,"栋","")))&amp;"-"&amp;$E382&amp;"-"&amp;TEXT(MONTH($B382),"00")&amp;TEXT(DAY($B382),"00")&amp;IF(ISNUMBER($O382),IF($O382&gt;1,"-"&amp;TEXT($O382,"00"),""),"")))</f>
        <v/>
      </c>
      <c r="B382" s="14"/>
      <c r="C382" s="10"/>
      <c r="D382" s="10"/>
      <c r="E382" s="10"/>
      <c r="F382" s="16"/>
      <c r="G382" s="10"/>
      <c r="H382" s="10"/>
      <c r="I382" s="10"/>
      <c r="J382" s="10"/>
      <c r="K382" s="10"/>
      <c r="L382" s="10"/>
      <c r="M382" s="14"/>
      <c r="N382" s="17" t="str">
        <f aca="false">IF($B382="","",IF($L382="已完成",IF($M382="","",$M382-$B382),IF(设置!$B$6&lt;$B382,"",IF((设置!$B$6-$B382)&gt;=设置!$B$5,"超期"&amp;(设置!$B$6-$B382)&amp;"天","已等"&amp;(设置!$B$6-$B382)&amp;"天"))))</f>
        <v/>
      </c>
      <c r="O382" s="18" t="str">
        <f aca="false">IF(OR($D382="",$E382=""),"",COUNTIFS($D$7:$D382,$D382,$E$7:$E382,$E382))</f>
        <v/>
      </c>
      <c r="P382" s="16"/>
      <c r="Q382" s="19"/>
      <c r="R382" s="10"/>
      <c r="S382" s="16"/>
      <c r="T382" s="0" t="str">
        <f aca="false">IF(OR($D382="",单元查询!$B$3=""),"",IF($D382&lt;&gt;单元查询!$B$3,"",IF(OR(单元查询!$D$3="",$E382&amp;""=单元查询!$D$3&amp;""),IF(ISNUMBER($B382),$B382*10000,0)+ROW(),"")))</f>
        <v/>
      </c>
      <c r="U382" s="0" t="str">
        <f aca="false">IF(OR($B382="",$L382="已完成"),"",IF(ISNUMBER($B382),IF(设置!$B$6&lt;$B382,"",(设置!$B$6-$B382)*100000+ROW()),""))</f>
        <v/>
      </c>
      <c r="V382" s="0" t="str">
        <f aca="false">IF(ISNUMBER($O382),IF($O382&gt;=2,IF(COUNTIFS($D382:$D$2006,$D382,$E382:$E$2006,$E382)=1,ROW(),""),""),"")</f>
        <v/>
      </c>
    </row>
    <row r="383" customFormat="false" ht="15" hidden="false" customHeight="true" outlineLevel="0" collapsed="false">
      <c r="A383" s="13" t="str">
        <f aca="false">IF(AND($B383="",$D383="",$E383="",$F383=""),"",IF(OR($B383="",$D383="",$E383=""),"待补",IF($D383="公共区域","公",IF($D383="商铺","S",SUBSTITUTE($D383,"栋","")))&amp;"-"&amp;$E383&amp;"-"&amp;TEXT(MONTH($B383),"00")&amp;TEXT(DAY($B383),"00")&amp;IF(ISNUMBER($O383),IF($O383&gt;1,"-"&amp;TEXT($O383,"00"),""),"")))</f>
        <v/>
      </c>
      <c r="B383" s="14"/>
      <c r="C383" s="10"/>
      <c r="D383" s="10"/>
      <c r="E383" s="10"/>
      <c r="F383" s="16"/>
      <c r="G383" s="10"/>
      <c r="H383" s="10"/>
      <c r="I383" s="10"/>
      <c r="J383" s="10"/>
      <c r="K383" s="10"/>
      <c r="L383" s="10"/>
      <c r="M383" s="14"/>
      <c r="N383" s="17" t="str">
        <f aca="false">IF($B383="","",IF($L383="已完成",IF($M383="","",$M383-$B383),IF(设置!$B$6&lt;$B383,"",IF((设置!$B$6-$B383)&gt;=设置!$B$5,"超期"&amp;(设置!$B$6-$B383)&amp;"天","已等"&amp;(设置!$B$6-$B383)&amp;"天"))))</f>
        <v/>
      </c>
      <c r="O383" s="18" t="str">
        <f aca="false">IF(OR($D383="",$E383=""),"",COUNTIFS($D$7:$D383,$D383,$E$7:$E383,$E383))</f>
        <v/>
      </c>
      <c r="P383" s="16"/>
      <c r="Q383" s="19"/>
      <c r="R383" s="10"/>
      <c r="S383" s="16"/>
      <c r="T383" s="0" t="str">
        <f aca="false">IF(OR($D383="",单元查询!$B$3=""),"",IF($D383&lt;&gt;单元查询!$B$3,"",IF(OR(单元查询!$D$3="",$E383&amp;""=单元查询!$D$3&amp;""),IF(ISNUMBER($B383),$B383*10000,0)+ROW(),"")))</f>
        <v/>
      </c>
      <c r="U383" s="0" t="str">
        <f aca="false">IF(OR($B383="",$L383="已完成"),"",IF(ISNUMBER($B383),IF(设置!$B$6&lt;$B383,"",(设置!$B$6-$B383)*100000+ROW()),""))</f>
        <v/>
      </c>
      <c r="V383" s="0" t="str">
        <f aca="false">IF(ISNUMBER($O383),IF($O383&gt;=2,IF(COUNTIFS($D383:$D$2006,$D383,$E383:$E$2006,$E383)=1,ROW(),""),""),"")</f>
        <v/>
      </c>
    </row>
    <row r="384" customFormat="false" ht="15" hidden="false" customHeight="true" outlineLevel="0" collapsed="false">
      <c r="A384" s="13" t="str">
        <f aca="false">IF(AND($B384="",$D384="",$E384="",$F384=""),"",IF(OR($B384="",$D384="",$E384=""),"待补",IF($D384="公共区域","公",IF($D384="商铺","S",SUBSTITUTE($D384,"栋","")))&amp;"-"&amp;$E384&amp;"-"&amp;TEXT(MONTH($B384),"00")&amp;TEXT(DAY($B384),"00")&amp;IF(ISNUMBER($O384),IF($O384&gt;1,"-"&amp;TEXT($O384,"00"),""),"")))</f>
        <v/>
      </c>
      <c r="B384" s="14"/>
      <c r="C384" s="10"/>
      <c r="D384" s="10"/>
      <c r="E384" s="10"/>
      <c r="F384" s="16"/>
      <c r="G384" s="10"/>
      <c r="H384" s="10"/>
      <c r="I384" s="10"/>
      <c r="J384" s="10"/>
      <c r="K384" s="10"/>
      <c r="L384" s="10"/>
      <c r="M384" s="14"/>
      <c r="N384" s="17" t="str">
        <f aca="false">IF($B384="","",IF($L384="已完成",IF($M384="","",$M384-$B384),IF(设置!$B$6&lt;$B384,"",IF((设置!$B$6-$B384)&gt;=设置!$B$5,"超期"&amp;(设置!$B$6-$B384)&amp;"天","已等"&amp;(设置!$B$6-$B384)&amp;"天"))))</f>
        <v/>
      </c>
      <c r="O384" s="18" t="str">
        <f aca="false">IF(OR($D384="",$E384=""),"",COUNTIFS($D$7:$D384,$D384,$E$7:$E384,$E384))</f>
        <v/>
      </c>
      <c r="P384" s="16"/>
      <c r="Q384" s="19"/>
      <c r="R384" s="10"/>
      <c r="S384" s="16"/>
      <c r="T384" s="0" t="str">
        <f aca="false">IF(OR($D384="",单元查询!$B$3=""),"",IF($D384&lt;&gt;单元查询!$B$3,"",IF(OR(单元查询!$D$3="",$E384&amp;""=单元查询!$D$3&amp;""),IF(ISNUMBER($B384),$B384*10000,0)+ROW(),"")))</f>
        <v/>
      </c>
      <c r="U384" s="0" t="str">
        <f aca="false">IF(OR($B384="",$L384="已完成"),"",IF(ISNUMBER($B384),IF(设置!$B$6&lt;$B384,"",(设置!$B$6-$B384)*100000+ROW()),""))</f>
        <v/>
      </c>
      <c r="V384" s="0" t="str">
        <f aca="false">IF(ISNUMBER($O384),IF($O384&gt;=2,IF(COUNTIFS($D384:$D$2006,$D384,$E384:$E$2006,$E384)=1,ROW(),""),""),"")</f>
        <v/>
      </c>
    </row>
    <row r="385" customFormat="false" ht="15" hidden="false" customHeight="true" outlineLevel="0" collapsed="false">
      <c r="A385" s="13" t="str">
        <f aca="false">IF(AND($B385="",$D385="",$E385="",$F385=""),"",IF(OR($B385="",$D385="",$E385=""),"待补",IF($D385="公共区域","公",IF($D385="商铺","S",SUBSTITUTE($D385,"栋","")))&amp;"-"&amp;$E385&amp;"-"&amp;TEXT(MONTH($B385),"00")&amp;TEXT(DAY($B385),"00")&amp;IF(ISNUMBER($O385),IF($O385&gt;1,"-"&amp;TEXT($O385,"00"),""),"")))</f>
        <v/>
      </c>
      <c r="B385" s="14"/>
      <c r="C385" s="10"/>
      <c r="D385" s="10"/>
      <c r="E385" s="10"/>
      <c r="F385" s="16"/>
      <c r="G385" s="10"/>
      <c r="H385" s="10"/>
      <c r="I385" s="10"/>
      <c r="J385" s="10"/>
      <c r="K385" s="10"/>
      <c r="L385" s="10"/>
      <c r="M385" s="14"/>
      <c r="N385" s="17" t="str">
        <f aca="false">IF($B385="","",IF($L385="已完成",IF($M385="","",$M385-$B385),IF(设置!$B$6&lt;$B385,"",IF((设置!$B$6-$B385)&gt;=设置!$B$5,"超期"&amp;(设置!$B$6-$B385)&amp;"天","已等"&amp;(设置!$B$6-$B385)&amp;"天"))))</f>
        <v/>
      </c>
      <c r="O385" s="18" t="str">
        <f aca="false">IF(OR($D385="",$E385=""),"",COUNTIFS($D$7:$D385,$D385,$E$7:$E385,$E385))</f>
        <v/>
      </c>
      <c r="P385" s="16"/>
      <c r="Q385" s="19"/>
      <c r="R385" s="10"/>
      <c r="S385" s="16"/>
      <c r="T385" s="0" t="str">
        <f aca="false">IF(OR($D385="",单元查询!$B$3=""),"",IF($D385&lt;&gt;单元查询!$B$3,"",IF(OR(单元查询!$D$3="",$E385&amp;""=单元查询!$D$3&amp;""),IF(ISNUMBER($B385),$B385*10000,0)+ROW(),"")))</f>
        <v/>
      </c>
      <c r="U385" s="0" t="str">
        <f aca="false">IF(OR($B385="",$L385="已完成"),"",IF(ISNUMBER($B385),IF(设置!$B$6&lt;$B385,"",(设置!$B$6-$B385)*100000+ROW()),""))</f>
        <v/>
      </c>
      <c r="V385" s="0" t="str">
        <f aca="false">IF(ISNUMBER($O385),IF($O385&gt;=2,IF(COUNTIFS($D385:$D$2006,$D385,$E385:$E$2006,$E385)=1,ROW(),""),""),"")</f>
        <v/>
      </c>
    </row>
    <row r="386" customFormat="false" ht="15" hidden="false" customHeight="true" outlineLevel="0" collapsed="false">
      <c r="A386" s="13" t="str">
        <f aca="false">IF(AND($B386="",$D386="",$E386="",$F386=""),"",IF(OR($B386="",$D386="",$E386=""),"待补",IF($D386="公共区域","公",IF($D386="商铺","S",SUBSTITUTE($D386,"栋","")))&amp;"-"&amp;$E386&amp;"-"&amp;TEXT(MONTH($B386),"00")&amp;TEXT(DAY($B386),"00")&amp;IF(ISNUMBER($O386),IF($O386&gt;1,"-"&amp;TEXT($O386,"00"),""),"")))</f>
        <v/>
      </c>
      <c r="B386" s="14"/>
      <c r="C386" s="10"/>
      <c r="D386" s="10"/>
      <c r="E386" s="10"/>
      <c r="F386" s="16"/>
      <c r="G386" s="10"/>
      <c r="H386" s="10"/>
      <c r="I386" s="10"/>
      <c r="J386" s="10"/>
      <c r="K386" s="10"/>
      <c r="L386" s="10"/>
      <c r="M386" s="14"/>
      <c r="N386" s="17" t="str">
        <f aca="false">IF($B386="","",IF($L386="已完成",IF($M386="","",$M386-$B386),IF(设置!$B$6&lt;$B386,"",IF((设置!$B$6-$B386)&gt;=设置!$B$5,"超期"&amp;(设置!$B$6-$B386)&amp;"天","已等"&amp;(设置!$B$6-$B386)&amp;"天"))))</f>
        <v/>
      </c>
      <c r="O386" s="18" t="str">
        <f aca="false">IF(OR($D386="",$E386=""),"",COUNTIFS($D$7:$D386,$D386,$E$7:$E386,$E386))</f>
        <v/>
      </c>
      <c r="P386" s="16"/>
      <c r="Q386" s="19"/>
      <c r="R386" s="10"/>
      <c r="S386" s="16"/>
      <c r="T386" s="0" t="str">
        <f aca="false">IF(OR($D386="",单元查询!$B$3=""),"",IF($D386&lt;&gt;单元查询!$B$3,"",IF(OR(单元查询!$D$3="",$E386&amp;""=单元查询!$D$3&amp;""),IF(ISNUMBER($B386),$B386*10000,0)+ROW(),"")))</f>
        <v/>
      </c>
      <c r="U386" s="0" t="str">
        <f aca="false">IF(OR($B386="",$L386="已完成"),"",IF(ISNUMBER($B386),IF(设置!$B$6&lt;$B386,"",(设置!$B$6-$B386)*100000+ROW()),""))</f>
        <v/>
      </c>
      <c r="V386" s="0" t="str">
        <f aca="false">IF(ISNUMBER($O386),IF($O386&gt;=2,IF(COUNTIFS($D386:$D$2006,$D386,$E386:$E$2006,$E386)=1,ROW(),""),""),"")</f>
        <v/>
      </c>
    </row>
    <row r="387" customFormat="false" ht="15" hidden="false" customHeight="true" outlineLevel="0" collapsed="false">
      <c r="A387" s="13" t="str">
        <f aca="false">IF(AND($B387="",$D387="",$E387="",$F387=""),"",IF(OR($B387="",$D387="",$E387=""),"待补",IF($D387="公共区域","公",IF($D387="商铺","S",SUBSTITUTE($D387,"栋","")))&amp;"-"&amp;$E387&amp;"-"&amp;TEXT(MONTH($B387),"00")&amp;TEXT(DAY($B387),"00")&amp;IF(ISNUMBER($O387),IF($O387&gt;1,"-"&amp;TEXT($O387,"00"),""),"")))</f>
        <v/>
      </c>
      <c r="B387" s="14"/>
      <c r="C387" s="10"/>
      <c r="D387" s="10"/>
      <c r="E387" s="10"/>
      <c r="F387" s="16"/>
      <c r="G387" s="10"/>
      <c r="H387" s="10"/>
      <c r="I387" s="10"/>
      <c r="J387" s="10"/>
      <c r="K387" s="10"/>
      <c r="L387" s="10"/>
      <c r="M387" s="14"/>
      <c r="N387" s="17" t="str">
        <f aca="false">IF($B387="","",IF($L387="已完成",IF($M387="","",$M387-$B387),IF(设置!$B$6&lt;$B387,"",IF((设置!$B$6-$B387)&gt;=设置!$B$5,"超期"&amp;(设置!$B$6-$B387)&amp;"天","已等"&amp;(设置!$B$6-$B387)&amp;"天"))))</f>
        <v/>
      </c>
      <c r="O387" s="18" t="str">
        <f aca="false">IF(OR($D387="",$E387=""),"",COUNTIFS($D$7:$D387,$D387,$E$7:$E387,$E387))</f>
        <v/>
      </c>
      <c r="P387" s="16"/>
      <c r="Q387" s="19"/>
      <c r="R387" s="10"/>
      <c r="S387" s="16"/>
      <c r="T387" s="0" t="str">
        <f aca="false">IF(OR($D387="",单元查询!$B$3=""),"",IF($D387&lt;&gt;单元查询!$B$3,"",IF(OR(单元查询!$D$3="",$E387&amp;""=单元查询!$D$3&amp;""),IF(ISNUMBER($B387),$B387*10000,0)+ROW(),"")))</f>
        <v/>
      </c>
      <c r="U387" s="0" t="str">
        <f aca="false">IF(OR($B387="",$L387="已完成"),"",IF(ISNUMBER($B387),IF(设置!$B$6&lt;$B387,"",(设置!$B$6-$B387)*100000+ROW()),""))</f>
        <v/>
      </c>
      <c r="V387" s="0" t="str">
        <f aca="false">IF(ISNUMBER($O387),IF($O387&gt;=2,IF(COUNTIFS($D387:$D$2006,$D387,$E387:$E$2006,$E387)=1,ROW(),""),""),"")</f>
        <v/>
      </c>
    </row>
    <row r="388" customFormat="false" ht="15" hidden="false" customHeight="true" outlineLevel="0" collapsed="false">
      <c r="A388" s="13" t="str">
        <f aca="false">IF(AND($B388="",$D388="",$E388="",$F388=""),"",IF(OR($B388="",$D388="",$E388=""),"待补",IF($D388="公共区域","公",IF($D388="商铺","S",SUBSTITUTE($D388,"栋","")))&amp;"-"&amp;$E388&amp;"-"&amp;TEXT(MONTH($B388),"00")&amp;TEXT(DAY($B388),"00")&amp;IF(ISNUMBER($O388),IF($O388&gt;1,"-"&amp;TEXT($O388,"00"),""),"")))</f>
        <v/>
      </c>
      <c r="B388" s="14"/>
      <c r="C388" s="10"/>
      <c r="D388" s="10"/>
      <c r="E388" s="10"/>
      <c r="F388" s="16"/>
      <c r="G388" s="10"/>
      <c r="H388" s="10"/>
      <c r="I388" s="10"/>
      <c r="J388" s="10"/>
      <c r="K388" s="10"/>
      <c r="L388" s="10"/>
      <c r="M388" s="14"/>
      <c r="N388" s="17" t="str">
        <f aca="false">IF($B388="","",IF($L388="已完成",IF($M388="","",$M388-$B388),IF(设置!$B$6&lt;$B388,"",IF((设置!$B$6-$B388)&gt;=设置!$B$5,"超期"&amp;(设置!$B$6-$B388)&amp;"天","已等"&amp;(设置!$B$6-$B388)&amp;"天"))))</f>
        <v/>
      </c>
      <c r="O388" s="18" t="str">
        <f aca="false">IF(OR($D388="",$E388=""),"",COUNTIFS($D$7:$D388,$D388,$E$7:$E388,$E388))</f>
        <v/>
      </c>
      <c r="P388" s="16"/>
      <c r="Q388" s="19"/>
      <c r="R388" s="10"/>
      <c r="S388" s="16"/>
      <c r="T388" s="0" t="str">
        <f aca="false">IF(OR($D388="",单元查询!$B$3=""),"",IF($D388&lt;&gt;单元查询!$B$3,"",IF(OR(单元查询!$D$3="",$E388&amp;""=单元查询!$D$3&amp;""),IF(ISNUMBER($B388),$B388*10000,0)+ROW(),"")))</f>
        <v/>
      </c>
      <c r="U388" s="0" t="str">
        <f aca="false">IF(OR($B388="",$L388="已完成"),"",IF(ISNUMBER($B388),IF(设置!$B$6&lt;$B388,"",(设置!$B$6-$B388)*100000+ROW()),""))</f>
        <v/>
      </c>
      <c r="V388" s="0" t="str">
        <f aca="false">IF(ISNUMBER($O388),IF($O388&gt;=2,IF(COUNTIFS($D388:$D$2006,$D388,$E388:$E$2006,$E388)=1,ROW(),""),""),"")</f>
        <v/>
      </c>
    </row>
    <row r="389" customFormat="false" ht="15" hidden="false" customHeight="true" outlineLevel="0" collapsed="false">
      <c r="A389" s="13" t="str">
        <f aca="false">IF(AND($B389="",$D389="",$E389="",$F389=""),"",IF(OR($B389="",$D389="",$E389=""),"待补",IF($D389="公共区域","公",IF($D389="商铺","S",SUBSTITUTE($D389,"栋","")))&amp;"-"&amp;$E389&amp;"-"&amp;TEXT(MONTH($B389),"00")&amp;TEXT(DAY($B389),"00")&amp;IF(ISNUMBER($O389),IF($O389&gt;1,"-"&amp;TEXT($O389,"00"),""),"")))</f>
        <v/>
      </c>
      <c r="B389" s="14"/>
      <c r="C389" s="10"/>
      <c r="D389" s="10"/>
      <c r="E389" s="10"/>
      <c r="F389" s="16"/>
      <c r="G389" s="10"/>
      <c r="H389" s="10"/>
      <c r="I389" s="10"/>
      <c r="J389" s="10"/>
      <c r="K389" s="10"/>
      <c r="L389" s="10"/>
      <c r="M389" s="14"/>
      <c r="N389" s="17" t="str">
        <f aca="false">IF($B389="","",IF($L389="已完成",IF($M389="","",$M389-$B389),IF(设置!$B$6&lt;$B389,"",IF((设置!$B$6-$B389)&gt;=设置!$B$5,"超期"&amp;(设置!$B$6-$B389)&amp;"天","已等"&amp;(设置!$B$6-$B389)&amp;"天"))))</f>
        <v/>
      </c>
      <c r="O389" s="18" t="str">
        <f aca="false">IF(OR($D389="",$E389=""),"",COUNTIFS($D$7:$D389,$D389,$E$7:$E389,$E389))</f>
        <v/>
      </c>
      <c r="P389" s="16"/>
      <c r="Q389" s="19"/>
      <c r="R389" s="10"/>
      <c r="S389" s="16"/>
      <c r="T389" s="0" t="str">
        <f aca="false">IF(OR($D389="",单元查询!$B$3=""),"",IF($D389&lt;&gt;单元查询!$B$3,"",IF(OR(单元查询!$D$3="",$E389&amp;""=单元查询!$D$3&amp;""),IF(ISNUMBER($B389),$B389*10000,0)+ROW(),"")))</f>
        <v/>
      </c>
      <c r="U389" s="0" t="str">
        <f aca="false">IF(OR($B389="",$L389="已完成"),"",IF(ISNUMBER($B389),IF(设置!$B$6&lt;$B389,"",(设置!$B$6-$B389)*100000+ROW()),""))</f>
        <v/>
      </c>
      <c r="V389" s="0" t="str">
        <f aca="false">IF(ISNUMBER($O389),IF($O389&gt;=2,IF(COUNTIFS($D389:$D$2006,$D389,$E389:$E$2006,$E389)=1,ROW(),""),""),"")</f>
        <v/>
      </c>
    </row>
    <row r="390" customFormat="false" ht="15" hidden="false" customHeight="true" outlineLevel="0" collapsed="false">
      <c r="A390" s="13" t="str">
        <f aca="false">IF(AND($B390="",$D390="",$E390="",$F390=""),"",IF(OR($B390="",$D390="",$E390=""),"待补",IF($D390="公共区域","公",IF($D390="商铺","S",SUBSTITUTE($D390,"栋","")))&amp;"-"&amp;$E390&amp;"-"&amp;TEXT(MONTH($B390),"00")&amp;TEXT(DAY($B390),"00")&amp;IF(ISNUMBER($O390),IF($O390&gt;1,"-"&amp;TEXT($O390,"00"),""),"")))</f>
        <v/>
      </c>
      <c r="B390" s="14"/>
      <c r="C390" s="10"/>
      <c r="D390" s="10"/>
      <c r="E390" s="10"/>
      <c r="F390" s="16"/>
      <c r="G390" s="10"/>
      <c r="H390" s="10"/>
      <c r="I390" s="10"/>
      <c r="J390" s="10"/>
      <c r="K390" s="10"/>
      <c r="L390" s="10"/>
      <c r="M390" s="14"/>
      <c r="N390" s="17" t="str">
        <f aca="false">IF($B390="","",IF($L390="已完成",IF($M390="","",$M390-$B390),IF(设置!$B$6&lt;$B390,"",IF((设置!$B$6-$B390)&gt;=设置!$B$5,"超期"&amp;(设置!$B$6-$B390)&amp;"天","已等"&amp;(设置!$B$6-$B390)&amp;"天"))))</f>
        <v/>
      </c>
      <c r="O390" s="18" t="str">
        <f aca="false">IF(OR($D390="",$E390=""),"",COUNTIFS($D$7:$D390,$D390,$E$7:$E390,$E390))</f>
        <v/>
      </c>
      <c r="P390" s="16"/>
      <c r="Q390" s="19"/>
      <c r="R390" s="10"/>
      <c r="S390" s="16"/>
      <c r="T390" s="0" t="str">
        <f aca="false">IF(OR($D390="",单元查询!$B$3=""),"",IF($D390&lt;&gt;单元查询!$B$3,"",IF(OR(单元查询!$D$3="",$E390&amp;""=单元查询!$D$3&amp;""),IF(ISNUMBER($B390),$B390*10000,0)+ROW(),"")))</f>
        <v/>
      </c>
      <c r="U390" s="0" t="str">
        <f aca="false">IF(OR($B390="",$L390="已完成"),"",IF(ISNUMBER($B390),IF(设置!$B$6&lt;$B390,"",(设置!$B$6-$B390)*100000+ROW()),""))</f>
        <v/>
      </c>
      <c r="V390" s="0" t="str">
        <f aca="false">IF(ISNUMBER($O390),IF($O390&gt;=2,IF(COUNTIFS($D390:$D$2006,$D390,$E390:$E$2006,$E390)=1,ROW(),""),""),"")</f>
        <v/>
      </c>
    </row>
    <row r="391" customFormat="false" ht="15" hidden="false" customHeight="true" outlineLevel="0" collapsed="false">
      <c r="A391" s="13" t="str">
        <f aca="false">IF(AND($B391="",$D391="",$E391="",$F391=""),"",IF(OR($B391="",$D391="",$E391=""),"待补",IF($D391="公共区域","公",IF($D391="商铺","S",SUBSTITUTE($D391,"栋","")))&amp;"-"&amp;$E391&amp;"-"&amp;TEXT(MONTH($B391),"00")&amp;TEXT(DAY($B391),"00")&amp;IF(ISNUMBER($O391),IF($O391&gt;1,"-"&amp;TEXT($O391,"00"),""),"")))</f>
        <v/>
      </c>
      <c r="B391" s="14"/>
      <c r="C391" s="10"/>
      <c r="D391" s="10"/>
      <c r="E391" s="10"/>
      <c r="F391" s="16"/>
      <c r="G391" s="10"/>
      <c r="H391" s="10"/>
      <c r="I391" s="10"/>
      <c r="J391" s="10"/>
      <c r="K391" s="10"/>
      <c r="L391" s="10"/>
      <c r="M391" s="14"/>
      <c r="N391" s="17" t="str">
        <f aca="false">IF($B391="","",IF($L391="已完成",IF($M391="","",$M391-$B391),IF(设置!$B$6&lt;$B391,"",IF((设置!$B$6-$B391)&gt;=设置!$B$5,"超期"&amp;(设置!$B$6-$B391)&amp;"天","已等"&amp;(设置!$B$6-$B391)&amp;"天"))))</f>
        <v/>
      </c>
      <c r="O391" s="18" t="str">
        <f aca="false">IF(OR($D391="",$E391=""),"",COUNTIFS($D$7:$D391,$D391,$E$7:$E391,$E391))</f>
        <v/>
      </c>
      <c r="P391" s="16"/>
      <c r="Q391" s="19"/>
      <c r="R391" s="10"/>
      <c r="S391" s="16"/>
      <c r="T391" s="0" t="str">
        <f aca="false">IF(OR($D391="",单元查询!$B$3=""),"",IF($D391&lt;&gt;单元查询!$B$3,"",IF(OR(单元查询!$D$3="",$E391&amp;""=单元查询!$D$3&amp;""),IF(ISNUMBER($B391),$B391*10000,0)+ROW(),"")))</f>
        <v/>
      </c>
      <c r="U391" s="0" t="str">
        <f aca="false">IF(OR($B391="",$L391="已完成"),"",IF(ISNUMBER($B391),IF(设置!$B$6&lt;$B391,"",(设置!$B$6-$B391)*100000+ROW()),""))</f>
        <v/>
      </c>
      <c r="V391" s="0" t="str">
        <f aca="false">IF(ISNUMBER($O391),IF($O391&gt;=2,IF(COUNTIFS($D391:$D$2006,$D391,$E391:$E$2006,$E391)=1,ROW(),""),""),"")</f>
        <v/>
      </c>
    </row>
    <row r="392" customFormat="false" ht="15" hidden="false" customHeight="true" outlineLevel="0" collapsed="false">
      <c r="A392" s="13" t="str">
        <f aca="false">IF(AND($B392="",$D392="",$E392="",$F392=""),"",IF(OR($B392="",$D392="",$E392=""),"待补",IF($D392="公共区域","公",IF($D392="商铺","S",SUBSTITUTE($D392,"栋","")))&amp;"-"&amp;$E392&amp;"-"&amp;TEXT(MONTH($B392),"00")&amp;TEXT(DAY($B392),"00")&amp;IF(ISNUMBER($O392),IF($O392&gt;1,"-"&amp;TEXT($O392,"00"),""),"")))</f>
        <v/>
      </c>
      <c r="B392" s="14"/>
      <c r="C392" s="10"/>
      <c r="D392" s="10"/>
      <c r="E392" s="10"/>
      <c r="F392" s="16"/>
      <c r="G392" s="10"/>
      <c r="H392" s="10"/>
      <c r="I392" s="10"/>
      <c r="J392" s="10"/>
      <c r="K392" s="10"/>
      <c r="L392" s="10"/>
      <c r="M392" s="14"/>
      <c r="N392" s="17" t="str">
        <f aca="false">IF($B392="","",IF($L392="已完成",IF($M392="","",$M392-$B392),IF(设置!$B$6&lt;$B392,"",IF((设置!$B$6-$B392)&gt;=设置!$B$5,"超期"&amp;(设置!$B$6-$B392)&amp;"天","已等"&amp;(设置!$B$6-$B392)&amp;"天"))))</f>
        <v/>
      </c>
      <c r="O392" s="18" t="str">
        <f aca="false">IF(OR($D392="",$E392=""),"",COUNTIFS($D$7:$D392,$D392,$E$7:$E392,$E392))</f>
        <v/>
      </c>
      <c r="P392" s="16"/>
      <c r="Q392" s="19"/>
      <c r="R392" s="10"/>
      <c r="S392" s="16"/>
      <c r="T392" s="0" t="str">
        <f aca="false">IF(OR($D392="",单元查询!$B$3=""),"",IF($D392&lt;&gt;单元查询!$B$3,"",IF(OR(单元查询!$D$3="",$E392&amp;""=单元查询!$D$3&amp;""),IF(ISNUMBER($B392),$B392*10000,0)+ROW(),"")))</f>
        <v/>
      </c>
      <c r="U392" s="0" t="str">
        <f aca="false">IF(OR($B392="",$L392="已完成"),"",IF(ISNUMBER($B392),IF(设置!$B$6&lt;$B392,"",(设置!$B$6-$B392)*100000+ROW()),""))</f>
        <v/>
      </c>
      <c r="V392" s="0" t="str">
        <f aca="false">IF(ISNUMBER($O392),IF($O392&gt;=2,IF(COUNTIFS($D392:$D$2006,$D392,$E392:$E$2006,$E392)=1,ROW(),""),""),"")</f>
        <v/>
      </c>
    </row>
    <row r="393" customFormat="false" ht="15" hidden="false" customHeight="true" outlineLevel="0" collapsed="false">
      <c r="A393" s="13" t="str">
        <f aca="false">IF(AND($B393="",$D393="",$E393="",$F393=""),"",IF(OR($B393="",$D393="",$E393=""),"待补",IF($D393="公共区域","公",IF($D393="商铺","S",SUBSTITUTE($D393,"栋","")))&amp;"-"&amp;$E393&amp;"-"&amp;TEXT(MONTH($B393),"00")&amp;TEXT(DAY($B393),"00")&amp;IF(ISNUMBER($O393),IF($O393&gt;1,"-"&amp;TEXT($O393,"00"),""),"")))</f>
        <v/>
      </c>
      <c r="B393" s="14"/>
      <c r="C393" s="10"/>
      <c r="D393" s="10"/>
      <c r="E393" s="10"/>
      <c r="F393" s="16"/>
      <c r="G393" s="10"/>
      <c r="H393" s="10"/>
      <c r="I393" s="10"/>
      <c r="J393" s="10"/>
      <c r="K393" s="10"/>
      <c r="L393" s="10"/>
      <c r="M393" s="14"/>
      <c r="N393" s="17" t="str">
        <f aca="false">IF($B393="","",IF($L393="已完成",IF($M393="","",$M393-$B393),IF(设置!$B$6&lt;$B393,"",IF((设置!$B$6-$B393)&gt;=设置!$B$5,"超期"&amp;(设置!$B$6-$B393)&amp;"天","已等"&amp;(设置!$B$6-$B393)&amp;"天"))))</f>
        <v/>
      </c>
      <c r="O393" s="18" t="str">
        <f aca="false">IF(OR($D393="",$E393=""),"",COUNTIFS($D$7:$D393,$D393,$E$7:$E393,$E393))</f>
        <v/>
      </c>
      <c r="P393" s="16"/>
      <c r="Q393" s="19"/>
      <c r="R393" s="10"/>
      <c r="S393" s="16"/>
      <c r="T393" s="0" t="str">
        <f aca="false">IF(OR($D393="",单元查询!$B$3=""),"",IF($D393&lt;&gt;单元查询!$B$3,"",IF(OR(单元查询!$D$3="",$E393&amp;""=单元查询!$D$3&amp;""),IF(ISNUMBER($B393),$B393*10000,0)+ROW(),"")))</f>
        <v/>
      </c>
      <c r="U393" s="0" t="str">
        <f aca="false">IF(OR($B393="",$L393="已完成"),"",IF(ISNUMBER($B393),IF(设置!$B$6&lt;$B393,"",(设置!$B$6-$B393)*100000+ROW()),""))</f>
        <v/>
      </c>
      <c r="V393" s="0" t="str">
        <f aca="false">IF(ISNUMBER($O393),IF($O393&gt;=2,IF(COUNTIFS($D393:$D$2006,$D393,$E393:$E$2006,$E393)=1,ROW(),""),""),"")</f>
        <v/>
      </c>
    </row>
    <row r="394" customFormat="false" ht="15" hidden="false" customHeight="true" outlineLevel="0" collapsed="false">
      <c r="A394" s="13" t="str">
        <f aca="false">IF(AND($B394="",$D394="",$E394="",$F394=""),"",IF(OR($B394="",$D394="",$E394=""),"待补",IF($D394="公共区域","公",IF($D394="商铺","S",SUBSTITUTE($D394,"栋","")))&amp;"-"&amp;$E394&amp;"-"&amp;TEXT(MONTH($B394),"00")&amp;TEXT(DAY($B394),"00")&amp;IF(ISNUMBER($O394),IF($O394&gt;1,"-"&amp;TEXT($O394,"00"),""),"")))</f>
        <v/>
      </c>
      <c r="B394" s="14"/>
      <c r="C394" s="10"/>
      <c r="D394" s="10"/>
      <c r="E394" s="10"/>
      <c r="F394" s="16"/>
      <c r="G394" s="10"/>
      <c r="H394" s="10"/>
      <c r="I394" s="10"/>
      <c r="J394" s="10"/>
      <c r="K394" s="10"/>
      <c r="L394" s="10"/>
      <c r="M394" s="14"/>
      <c r="N394" s="17" t="str">
        <f aca="false">IF($B394="","",IF($L394="已完成",IF($M394="","",$M394-$B394),IF(设置!$B$6&lt;$B394,"",IF((设置!$B$6-$B394)&gt;=设置!$B$5,"超期"&amp;(设置!$B$6-$B394)&amp;"天","已等"&amp;(设置!$B$6-$B394)&amp;"天"))))</f>
        <v/>
      </c>
      <c r="O394" s="18" t="str">
        <f aca="false">IF(OR($D394="",$E394=""),"",COUNTIFS($D$7:$D394,$D394,$E$7:$E394,$E394))</f>
        <v/>
      </c>
      <c r="P394" s="16"/>
      <c r="Q394" s="19"/>
      <c r="R394" s="10"/>
      <c r="S394" s="16"/>
      <c r="T394" s="0" t="str">
        <f aca="false">IF(OR($D394="",单元查询!$B$3=""),"",IF($D394&lt;&gt;单元查询!$B$3,"",IF(OR(单元查询!$D$3="",$E394&amp;""=单元查询!$D$3&amp;""),IF(ISNUMBER($B394),$B394*10000,0)+ROW(),"")))</f>
        <v/>
      </c>
      <c r="U394" s="0" t="str">
        <f aca="false">IF(OR($B394="",$L394="已完成"),"",IF(ISNUMBER($B394),IF(设置!$B$6&lt;$B394,"",(设置!$B$6-$B394)*100000+ROW()),""))</f>
        <v/>
      </c>
      <c r="V394" s="0" t="str">
        <f aca="false">IF(ISNUMBER($O394),IF($O394&gt;=2,IF(COUNTIFS($D394:$D$2006,$D394,$E394:$E$2006,$E394)=1,ROW(),""),""),"")</f>
        <v/>
      </c>
    </row>
    <row r="395" customFormat="false" ht="15" hidden="false" customHeight="true" outlineLevel="0" collapsed="false">
      <c r="A395" s="13" t="str">
        <f aca="false">IF(AND($B395="",$D395="",$E395="",$F395=""),"",IF(OR($B395="",$D395="",$E395=""),"待补",IF($D395="公共区域","公",IF($D395="商铺","S",SUBSTITUTE($D395,"栋","")))&amp;"-"&amp;$E395&amp;"-"&amp;TEXT(MONTH($B395),"00")&amp;TEXT(DAY($B395),"00")&amp;IF(ISNUMBER($O395),IF($O395&gt;1,"-"&amp;TEXT($O395,"00"),""),"")))</f>
        <v/>
      </c>
      <c r="B395" s="14"/>
      <c r="C395" s="10"/>
      <c r="D395" s="10"/>
      <c r="E395" s="10"/>
      <c r="F395" s="16"/>
      <c r="G395" s="10"/>
      <c r="H395" s="10"/>
      <c r="I395" s="10"/>
      <c r="J395" s="10"/>
      <c r="K395" s="10"/>
      <c r="L395" s="10"/>
      <c r="M395" s="14"/>
      <c r="N395" s="17" t="str">
        <f aca="false">IF($B395="","",IF($L395="已完成",IF($M395="","",$M395-$B395),IF(设置!$B$6&lt;$B395,"",IF((设置!$B$6-$B395)&gt;=设置!$B$5,"超期"&amp;(设置!$B$6-$B395)&amp;"天","已等"&amp;(设置!$B$6-$B395)&amp;"天"))))</f>
        <v/>
      </c>
      <c r="O395" s="18" t="str">
        <f aca="false">IF(OR($D395="",$E395=""),"",COUNTIFS($D$7:$D395,$D395,$E$7:$E395,$E395))</f>
        <v/>
      </c>
      <c r="P395" s="16"/>
      <c r="Q395" s="19"/>
      <c r="R395" s="10"/>
      <c r="S395" s="16"/>
      <c r="T395" s="0" t="str">
        <f aca="false">IF(OR($D395="",单元查询!$B$3=""),"",IF($D395&lt;&gt;单元查询!$B$3,"",IF(OR(单元查询!$D$3="",$E395&amp;""=单元查询!$D$3&amp;""),IF(ISNUMBER($B395),$B395*10000,0)+ROW(),"")))</f>
        <v/>
      </c>
      <c r="U395" s="0" t="str">
        <f aca="false">IF(OR($B395="",$L395="已完成"),"",IF(ISNUMBER($B395),IF(设置!$B$6&lt;$B395,"",(设置!$B$6-$B395)*100000+ROW()),""))</f>
        <v/>
      </c>
      <c r="V395" s="0" t="str">
        <f aca="false">IF(ISNUMBER($O395),IF($O395&gt;=2,IF(COUNTIFS($D395:$D$2006,$D395,$E395:$E$2006,$E395)=1,ROW(),""),""),"")</f>
        <v/>
      </c>
    </row>
    <row r="396" customFormat="false" ht="15" hidden="false" customHeight="true" outlineLevel="0" collapsed="false">
      <c r="A396" s="13" t="str">
        <f aca="false">IF(AND($B396="",$D396="",$E396="",$F396=""),"",IF(OR($B396="",$D396="",$E396=""),"待补",IF($D396="公共区域","公",IF($D396="商铺","S",SUBSTITUTE($D396,"栋","")))&amp;"-"&amp;$E396&amp;"-"&amp;TEXT(MONTH($B396),"00")&amp;TEXT(DAY($B396),"00")&amp;IF(ISNUMBER($O396),IF($O396&gt;1,"-"&amp;TEXT($O396,"00"),""),"")))</f>
        <v/>
      </c>
      <c r="B396" s="14"/>
      <c r="C396" s="10"/>
      <c r="D396" s="10"/>
      <c r="E396" s="10"/>
      <c r="F396" s="16"/>
      <c r="G396" s="10"/>
      <c r="H396" s="10"/>
      <c r="I396" s="10"/>
      <c r="J396" s="10"/>
      <c r="K396" s="10"/>
      <c r="L396" s="10"/>
      <c r="M396" s="14"/>
      <c r="N396" s="17" t="str">
        <f aca="false">IF($B396="","",IF($L396="已完成",IF($M396="","",$M396-$B396),IF(设置!$B$6&lt;$B396,"",IF((设置!$B$6-$B396)&gt;=设置!$B$5,"超期"&amp;(设置!$B$6-$B396)&amp;"天","已等"&amp;(设置!$B$6-$B396)&amp;"天"))))</f>
        <v/>
      </c>
      <c r="O396" s="18" t="str">
        <f aca="false">IF(OR($D396="",$E396=""),"",COUNTIFS($D$7:$D396,$D396,$E$7:$E396,$E396))</f>
        <v/>
      </c>
      <c r="P396" s="16"/>
      <c r="Q396" s="19"/>
      <c r="R396" s="10"/>
      <c r="S396" s="16"/>
      <c r="T396" s="0" t="str">
        <f aca="false">IF(OR($D396="",单元查询!$B$3=""),"",IF($D396&lt;&gt;单元查询!$B$3,"",IF(OR(单元查询!$D$3="",$E396&amp;""=单元查询!$D$3&amp;""),IF(ISNUMBER($B396),$B396*10000,0)+ROW(),"")))</f>
        <v/>
      </c>
      <c r="U396" s="0" t="str">
        <f aca="false">IF(OR($B396="",$L396="已完成"),"",IF(ISNUMBER($B396),IF(设置!$B$6&lt;$B396,"",(设置!$B$6-$B396)*100000+ROW()),""))</f>
        <v/>
      </c>
      <c r="V396" s="0" t="str">
        <f aca="false">IF(ISNUMBER($O396),IF($O396&gt;=2,IF(COUNTIFS($D396:$D$2006,$D396,$E396:$E$2006,$E396)=1,ROW(),""),""),"")</f>
        <v/>
      </c>
    </row>
    <row r="397" customFormat="false" ht="15" hidden="false" customHeight="true" outlineLevel="0" collapsed="false">
      <c r="A397" s="13" t="str">
        <f aca="false">IF(AND($B397="",$D397="",$E397="",$F397=""),"",IF(OR($B397="",$D397="",$E397=""),"待补",IF($D397="公共区域","公",IF($D397="商铺","S",SUBSTITUTE($D397,"栋","")))&amp;"-"&amp;$E397&amp;"-"&amp;TEXT(MONTH($B397),"00")&amp;TEXT(DAY($B397),"00")&amp;IF(ISNUMBER($O397),IF($O397&gt;1,"-"&amp;TEXT($O397,"00"),""),"")))</f>
        <v/>
      </c>
      <c r="B397" s="14"/>
      <c r="C397" s="10"/>
      <c r="D397" s="10"/>
      <c r="E397" s="10"/>
      <c r="F397" s="16"/>
      <c r="G397" s="10"/>
      <c r="H397" s="10"/>
      <c r="I397" s="10"/>
      <c r="J397" s="10"/>
      <c r="K397" s="10"/>
      <c r="L397" s="10"/>
      <c r="M397" s="14"/>
      <c r="N397" s="17" t="str">
        <f aca="false">IF($B397="","",IF($L397="已完成",IF($M397="","",$M397-$B397),IF(设置!$B$6&lt;$B397,"",IF((设置!$B$6-$B397)&gt;=设置!$B$5,"超期"&amp;(设置!$B$6-$B397)&amp;"天","已等"&amp;(设置!$B$6-$B397)&amp;"天"))))</f>
        <v/>
      </c>
      <c r="O397" s="18" t="str">
        <f aca="false">IF(OR($D397="",$E397=""),"",COUNTIFS($D$7:$D397,$D397,$E$7:$E397,$E397))</f>
        <v/>
      </c>
      <c r="P397" s="16"/>
      <c r="Q397" s="19"/>
      <c r="R397" s="10"/>
      <c r="S397" s="16"/>
      <c r="T397" s="0" t="str">
        <f aca="false">IF(OR($D397="",单元查询!$B$3=""),"",IF($D397&lt;&gt;单元查询!$B$3,"",IF(OR(单元查询!$D$3="",$E397&amp;""=单元查询!$D$3&amp;""),IF(ISNUMBER($B397),$B397*10000,0)+ROW(),"")))</f>
        <v/>
      </c>
      <c r="U397" s="0" t="str">
        <f aca="false">IF(OR($B397="",$L397="已完成"),"",IF(ISNUMBER($B397),IF(设置!$B$6&lt;$B397,"",(设置!$B$6-$B397)*100000+ROW()),""))</f>
        <v/>
      </c>
      <c r="V397" s="0" t="str">
        <f aca="false">IF(ISNUMBER($O397),IF($O397&gt;=2,IF(COUNTIFS($D397:$D$2006,$D397,$E397:$E$2006,$E397)=1,ROW(),""),""),"")</f>
        <v/>
      </c>
    </row>
    <row r="398" customFormat="false" ht="15" hidden="false" customHeight="true" outlineLevel="0" collapsed="false">
      <c r="A398" s="13" t="str">
        <f aca="false">IF(AND($B398="",$D398="",$E398="",$F398=""),"",IF(OR($B398="",$D398="",$E398=""),"待补",IF($D398="公共区域","公",IF($D398="商铺","S",SUBSTITUTE($D398,"栋","")))&amp;"-"&amp;$E398&amp;"-"&amp;TEXT(MONTH($B398),"00")&amp;TEXT(DAY($B398),"00")&amp;IF(ISNUMBER($O398),IF($O398&gt;1,"-"&amp;TEXT($O398,"00"),""),"")))</f>
        <v/>
      </c>
      <c r="B398" s="14"/>
      <c r="C398" s="10"/>
      <c r="D398" s="10"/>
      <c r="E398" s="10"/>
      <c r="F398" s="16"/>
      <c r="G398" s="10"/>
      <c r="H398" s="10"/>
      <c r="I398" s="10"/>
      <c r="J398" s="10"/>
      <c r="K398" s="10"/>
      <c r="L398" s="10"/>
      <c r="M398" s="14"/>
      <c r="N398" s="17" t="str">
        <f aca="false">IF($B398="","",IF($L398="已完成",IF($M398="","",$M398-$B398),IF(设置!$B$6&lt;$B398,"",IF((设置!$B$6-$B398)&gt;=设置!$B$5,"超期"&amp;(设置!$B$6-$B398)&amp;"天","已等"&amp;(设置!$B$6-$B398)&amp;"天"))))</f>
        <v/>
      </c>
      <c r="O398" s="18" t="str">
        <f aca="false">IF(OR($D398="",$E398=""),"",COUNTIFS($D$7:$D398,$D398,$E$7:$E398,$E398))</f>
        <v/>
      </c>
      <c r="P398" s="16"/>
      <c r="Q398" s="19"/>
      <c r="R398" s="10"/>
      <c r="S398" s="16"/>
      <c r="T398" s="0" t="str">
        <f aca="false">IF(OR($D398="",单元查询!$B$3=""),"",IF($D398&lt;&gt;单元查询!$B$3,"",IF(OR(单元查询!$D$3="",$E398&amp;""=单元查询!$D$3&amp;""),IF(ISNUMBER($B398),$B398*10000,0)+ROW(),"")))</f>
        <v/>
      </c>
      <c r="U398" s="0" t="str">
        <f aca="false">IF(OR($B398="",$L398="已完成"),"",IF(ISNUMBER($B398),IF(设置!$B$6&lt;$B398,"",(设置!$B$6-$B398)*100000+ROW()),""))</f>
        <v/>
      </c>
      <c r="V398" s="0" t="str">
        <f aca="false">IF(ISNUMBER($O398),IF($O398&gt;=2,IF(COUNTIFS($D398:$D$2006,$D398,$E398:$E$2006,$E398)=1,ROW(),""),""),"")</f>
        <v/>
      </c>
    </row>
    <row r="399" customFormat="false" ht="15" hidden="false" customHeight="true" outlineLevel="0" collapsed="false">
      <c r="A399" s="13" t="str">
        <f aca="false">IF(AND($B399="",$D399="",$E399="",$F399=""),"",IF(OR($B399="",$D399="",$E399=""),"待补",IF($D399="公共区域","公",IF($D399="商铺","S",SUBSTITUTE($D399,"栋","")))&amp;"-"&amp;$E399&amp;"-"&amp;TEXT(MONTH($B399),"00")&amp;TEXT(DAY($B399),"00")&amp;IF(ISNUMBER($O399),IF($O399&gt;1,"-"&amp;TEXT($O399,"00"),""),"")))</f>
        <v/>
      </c>
      <c r="B399" s="14"/>
      <c r="C399" s="10"/>
      <c r="D399" s="10"/>
      <c r="E399" s="10"/>
      <c r="F399" s="16"/>
      <c r="G399" s="10"/>
      <c r="H399" s="10"/>
      <c r="I399" s="10"/>
      <c r="J399" s="10"/>
      <c r="K399" s="10"/>
      <c r="L399" s="10"/>
      <c r="M399" s="14"/>
      <c r="N399" s="17" t="str">
        <f aca="false">IF($B399="","",IF($L399="已完成",IF($M399="","",$M399-$B399),IF(设置!$B$6&lt;$B399,"",IF((设置!$B$6-$B399)&gt;=设置!$B$5,"超期"&amp;(设置!$B$6-$B399)&amp;"天","已等"&amp;(设置!$B$6-$B399)&amp;"天"))))</f>
        <v/>
      </c>
      <c r="O399" s="18" t="str">
        <f aca="false">IF(OR($D399="",$E399=""),"",COUNTIFS($D$7:$D399,$D399,$E$7:$E399,$E399))</f>
        <v/>
      </c>
      <c r="P399" s="16"/>
      <c r="Q399" s="19"/>
      <c r="R399" s="10"/>
      <c r="S399" s="16"/>
      <c r="T399" s="0" t="str">
        <f aca="false">IF(OR($D399="",单元查询!$B$3=""),"",IF($D399&lt;&gt;单元查询!$B$3,"",IF(OR(单元查询!$D$3="",$E399&amp;""=单元查询!$D$3&amp;""),IF(ISNUMBER($B399),$B399*10000,0)+ROW(),"")))</f>
        <v/>
      </c>
      <c r="U399" s="0" t="str">
        <f aca="false">IF(OR($B399="",$L399="已完成"),"",IF(ISNUMBER($B399),IF(设置!$B$6&lt;$B399,"",(设置!$B$6-$B399)*100000+ROW()),""))</f>
        <v/>
      </c>
      <c r="V399" s="0" t="str">
        <f aca="false">IF(ISNUMBER($O399),IF($O399&gt;=2,IF(COUNTIFS($D399:$D$2006,$D399,$E399:$E$2006,$E399)=1,ROW(),""),""),"")</f>
        <v/>
      </c>
    </row>
    <row r="400" customFormat="false" ht="15" hidden="false" customHeight="true" outlineLevel="0" collapsed="false">
      <c r="A400" s="13" t="str">
        <f aca="false">IF(AND($B400="",$D400="",$E400="",$F400=""),"",IF(OR($B400="",$D400="",$E400=""),"待补",IF($D400="公共区域","公",IF($D400="商铺","S",SUBSTITUTE($D400,"栋","")))&amp;"-"&amp;$E400&amp;"-"&amp;TEXT(MONTH($B400),"00")&amp;TEXT(DAY($B400),"00")&amp;IF(ISNUMBER($O400),IF($O400&gt;1,"-"&amp;TEXT($O400,"00"),""),"")))</f>
        <v/>
      </c>
      <c r="B400" s="14"/>
      <c r="C400" s="10"/>
      <c r="D400" s="10"/>
      <c r="E400" s="10"/>
      <c r="F400" s="16"/>
      <c r="G400" s="10"/>
      <c r="H400" s="10"/>
      <c r="I400" s="10"/>
      <c r="J400" s="10"/>
      <c r="K400" s="10"/>
      <c r="L400" s="10"/>
      <c r="M400" s="14"/>
      <c r="N400" s="17" t="str">
        <f aca="false">IF($B400="","",IF($L400="已完成",IF($M400="","",$M400-$B400),IF(设置!$B$6&lt;$B400,"",IF((设置!$B$6-$B400)&gt;=设置!$B$5,"超期"&amp;(设置!$B$6-$B400)&amp;"天","已等"&amp;(设置!$B$6-$B400)&amp;"天"))))</f>
        <v/>
      </c>
      <c r="O400" s="18" t="str">
        <f aca="false">IF(OR($D400="",$E400=""),"",COUNTIFS($D$7:$D400,$D400,$E$7:$E400,$E400))</f>
        <v/>
      </c>
      <c r="P400" s="16"/>
      <c r="Q400" s="19"/>
      <c r="R400" s="10"/>
      <c r="S400" s="16"/>
      <c r="T400" s="0" t="str">
        <f aca="false">IF(OR($D400="",单元查询!$B$3=""),"",IF($D400&lt;&gt;单元查询!$B$3,"",IF(OR(单元查询!$D$3="",$E400&amp;""=单元查询!$D$3&amp;""),IF(ISNUMBER($B400),$B400*10000,0)+ROW(),"")))</f>
        <v/>
      </c>
      <c r="U400" s="0" t="str">
        <f aca="false">IF(OR($B400="",$L400="已完成"),"",IF(ISNUMBER($B400),IF(设置!$B$6&lt;$B400,"",(设置!$B$6-$B400)*100000+ROW()),""))</f>
        <v/>
      </c>
      <c r="V400" s="0" t="str">
        <f aca="false">IF(ISNUMBER($O400),IF($O400&gt;=2,IF(COUNTIFS($D400:$D$2006,$D400,$E400:$E$2006,$E400)=1,ROW(),""),""),"")</f>
        <v/>
      </c>
    </row>
    <row r="401" customFormat="false" ht="15" hidden="false" customHeight="true" outlineLevel="0" collapsed="false">
      <c r="A401" s="13" t="str">
        <f aca="false">IF(AND($B401="",$D401="",$E401="",$F401=""),"",IF(OR($B401="",$D401="",$E401=""),"待补",IF($D401="公共区域","公",IF($D401="商铺","S",SUBSTITUTE($D401,"栋","")))&amp;"-"&amp;$E401&amp;"-"&amp;TEXT(MONTH($B401),"00")&amp;TEXT(DAY($B401),"00")&amp;IF(ISNUMBER($O401),IF($O401&gt;1,"-"&amp;TEXT($O401,"00"),""),"")))</f>
        <v/>
      </c>
      <c r="B401" s="14"/>
      <c r="C401" s="10"/>
      <c r="D401" s="10"/>
      <c r="E401" s="10"/>
      <c r="F401" s="16"/>
      <c r="G401" s="10"/>
      <c r="H401" s="10"/>
      <c r="I401" s="10"/>
      <c r="J401" s="10"/>
      <c r="K401" s="10"/>
      <c r="L401" s="10"/>
      <c r="M401" s="14"/>
      <c r="N401" s="17" t="str">
        <f aca="false">IF($B401="","",IF($L401="已完成",IF($M401="","",$M401-$B401),IF(设置!$B$6&lt;$B401,"",IF((设置!$B$6-$B401)&gt;=设置!$B$5,"超期"&amp;(设置!$B$6-$B401)&amp;"天","已等"&amp;(设置!$B$6-$B401)&amp;"天"))))</f>
        <v/>
      </c>
      <c r="O401" s="18" t="str">
        <f aca="false">IF(OR($D401="",$E401=""),"",COUNTIFS($D$7:$D401,$D401,$E$7:$E401,$E401))</f>
        <v/>
      </c>
      <c r="P401" s="16"/>
      <c r="Q401" s="19"/>
      <c r="R401" s="10"/>
      <c r="S401" s="16"/>
      <c r="T401" s="0" t="str">
        <f aca="false">IF(OR($D401="",单元查询!$B$3=""),"",IF($D401&lt;&gt;单元查询!$B$3,"",IF(OR(单元查询!$D$3="",$E401&amp;""=单元查询!$D$3&amp;""),IF(ISNUMBER($B401),$B401*10000,0)+ROW(),"")))</f>
        <v/>
      </c>
      <c r="U401" s="0" t="str">
        <f aca="false">IF(OR($B401="",$L401="已完成"),"",IF(ISNUMBER($B401),IF(设置!$B$6&lt;$B401,"",(设置!$B$6-$B401)*100000+ROW()),""))</f>
        <v/>
      </c>
      <c r="V401" s="0" t="str">
        <f aca="false">IF(ISNUMBER($O401),IF($O401&gt;=2,IF(COUNTIFS($D401:$D$2006,$D401,$E401:$E$2006,$E401)=1,ROW(),""),""),"")</f>
        <v/>
      </c>
    </row>
    <row r="402" customFormat="false" ht="15" hidden="false" customHeight="true" outlineLevel="0" collapsed="false">
      <c r="A402" s="13" t="str">
        <f aca="false">IF(AND($B402="",$D402="",$E402="",$F402=""),"",IF(OR($B402="",$D402="",$E402=""),"待补",IF($D402="公共区域","公",IF($D402="商铺","S",SUBSTITUTE($D402,"栋","")))&amp;"-"&amp;$E402&amp;"-"&amp;TEXT(MONTH($B402),"00")&amp;TEXT(DAY($B402),"00")&amp;IF(ISNUMBER($O402),IF($O402&gt;1,"-"&amp;TEXT($O402,"00"),""),"")))</f>
        <v/>
      </c>
      <c r="B402" s="14"/>
      <c r="C402" s="10"/>
      <c r="D402" s="10"/>
      <c r="E402" s="10"/>
      <c r="F402" s="16"/>
      <c r="G402" s="10"/>
      <c r="H402" s="10"/>
      <c r="I402" s="10"/>
      <c r="J402" s="10"/>
      <c r="K402" s="10"/>
      <c r="L402" s="10"/>
      <c r="M402" s="14"/>
      <c r="N402" s="17" t="str">
        <f aca="false">IF($B402="","",IF($L402="已完成",IF($M402="","",$M402-$B402),IF(设置!$B$6&lt;$B402,"",IF((设置!$B$6-$B402)&gt;=设置!$B$5,"超期"&amp;(设置!$B$6-$B402)&amp;"天","已等"&amp;(设置!$B$6-$B402)&amp;"天"))))</f>
        <v/>
      </c>
      <c r="O402" s="18" t="str">
        <f aca="false">IF(OR($D402="",$E402=""),"",COUNTIFS($D$7:$D402,$D402,$E$7:$E402,$E402))</f>
        <v/>
      </c>
      <c r="P402" s="16"/>
      <c r="Q402" s="19"/>
      <c r="R402" s="10"/>
      <c r="S402" s="16"/>
      <c r="T402" s="0" t="str">
        <f aca="false">IF(OR($D402="",单元查询!$B$3=""),"",IF($D402&lt;&gt;单元查询!$B$3,"",IF(OR(单元查询!$D$3="",$E402&amp;""=单元查询!$D$3&amp;""),IF(ISNUMBER($B402),$B402*10000,0)+ROW(),"")))</f>
        <v/>
      </c>
      <c r="U402" s="0" t="str">
        <f aca="false">IF(OR($B402="",$L402="已完成"),"",IF(ISNUMBER($B402),IF(设置!$B$6&lt;$B402,"",(设置!$B$6-$B402)*100000+ROW()),""))</f>
        <v/>
      </c>
      <c r="V402" s="0" t="str">
        <f aca="false">IF(ISNUMBER($O402),IF($O402&gt;=2,IF(COUNTIFS($D402:$D$2006,$D402,$E402:$E$2006,$E402)=1,ROW(),""),""),"")</f>
        <v/>
      </c>
    </row>
    <row r="403" customFormat="false" ht="15" hidden="false" customHeight="true" outlineLevel="0" collapsed="false">
      <c r="A403" s="13" t="str">
        <f aca="false">IF(AND($B403="",$D403="",$E403="",$F403=""),"",IF(OR($B403="",$D403="",$E403=""),"待补",IF($D403="公共区域","公",IF($D403="商铺","S",SUBSTITUTE($D403,"栋","")))&amp;"-"&amp;$E403&amp;"-"&amp;TEXT(MONTH($B403),"00")&amp;TEXT(DAY($B403),"00")&amp;IF(ISNUMBER($O403),IF($O403&gt;1,"-"&amp;TEXT($O403,"00"),""),"")))</f>
        <v/>
      </c>
      <c r="B403" s="14"/>
      <c r="C403" s="10"/>
      <c r="D403" s="10"/>
      <c r="E403" s="10"/>
      <c r="F403" s="16"/>
      <c r="G403" s="10"/>
      <c r="H403" s="10"/>
      <c r="I403" s="10"/>
      <c r="J403" s="10"/>
      <c r="K403" s="10"/>
      <c r="L403" s="10"/>
      <c r="M403" s="14"/>
      <c r="N403" s="17" t="str">
        <f aca="false">IF($B403="","",IF($L403="已完成",IF($M403="","",$M403-$B403),IF(设置!$B$6&lt;$B403,"",IF((设置!$B$6-$B403)&gt;=设置!$B$5,"超期"&amp;(设置!$B$6-$B403)&amp;"天","已等"&amp;(设置!$B$6-$B403)&amp;"天"))))</f>
        <v/>
      </c>
      <c r="O403" s="18" t="str">
        <f aca="false">IF(OR($D403="",$E403=""),"",COUNTIFS($D$7:$D403,$D403,$E$7:$E403,$E403))</f>
        <v/>
      </c>
      <c r="P403" s="16"/>
      <c r="Q403" s="19"/>
      <c r="R403" s="10"/>
      <c r="S403" s="16"/>
      <c r="T403" s="0" t="str">
        <f aca="false">IF(OR($D403="",单元查询!$B$3=""),"",IF($D403&lt;&gt;单元查询!$B$3,"",IF(OR(单元查询!$D$3="",$E403&amp;""=单元查询!$D$3&amp;""),IF(ISNUMBER($B403),$B403*10000,0)+ROW(),"")))</f>
        <v/>
      </c>
      <c r="U403" s="0" t="str">
        <f aca="false">IF(OR($B403="",$L403="已完成"),"",IF(ISNUMBER($B403),IF(设置!$B$6&lt;$B403,"",(设置!$B$6-$B403)*100000+ROW()),""))</f>
        <v/>
      </c>
      <c r="V403" s="0" t="str">
        <f aca="false">IF(ISNUMBER($O403),IF($O403&gt;=2,IF(COUNTIFS($D403:$D$2006,$D403,$E403:$E$2006,$E403)=1,ROW(),""),""),"")</f>
        <v/>
      </c>
    </row>
    <row r="404" customFormat="false" ht="15" hidden="false" customHeight="true" outlineLevel="0" collapsed="false">
      <c r="A404" s="13" t="str">
        <f aca="false">IF(AND($B404="",$D404="",$E404="",$F404=""),"",IF(OR($B404="",$D404="",$E404=""),"待补",IF($D404="公共区域","公",IF($D404="商铺","S",SUBSTITUTE($D404,"栋","")))&amp;"-"&amp;$E404&amp;"-"&amp;TEXT(MONTH($B404),"00")&amp;TEXT(DAY($B404),"00")&amp;IF(ISNUMBER($O404),IF($O404&gt;1,"-"&amp;TEXT($O404,"00"),""),"")))</f>
        <v/>
      </c>
      <c r="B404" s="14"/>
      <c r="C404" s="10"/>
      <c r="D404" s="10"/>
      <c r="E404" s="10"/>
      <c r="F404" s="16"/>
      <c r="G404" s="10"/>
      <c r="H404" s="10"/>
      <c r="I404" s="10"/>
      <c r="J404" s="10"/>
      <c r="K404" s="10"/>
      <c r="L404" s="10"/>
      <c r="M404" s="14"/>
      <c r="N404" s="17" t="str">
        <f aca="false">IF($B404="","",IF($L404="已完成",IF($M404="","",$M404-$B404),IF(设置!$B$6&lt;$B404,"",IF((设置!$B$6-$B404)&gt;=设置!$B$5,"超期"&amp;(设置!$B$6-$B404)&amp;"天","已等"&amp;(设置!$B$6-$B404)&amp;"天"))))</f>
        <v/>
      </c>
      <c r="O404" s="18" t="str">
        <f aca="false">IF(OR($D404="",$E404=""),"",COUNTIFS($D$7:$D404,$D404,$E$7:$E404,$E404))</f>
        <v/>
      </c>
      <c r="P404" s="16"/>
      <c r="Q404" s="19"/>
      <c r="R404" s="10"/>
      <c r="S404" s="16"/>
      <c r="T404" s="0" t="str">
        <f aca="false">IF(OR($D404="",单元查询!$B$3=""),"",IF($D404&lt;&gt;单元查询!$B$3,"",IF(OR(单元查询!$D$3="",$E404&amp;""=单元查询!$D$3&amp;""),IF(ISNUMBER($B404),$B404*10000,0)+ROW(),"")))</f>
        <v/>
      </c>
      <c r="U404" s="0" t="str">
        <f aca="false">IF(OR($B404="",$L404="已完成"),"",IF(ISNUMBER($B404),IF(设置!$B$6&lt;$B404,"",(设置!$B$6-$B404)*100000+ROW()),""))</f>
        <v/>
      </c>
      <c r="V404" s="0" t="str">
        <f aca="false">IF(ISNUMBER($O404),IF($O404&gt;=2,IF(COUNTIFS($D404:$D$2006,$D404,$E404:$E$2006,$E404)=1,ROW(),""),""),"")</f>
        <v/>
      </c>
    </row>
    <row r="405" customFormat="false" ht="15" hidden="false" customHeight="true" outlineLevel="0" collapsed="false">
      <c r="A405" s="13" t="str">
        <f aca="false">IF(AND($B405="",$D405="",$E405="",$F405=""),"",IF(OR($B405="",$D405="",$E405=""),"待补",IF($D405="公共区域","公",IF($D405="商铺","S",SUBSTITUTE($D405,"栋","")))&amp;"-"&amp;$E405&amp;"-"&amp;TEXT(MONTH($B405),"00")&amp;TEXT(DAY($B405),"00")&amp;IF(ISNUMBER($O405),IF($O405&gt;1,"-"&amp;TEXT($O405,"00"),""),"")))</f>
        <v/>
      </c>
      <c r="B405" s="14"/>
      <c r="C405" s="10"/>
      <c r="D405" s="10"/>
      <c r="E405" s="10"/>
      <c r="F405" s="16"/>
      <c r="G405" s="10"/>
      <c r="H405" s="10"/>
      <c r="I405" s="10"/>
      <c r="J405" s="10"/>
      <c r="K405" s="10"/>
      <c r="L405" s="10"/>
      <c r="M405" s="14"/>
      <c r="N405" s="17" t="str">
        <f aca="false">IF($B405="","",IF($L405="已完成",IF($M405="","",$M405-$B405),IF(设置!$B$6&lt;$B405,"",IF((设置!$B$6-$B405)&gt;=设置!$B$5,"超期"&amp;(设置!$B$6-$B405)&amp;"天","已等"&amp;(设置!$B$6-$B405)&amp;"天"))))</f>
        <v/>
      </c>
      <c r="O405" s="18" t="str">
        <f aca="false">IF(OR($D405="",$E405=""),"",COUNTIFS($D$7:$D405,$D405,$E$7:$E405,$E405))</f>
        <v/>
      </c>
      <c r="P405" s="16"/>
      <c r="Q405" s="19"/>
      <c r="R405" s="10"/>
      <c r="S405" s="16"/>
      <c r="T405" s="0" t="str">
        <f aca="false">IF(OR($D405="",单元查询!$B$3=""),"",IF($D405&lt;&gt;单元查询!$B$3,"",IF(OR(单元查询!$D$3="",$E405&amp;""=单元查询!$D$3&amp;""),IF(ISNUMBER($B405),$B405*10000,0)+ROW(),"")))</f>
        <v/>
      </c>
      <c r="U405" s="0" t="str">
        <f aca="false">IF(OR($B405="",$L405="已完成"),"",IF(ISNUMBER($B405),IF(设置!$B$6&lt;$B405,"",(设置!$B$6-$B405)*100000+ROW()),""))</f>
        <v/>
      </c>
      <c r="V405" s="0" t="str">
        <f aca="false">IF(ISNUMBER($O405),IF($O405&gt;=2,IF(COUNTIFS($D405:$D$2006,$D405,$E405:$E$2006,$E405)=1,ROW(),""),""),"")</f>
        <v/>
      </c>
    </row>
    <row r="406" customFormat="false" ht="15" hidden="false" customHeight="true" outlineLevel="0" collapsed="false">
      <c r="A406" s="13" t="str">
        <f aca="false">IF(AND($B406="",$D406="",$E406="",$F406=""),"",IF(OR($B406="",$D406="",$E406=""),"待补",IF($D406="公共区域","公",IF($D406="商铺","S",SUBSTITUTE($D406,"栋","")))&amp;"-"&amp;$E406&amp;"-"&amp;TEXT(MONTH($B406),"00")&amp;TEXT(DAY($B406),"00")&amp;IF(ISNUMBER($O406),IF($O406&gt;1,"-"&amp;TEXT($O406,"00"),""),"")))</f>
        <v/>
      </c>
      <c r="B406" s="14"/>
      <c r="C406" s="10"/>
      <c r="D406" s="10"/>
      <c r="E406" s="10"/>
      <c r="F406" s="16"/>
      <c r="G406" s="10"/>
      <c r="H406" s="10"/>
      <c r="I406" s="10"/>
      <c r="J406" s="10"/>
      <c r="K406" s="10"/>
      <c r="L406" s="10"/>
      <c r="M406" s="14"/>
      <c r="N406" s="17" t="str">
        <f aca="false">IF($B406="","",IF($L406="已完成",IF($M406="","",$M406-$B406),IF(设置!$B$6&lt;$B406,"",IF((设置!$B$6-$B406)&gt;=设置!$B$5,"超期"&amp;(设置!$B$6-$B406)&amp;"天","已等"&amp;(设置!$B$6-$B406)&amp;"天"))))</f>
        <v/>
      </c>
      <c r="O406" s="18" t="str">
        <f aca="false">IF(OR($D406="",$E406=""),"",COUNTIFS($D$7:$D406,$D406,$E$7:$E406,$E406))</f>
        <v/>
      </c>
      <c r="P406" s="16"/>
      <c r="Q406" s="19"/>
      <c r="R406" s="10"/>
      <c r="S406" s="16"/>
      <c r="T406" s="0" t="str">
        <f aca="false">IF(OR($D406="",单元查询!$B$3=""),"",IF($D406&lt;&gt;单元查询!$B$3,"",IF(OR(单元查询!$D$3="",$E406&amp;""=单元查询!$D$3&amp;""),IF(ISNUMBER($B406),$B406*10000,0)+ROW(),"")))</f>
        <v/>
      </c>
      <c r="U406" s="0" t="str">
        <f aca="false">IF(OR($B406="",$L406="已完成"),"",IF(ISNUMBER($B406),IF(设置!$B$6&lt;$B406,"",(设置!$B$6-$B406)*100000+ROW()),""))</f>
        <v/>
      </c>
      <c r="V406" s="0" t="str">
        <f aca="false">IF(ISNUMBER($O406),IF($O406&gt;=2,IF(COUNTIFS($D406:$D$2006,$D406,$E406:$E$2006,$E406)=1,ROW(),""),""),"")</f>
        <v/>
      </c>
    </row>
    <row r="407" customFormat="false" ht="15" hidden="false" customHeight="true" outlineLevel="0" collapsed="false">
      <c r="A407" s="13" t="str">
        <f aca="false">IF(AND($B407="",$D407="",$E407="",$F407=""),"",IF(OR($B407="",$D407="",$E407=""),"待补",IF($D407="公共区域","公",IF($D407="商铺","S",SUBSTITUTE($D407,"栋","")))&amp;"-"&amp;$E407&amp;"-"&amp;TEXT(MONTH($B407),"00")&amp;TEXT(DAY($B407),"00")&amp;IF(ISNUMBER($O407),IF($O407&gt;1,"-"&amp;TEXT($O407,"00"),""),"")))</f>
        <v/>
      </c>
      <c r="B407" s="14"/>
      <c r="C407" s="10"/>
      <c r="D407" s="10"/>
      <c r="E407" s="10"/>
      <c r="F407" s="16"/>
      <c r="G407" s="10"/>
      <c r="H407" s="10"/>
      <c r="I407" s="10"/>
      <c r="J407" s="10"/>
      <c r="K407" s="10"/>
      <c r="L407" s="10"/>
      <c r="M407" s="14"/>
      <c r="N407" s="17" t="str">
        <f aca="false">IF($B407="","",IF($L407="已完成",IF($M407="","",$M407-$B407),IF(设置!$B$6&lt;$B407,"",IF((设置!$B$6-$B407)&gt;=设置!$B$5,"超期"&amp;(设置!$B$6-$B407)&amp;"天","已等"&amp;(设置!$B$6-$B407)&amp;"天"))))</f>
        <v/>
      </c>
      <c r="O407" s="18" t="str">
        <f aca="false">IF(OR($D407="",$E407=""),"",COUNTIFS($D$7:$D407,$D407,$E$7:$E407,$E407))</f>
        <v/>
      </c>
      <c r="P407" s="16"/>
      <c r="Q407" s="19"/>
      <c r="R407" s="10"/>
      <c r="S407" s="16"/>
      <c r="T407" s="0" t="str">
        <f aca="false">IF(OR($D407="",单元查询!$B$3=""),"",IF($D407&lt;&gt;单元查询!$B$3,"",IF(OR(单元查询!$D$3="",$E407&amp;""=单元查询!$D$3&amp;""),IF(ISNUMBER($B407),$B407*10000,0)+ROW(),"")))</f>
        <v/>
      </c>
      <c r="U407" s="0" t="str">
        <f aca="false">IF(OR($B407="",$L407="已完成"),"",IF(ISNUMBER($B407),IF(设置!$B$6&lt;$B407,"",(设置!$B$6-$B407)*100000+ROW()),""))</f>
        <v/>
      </c>
      <c r="V407" s="0" t="str">
        <f aca="false">IF(ISNUMBER($O407),IF($O407&gt;=2,IF(COUNTIFS($D407:$D$2006,$D407,$E407:$E$2006,$E407)=1,ROW(),""),""),"")</f>
        <v/>
      </c>
    </row>
    <row r="408" customFormat="false" ht="15" hidden="false" customHeight="true" outlineLevel="0" collapsed="false">
      <c r="A408" s="13" t="str">
        <f aca="false">IF(AND($B408="",$D408="",$E408="",$F408=""),"",IF(OR($B408="",$D408="",$E408=""),"待补",IF($D408="公共区域","公",IF($D408="商铺","S",SUBSTITUTE($D408,"栋","")))&amp;"-"&amp;$E408&amp;"-"&amp;TEXT(MONTH($B408),"00")&amp;TEXT(DAY($B408),"00")&amp;IF(ISNUMBER($O408),IF($O408&gt;1,"-"&amp;TEXT($O408,"00"),""),"")))</f>
        <v/>
      </c>
      <c r="B408" s="14"/>
      <c r="C408" s="10"/>
      <c r="D408" s="10"/>
      <c r="E408" s="10"/>
      <c r="F408" s="16"/>
      <c r="G408" s="10"/>
      <c r="H408" s="10"/>
      <c r="I408" s="10"/>
      <c r="J408" s="10"/>
      <c r="K408" s="10"/>
      <c r="L408" s="10"/>
      <c r="M408" s="14"/>
      <c r="N408" s="17" t="str">
        <f aca="false">IF($B408="","",IF($L408="已完成",IF($M408="","",$M408-$B408),IF(设置!$B$6&lt;$B408,"",IF((设置!$B$6-$B408)&gt;=设置!$B$5,"超期"&amp;(设置!$B$6-$B408)&amp;"天","已等"&amp;(设置!$B$6-$B408)&amp;"天"))))</f>
        <v/>
      </c>
      <c r="O408" s="18" t="str">
        <f aca="false">IF(OR($D408="",$E408=""),"",COUNTIFS($D$7:$D408,$D408,$E$7:$E408,$E408))</f>
        <v/>
      </c>
      <c r="P408" s="16"/>
      <c r="Q408" s="19"/>
      <c r="R408" s="10"/>
      <c r="S408" s="16"/>
      <c r="T408" s="0" t="str">
        <f aca="false">IF(OR($D408="",单元查询!$B$3=""),"",IF($D408&lt;&gt;单元查询!$B$3,"",IF(OR(单元查询!$D$3="",$E408&amp;""=单元查询!$D$3&amp;""),IF(ISNUMBER($B408),$B408*10000,0)+ROW(),"")))</f>
        <v/>
      </c>
      <c r="U408" s="0" t="str">
        <f aca="false">IF(OR($B408="",$L408="已完成"),"",IF(ISNUMBER($B408),IF(设置!$B$6&lt;$B408,"",(设置!$B$6-$B408)*100000+ROW()),""))</f>
        <v/>
      </c>
      <c r="V408" s="0" t="str">
        <f aca="false">IF(ISNUMBER($O408),IF($O408&gt;=2,IF(COUNTIFS($D408:$D$2006,$D408,$E408:$E$2006,$E408)=1,ROW(),""),""),"")</f>
        <v/>
      </c>
    </row>
    <row r="409" customFormat="false" ht="15" hidden="false" customHeight="true" outlineLevel="0" collapsed="false">
      <c r="A409" s="13" t="str">
        <f aca="false">IF(AND($B409="",$D409="",$E409="",$F409=""),"",IF(OR($B409="",$D409="",$E409=""),"待补",IF($D409="公共区域","公",IF($D409="商铺","S",SUBSTITUTE($D409,"栋","")))&amp;"-"&amp;$E409&amp;"-"&amp;TEXT(MONTH($B409),"00")&amp;TEXT(DAY($B409),"00")&amp;IF(ISNUMBER($O409),IF($O409&gt;1,"-"&amp;TEXT($O409,"00"),""),"")))</f>
        <v/>
      </c>
      <c r="B409" s="14"/>
      <c r="C409" s="10"/>
      <c r="D409" s="10"/>
      <c r="E409" s="10"/>
      <c r="F409" s="16"/>
      <c r="G409" s="10"/>
      <c r="H409" s="10"/>
      <c r="I409" s="10"/>
      <c r="J409" s="10"/>
      <c r="K409" s="10"/>
      <c r="L409" s="10"/>
      <c r="M409" s="14"/>
      <c r="N409" s="17" t="str">
        <f aca="false">IF($B409="","",IF($L409="已完成",IF($M409="","",$M409-$B409),IF(设置!$B$6&lt;$B409,"",IF((设置!$B$6-$B409)&gt;=设置!$B$5,"超期"&amp;(设置!$B$6-$B409)&amp;"天","已等"&amp;(设置!$B$6-$B409)&amp;"天"))))</f>
        <v/>
      </c>
      <c r="O409" s="18" t="str">
        <f aca="false">IF(OR($D409="",$E409=""),"",COUNTIFS($D$7:$D409,$D409,$E$7:$E409,$E409))</f>
        <v/>
      </c>
      <c r="P409" s="16"/>
      <c r="Q409" s="19"/>
      <c r="R409" s="10"/>
      <c r="S409" s="16"/>
      <c r="T409" s="0" t="str">
        <f aca="false">IF(OR($D409="",单元查询!$B$3=""),"",IF($D409&lt;&gt;单元查询!$B$3,"",IF(OR(单元查询!$D$3="",$E409&amp;""=单元查询!$D$3&amp;""),IF(ISNUMBER($B409),$B409*10000,0)+ROW(),"")))</f>
        <v/>
      </c>
      <c r="U409" s="0" t="str">
        <f aca="false">IF(OR($B409="",$L409="已完成"),"",IF(ISNUMBER($B409),IF(设置!$B$6&lt;$B409,"",(设置!$B$6-$B409)*100000+ROW()),""))</f>
        <v/>
      </c>
      <c r="V409" s="0" t="str">
        <f aca="false">IF(ISNUMBER($O409),IF($O409&gt;=2,IF(COUNTIFS($D409:$D$2006,$D409,$E409:$E$2006,$E409)=1,ROW(),""),""),"")</f>
        <v/>
      </c>
    </row>
    <row r="410" customFormat="false" ht="15" hidden="false" customHeight="true" outlineLevel="0" collapsed="false">
      <c r="A410" s="13" t="str">
        <f aca="false">IF(AND($B410="",$D410="",$E410="",$F410=""),"",IF(OR($B410="",$D410="",$E410=""),"待补",IF($D410="公共区域","公",IF($D410="商铺","S",SUBSTITUTE($D410,"栋","")))&amp;"-"&amp;$E410&amp;"-"&amp;TEXT(MONTH($B410),"00")&amp;TEXT(DAY($B410),"00")&amp;IF(ISNUMBER($O410),IF($O410&gt;1,"-"&amp;TEXT($O410,"00"),""),"")))</f>
        <v/>
      </c>
      <c r="B410" s="14"/>
      <c r="C410" s="10"/>
      <c r="D410" s="10"/>
      <c r="E410" s="10"/>
      <c r="F410" s="16"/>
      <c r="G410" s="10"/>
      <c r="H410" s="10"/>
      <c r="I410" s="10"/>
      <c r="J410" s="10"/>
      <c r="K410" s="10"/>
      <c r="L410" s="10"/>
      <c r="M410" s="14"/>
      <c r="N410" s="17" t="str">
        <f aca="false">IF($B410="","",IF($L410="已完成",IF($M410="","",$M410-$B410),IF(设置!$B$6&lt;$B410,"",IF((设置!$B$6-$B410)&gt;=设置!$B$5,"超期"&amp;(设置!$B$6-$B410)&amp;"天","已等"&amp;(设置!$B$6-$B410)&amp;"天"))))</f>
        <v/>
      </c>
      <c r="O410" s="18" t="str">
        <f aca="false">IF(OR($D410="",$E410=""),"",COUNTIFS($D$7:$D410,$D410,$E$7:$E410,$E410))</f>
        <v/>
      </c>
      <c r="P410" s="16"/>
      <c r="Q410" s="19"/>
      <c r="R410" s="10"/>
      <c r="S410" s="16"/>
      <c r="T410" s="0" t="str">
        <f aca="false">IF(OR($D410="",单元查询!$B$3=""),"",IF($D410&lt;&gt;单元查询!$B$3,"",IF(OR(单元查询!$D$3="",$E410&amp;""=单元查询!$D$3&amp;""),IF(ISNUMBER($B410),$B410*10000,0)+ROW(),"")))</f>
        <v/>
      </c>
      <c r="U410" s="0" t="str">
        <f aca="false">IF(OR($B410="",$L410="已完成"),"",IF(ISNUMBER($B410),IF(设置!$B$6&lt;$B410,"",(设置!$B$6-$B410)*100000+ROW()),""))</f>
        <v/>
      </c>
      <c r="V410" s="0" t="str">
        <f aca="false">IF(ISNUMBER($O410),IF($O410&gt;=2,IF(COUNTIFS($D410:$D$2006,$D410,$E410:$E$2006,$E410)=1,ROW(),""),""),"")</f>
        <v/>
      </c>
    </row>
    <row r="411" customFormat="false" ht="15" hidden="false" customHeight="true" outlineLevel="0" collapsed="false">
      <c r="A411" s="13" t="str">
        <f aca="false">IF(AND($B411="",$D411="",$E411="",$F411=""),"",IF(OR($B411="",$D411="",$E411=""),"待补",IF($D411="公共区域","公",IF($D411="商铺","S",SUBSTITUTE($D411,"栋","")))&amp;"-"&amp;$E411&amp;"-"&amp;TEXT(MONTH($B411),"00")&amp;TEXT(DAY($B411),"00")&amp;IF(ISNUMBER($O411),IF($O411&gt;1,"-"&amp;TEXT($O411,"00"),""),"")))</f>
        <v/>
      </c>
      <c r="B411" s="14"/>
      <c r="C411" s="10"/>
      <c r="D411" s="10"/>
      <c r="E411" s="10"/>
      <c r="F411" s="16"/>
      <c r="G411" s="10"/>
      <c r="H411" s="10"/>
      <c r="I411" s="10"/>
      <c r="J411" s="10"/>
      <c r="K411" s="10"/>
      <c r="L411" s="10"/>
      <c r="M411" s="14"/>
      <c r="N411" s="17" t="str">
        <f aca="false">IF($B411="","",IF($L411="已完成",IF($M411="","",$M411-$B411),IF(设置!$B$6&lt;$B411,"",IF((设置!$B$6-$B411)&gt;=设置!$B$5,"超期"&amp;(设置!$B$6-$B411)&amp;"天","已等"&amp;(设置!$B$6-$B411)&amp;"天"))))</f>
        <v/>
      </c>
      <c r="O411" s="18" t="str">
        <f aca="false">IF(OR($D411="",$E411=""),"",COUNTIFS($D$7:$D411,$D411,$E$7:$E411,$E411))</f>
        <v/>
      </c>
      <c r="P411" s="16"/>
      <c r="Q411" s="19"/>
      <c r="R411" s="10"/>
      <c r="S411" s="16"/>
      <c r="T411" s="0" t="str">
        <f aca="false">IF(OR($D411="",单元查询!$B$3=""),"",IF($D411&lt;&gt;单元查询!$B$3,"",IF(OR(单元查询!$D$3="",$E411&amp;""=单元查询!$D$3&amp;""),IF(ISNUMBER($B411),$B411*10000,0)+ROW(),"")))</f>
        <v/>
      </c>
      <c r="U411" s="0" t="str">
        <f aca="false">IF(OR($B411="",$L411="已完成"),"",IF(ISNUMBER($B411),IF(设置!$B$6&lt;$B411,"",(设置!$B$6-$B411)*100000+ROW()),""))</f>
        <v/>
      </c>
      <c r="V411" s="0" t="str">
        <f aca="false">IF(ISNUMBER($O411),IF($O411&gt;=2,IF(COUNTIFS($D411:$D$2006,$D411,$E411:$E$2006,$E411)=1,ROW(),""),""),"")</f>
        <v/>
      </c>
    </row>
    <row r="412" customFormat="false" ht="15" hidden="false" customHeight="true" outlineLevel="0" collapsed="false">
      <c r="A412" s="13" t="str">
        <f aca="false">IF(AND($B412="",$D412="",$E412="",$F412=""),"",IF(OR($B412="",$D412="",$E412=""),"待补",IF($D412="公共区域","公",IF($D412="商铺","S",SUBSTITUTE($D412,"栋","")))&amp;"-"&amp;$E412&amp;"-"&amp;TEXT(MONTH($B412),"00")&amp;TEXT(DAY($B412),"00")&amp;IF(ISNUMBER($O412),IF($O412&gt;1,"-"&amp;TEXT($O412,"00"),""),"")))</f>
        <v/>
      </c>
      <c r="B412" s="14"/>
      <c r="C412" s="10"/>
      <c r="D412" s="10"/>
      <c r="E412" s="10"/>
      <c r="F412" s="16"/>
      <c r="G412" s="10"/>
      <c r="H412" s="10"/>
      <c r="I412" s="10"/>
      <c r="J412" s="10"/>
      <c r="K412" s="10"/>
      <c r="L412" s="10"/>
      <c r="M412" s="14"/>
      <c r="N412" s="17" t="str">
        <f aca="false">IF($B412="","",IF($L412="已完成",IF($M412="","",$M412-$B412),IF(设置!$B$6&lt;$B412,"",IF((设置!$B$6-$B412)&gt;=设置!$B$5,"超期"&amp;(设置!$B$6-$B412)&amp;"天","已等"&amp;(设置!$B$6-$B412)&amp;"天"))))</f>
        <v/>
      </c>
      <c r="O412" s="18" t="str">
        <f aca="false">IF(OR($D412="",$E412=""),"",COUNTIFS($D$7:$D412,$D412,$E$7:$E412,$E412))</f>
        <v/>
      </c>
      <c r="P412" s="16"/>
      <c r="Q412" s="19"/>
      <c r="R412" s="10"/>
      <c r="S412" s="16"/>
      <c r="T412" s="0" t="str">
        <f aca="false">IF(OR($D412="",单元查询!$B$3=""),"",IF($D412&lt;&gt;单元查询!$B$3,"",IF(OR(单元查询!$D$3="",$E412&amp;""=单元查询!$D$3&amp;""),IF(ISNUMBER($B412),$B412*10000,0)+ROW(),"")))</f>
        <v/>
      </c>
      <c r="U412" s="0" t="str">
        <f aca="false">IF(OR($B412="",$L412="已完成"),"",IF(ISNUMBER($B412),IF(设置!$B$6&lt;$B412,"",(设置!$B$6-$B412)*100000+ROW()),""))</f>
        <v/>
      </c>
      <c r="V412" s="0" t="str">
        <f aca="false">IF(ISNUMBER($O412),IF($O412&gt;=2,IF(COUNTIFS($D412:$D$2006,$D412,$E412:$E$2006,$E412)=1,ROW(),""),""),"")</f>
        <v/>
      </c>
    </row>
    <row r="413" customFormat="false" ht="15" hidden="false" customHeight="true" outlineLevel="0" collapsed="false">
      <c r="A413" s="13" t="str">
        <f aca="false">IF(AND($B413="",$D413="",$E413="",$F413=""),"",IF(OR($B413="",$D413="",$E413=""),"待补",IF($D413="公共区域","公",IF($D413="商铺","S",SUBSTITUTE($D413,"栋","")))&amp;"-"&amp;$E413&amp;"-"&amp;TEXT(MONTH($B413),"00")&amp;TEXT(DAY($B413),"00")&amp;IF(ISNUMBER($O413),IF($O413&gt;1,"-"&amp;TEXT($O413,"00"),""),"")))</f>
        <v/>
      </c>
      <c r="B413" s="14"/>
      <c r="C413" s="10"/>
      <c r="D413" s="10"/>
      <c r="E413" s="10"/>
      <c r="F413" s="16"/>
      <c r="G413" s="10"/>
      <c r="H413" s="10"/>
      <c r="I413" s="10"/>
      <c r="J413" s="10"/>
      <c r="K413" s="10"/>
      <c r="L413" s="10"/>
      <c r="M413" s="14"/>
      <c r="N413" s="17" t="str">
        <f aca="false">IF($B413="","",IF($L413="已完成",IF($M413="","",$M413-$B413),IF(设置!$B$6&lt;$B413,"",IF((设置!$B$6-$B413)&gt;=设置!$B$5,"超期"&amp;(设置!$B$6-$B413)&amp;"天","已等"&amp;(设置!$B$6-$B413)&amp;"天"))))</f>
        <v/>
      </c>
      <c r="O413" s="18" t="str">
        <f aca="false">IF(OR($D413="",$E413=""),"",COUNTIFS($D$7:$D413,$D413,$E$7:$E413,$E413))</f>
        <v/>
      </c>
      <c r="P413" s="16"/>
      <c r="Q413" s="19"/>
      <c r="R413" s="10"/>
      <c r="S413" s="16"/>
      <c r="T413" s="0" t="str">
        <f aca="false">IF(OR($D413="",单元查询!$B$3=""),"",IF($D413&lt;&gt;单元查询!$B$3,"",IF(OR(单元查询!$D$3="",$E413&amp;""=单元查询!$D$3&amp;""),IF(ISNUMBER($B413),$B413*10000,0)+ROW(),"")))</f>
        <v/>
      </c>
      <c r="U413" s="0" t="str">
        <f aca="false">IF(OR($B413="",$L413="已完成"),"",IF(ISNUMBER($B413),IF(设置!$B$6&lt;$B413,"",(设置!$B$6-$B413)*100000+ROW()),""))</f>
        <v/>
      </c>
      <c r="V413" s="0" t="str">
        <f aca="false">IF(ISNUMBER($O413),IF($O413&gt;=2,IF(COUNTIFS($D413:$D$2006,$D413,$E413:$E$2006,$E413)=1,ROW(),""),""),"")</f>
        <v/>
      </c>
    </row>
    <row r="414" customFormat="false" ht="15" hidden="false" customHeight="true" outlineLevel="0" collapsed="false">
      <c r="A414" s="13" t="str">
        <f aca="false">IF(AND($B414="",$D414="",$E414="",$F414=""),"",IF(OR($B414="",$D414="",$E414=""),"待补",IF($D414="公共区域","公",IF($D414="商铺","S",SUBSTITUTE($D414,"栋","")))&amp;"-"&amp;$E414&amp;"-"&amp;TEXT(MONTH($B414),"00")&amp;TEXT(DAY($B414),"00")&amp;IF(ISNUMBER($O414),IF($O414&gt;1,"-"&amp;TEXT($O414,"00"),""),"")))</f>
        <v/>
      </c>
      <c r="B414" s="14"/>
      <c r="C414" s="10"/>
      <c r="D414" s="10"/>
      <c r="E414" s="10"/>
      <c r="F414" s="16"/>
      <c r="G414" s="10"/>
      <c r="H414" s="10"/>
      <c r="I414" s="10"/>
      <c r="J414" s="10"/>
      <c r="K414" s="10"/>
      <c r="L414" s="10"/>
      <c r="M414" s="14"/>
      <c r="N414" s="17" t="str">
        <f aca="false">IF($B414="","",IF($L414="已完成",IF($M414="","",$M414-$B414),IF(设置!$B$6&lt;$B414,"",IF((设置!$B$6-$B414)&gt;=设置!$B$5,"超期"&amp;(设置!$B$6-$B414)&amp;"天","已等"&amp;(设置!$B$6-$B414)&amp;"天"))))</f>
        <v/>
      </c>
      <c r="O414" s="18" t="str">
        <f aca="false">IF(OR($D414="",$E414=""),"",COUNTIFS($D$7:$D414,$D414,$E$7:$E414,$E414))</f>
        <v/>
      </c>
      <c r="P414" s="16"/>
      <c r="Q414" s="19"/>
      <c r="R414" s="10"/>
      <c r="S414" s="16"/>
      <c r="T414" s="0" t="str">
        <f aca="false">IF(OR($D414="",单元查询!$B$3=""),"",IF($D414&lt;&gt;单元查询!$B$3,"",IF(OR(单元查询!$D$3="",$E414&amp;""=单元查询!$D$3&amp;""),IF(ISNUMBER($B414),$B414*10000,0)+ROW(),"")))</f>
        <v/>
      </c>
      <c r="U414" s="0" t="str">
        <f aca="false">IF(OR($B414="",$L414="已完成"),"",IF(ISNUMBER($B414),IF(设置!$B$6&lt;$B414,"",(设置!$B$6-$B414)*100000+ROW()),""))</f>
        <v/>
      </c>
      <c r="V414" s="0" t="str">
        <f aca="false">IF(ISNUMBER($O414),IF($O414&gt;=2,IF(COUNTIFS($D414:$D$2006,$D414,$E414:$E$2006,$E414)=1,ROW(),""),""),"")</f>
        <v/>
      </c>
    </row>
    <row r="415" customFormat="false" ht="15" hidden="false" customHeight="true" outlineLevel="0" collapsed="false">
      <c r="A415" s="13" t="str">
        <f aca="false">IF(AND($B415="",$D415="",$E415="",$F415=""),"",IF(OR($B415="",$D415="",$E415=""),"待补",IF($D415="公共区域","公",IF($D415="商铺","S",SUBSTITUTE($D415,"栋","")))&amp;"-"&amp;$E415&amp;"-"&amp;TEXT(MONTH($B415),"00")&amp;TEXT(DAY($B415),"00")&amp;IF(ISNUMBER($O415),IF($O415&gt;1,"-"&amp;TEXT($O415,"00"),""),"")))</f>
        <v/>
      </c>
      <c r="B415" s="14"/>
      <c r="C415" s="10"/>
      <c r="D415" s="10"/>
      <c r="E415" s="10"/>
      <c r="F415" s="16"/>
      <c r="G415" s="10"/>
      <c r="H415" s="10"/>
      <c r="I415" s="10"/>
      <c r="J415" s="10"/>
      <c r="K415" s="10"/>
      <c r="L415" s="10"/>
      <c r="M415" s="14"/>
      <c r="N415" s="17" t="str">
        <f aca="false">IF($B415="","",IF($L415="已完成",IF($M415="","",$M415-$B415),IF(设置!$B$6&lt;$B415,"",IF((设置!$B$6-$B415)&gt;=设置!$B$5,"超期"&amp;(设置!$B$6-$B415)&amp;"天","已等"&amp;(设置!$B$6-$B415)&amp;"天"))))</f>
        <v/>
      </c>
      <c r="O415" s="18" t="str">
        <f aca="false">IF(OR($D415="",$E415=""),"",COUNTIFS($D$7:$D415,$D415,$E$7:$E415,$E415))</f>
        <v/>
      </c>
      <c r="P415" s="16"/>
      <c r="Q415" s="19"/>
      <c r="R415" s="10"/>
      <c r="S415" s="16"/>
      <c r="T415" s="0" t="str">
        <f aca="false">IF(OR($D415="",单元查询!$B$3=""),"",IF($D415&lt;&gt;单元查询!$B$3,"",IF(OR(单元查询!$D$3="",$E415&amp;""=单元查询!$D$3&amp;""),IF(ISNUMBER($B415),$B415*10000,0)+ROW(),"")))</f>
        <v/>
      </c>
      <c r="U415" s="0" t="str">
        <f aca="false">IF(OR($B415="",$L415="已完成"),"",IF(ISNUMBER($B415),IF(设置!$B$6&lt;$B415,"",(设置!$B$6-$B415)*100000+ROW()),""))</f>
        <v/>
      </c>
      <c r="V415" s="0" t="str">
        <f aca="false">IF(ISNUMBER($O415),IF($O415&gt;=2,IF(COUNTIFS($D415:$D$2006,$D415,$E415:$E$2006,$E415)=1,ROW(),""),""),"")</f>
        <v/>
      </c>
    </row>
    <row r="416" customFormat="false" ht="15" hidden="false" customHeight="true" outlineLevel="0" collapsed="false">
      <c r="A416" s="13" t="str">
        <f aca="false">IF(AND($B416="",$D416="",$E416="",$F416=""),"",IF(OR($B416="",$D416="",$E416=""),"待补",IF($D416="公共区域","公",IF($D416="商铺","S",SUBSTITUTE($D416,"栋","")))&amp;"-"&amp;$E416&amp;"-"&amp;TEXT(MONTH($B416),"00")&amp;TEXT(DAY($B416),"00")&amp;IF(ISNUMBER($O416),IF($O416&gt;1,"-"&amp;TEXT($O416,"00"),""),"")))</f>
        <v/>
      </c>
      <c r="B416" s="14"/>
      <c r="C416" s="10"/>
      <c r="D416" s="10"/>
      <c r="E416" s="10"/>
      <c r="F416" s="16"/>
      <c r="G416" s="10"/>
      <c r="H416" s="10"/>
      <c r="I416" s="10"/>
      <c r="J416" s="10"/>
      <c r="K416" s="10"/>
      <c r="L416" s="10"/>
      <c r="M416" s="14"/>
      <c r="N416" s="17" t="str">
        <f aca="false">IF($B416="","",IF($L416="已完成",IF($M416="","",$M416-$B416),IF(设置!$B$6&lt;$B416,"",IF((设置!$B$6-$B416)&gt;=设置!$B$5,"超期"&amp;(设置!$B$6-$B416)&amp;"天","已等"&amp;(设置!$B$6-$B416)&amp;"天"))))</f>
        <v/>
      </c>
      <c r="O416" s="18" t="str">
        <f aca="false">IF(OR($D416="",$E416=""),"",COUNTIFS($D$7:$D416,$D416,$E$7:$E416,$E416))</f>
        <v/>
      </c>
      <c r="P416" s="16"/>
      <c r="Q416" s="19"/>
      <c r="R416" s="10"/>
      <c r="S416" s="16"/>
      <c r="T416" s="0" t="str">
        <f aca="false">IF(OR($D416="",单元查询!$B$3=""),"",IF($D416&lt;&gt;单元查询!$B$3,"",IF(OR(单元查询!$D$3="",$E416&amp;""=单元查询!$D$3&amp;""),IF(ISNUMBER($B416),$B416*10000,0)+ROW(),"")))</f>
        <v/>
      </c>
      <c r="U416" s="0" t="str">
        <f aca="false">IF(OR($B416="",$L416="已完成"),"",IF(ISNUMBER($B416),IF(设置!$B$6&lt;$B416,"",(设置!$B$6-$B416)*100000+ROW()),""))</f>
        <v/>
      </c>
      <c r="V416" s="0" t="str">
        <f aca="false">IF(ISNUMBER($O416),IF($O416&gt;=2,IF(COUNTIFS($D416:$D$2006,$D416,$E416:$E$2006,$E416)=1,ROW(),""),""),"")</f>
        <v/>
      </c>
    </row>
    <row r="417" customFormat="false" ht="15" hidden="false" customHeight="true" outlineLevel="0" collapsed="false">
      <c r="A417" s="13" t="str">
        <f aca="false">IF(AND($B417="",$D417="",$E417="",$F417=""),"",IF(OR($B417="",$D417="",$E417=""),"待补",IF($D417="公共区域","公",IF($D417="商铺","S",SUBSTITUTE($D417,"栋","")))&amp;"-"&amp;$E417&amp;"-"&amp;TEXT(MONTH($B417),"00")&amp;TEXT(DAY($B417),"00")&amp;IF(ISNUMBER($O417),IF($O417&gt;1,"-"&amp;TEXT($O417,"00"),""),"")))</f>
        <v/>
      </c>
      <c r="B417" s="14"/>
      <c r="C417" s="10"/>
      <c r="D417" s="10"/>
      <c r="E417" s="10"/>
      <c r="F417" s="16"/>
      <c r="G417" s="10"/>
      <c r="H417" s="10"/>
      <c r="I417" s="10"/>
      <c r="J417" s="10"/>
      <c r="K417" s="10"/>
      <c r="L417" s="10"/>
      <c r="M417" s="14"/>
      <c r="N417" s="17" t="str">
        <f aca="false">IF($B417="","",IF($L417="已完成",IF($M417="","",$M417-$B417),IF(设置!$B$6&lt;$B417,"",IF((设置!$B$6-$B417)&gt;=设置!$B$5,"超期"&amp;(设置!$B$6-$B417)&amp;"天","已等"&amp;(设置!$B$6-$B417)&amp;"天"))))</f>
        <v/>
      </c>
      <c r="O417" s="18" t="str">
        <f aca="false">IF(OR($D417="",$E417=""),"",COUNTIFS($D$7:$D417,$D417,$E$7:$E417,$E417))</f>
        <v/>
      </c>
      <c r="P417" s="16"/>
      <c r="Q417" s="19"/>
      <c r="R417" s="10"/>
      <c r="S417" s="16"/>
      <c r="T417" s="0" t="str">
        <f aca="false">IF(OR($D417="",单元查询!$B$3=""),"",IF($D417&lt;&gt;单元查询!$B$3,"",IF(OR(单元查询!$D$3="",$E417&amp;""=单元查询!$D$3&amp;""),IF(ISNUMBER($B417),$B417*10000,0)+ROW(),"")))</f>
        <v/>
      </c>
      <c r="U417" s="0" t="str">
        <f aca="false">IF(OR($B417="",$L417="已完成"),"",IF(ISNUMBER($B417),IF(设置!$B$6&lt;$B417,"",(设置!$B$6-$B417)*100000+ROW()),""))</f>
        <v/>
      </c>
      <c r="V417" s="0" t="str">
        <f aca="false">IF(ISNUMBER($O417),IF($O417&gt;=2,IF(COUNTIFS($D417:$D$2006,$D417,$E417:$E$2006,$E417)=1,ROW(),""),""),"")</f>
        <v/>
      </c>
    </row>
    <row r="418" customFormat="false" ht="15" hidden="false" customHeight="true" outlineLevel="0" collapsed="false">
      <c r="A418" s="13" t="str">
        <f aca="false">IF(AND($B418="",$D418="",$E418="",$F418=""),"",IF(OR($B418="",$D418="",$E418=""),"待补",IF($D418="公共区域","公",IF($D418="商铺","S",SUBSTITUTE($D418,"栋","")))&amp;"-"&amp;$E418&amp;"-"&amp;TEXT(MONTH($B418),"00")&amp;TEXT(DAY($B418),"00")&amp;IF(ISNUMBER($O418),IF($O418&gt;1,"-"&amp;TEXT($O418,"00"),""),"")))</f>
        <v/>
      </c>
      <c r="B418" s="14"/>
      <c r="C418" s="10"/>
      <c r="D418" s="10"/>
      <c r="E418" s="10"/>
      <c r="F418" s="16"/>
      <c r="G418" s="10"/>
      <c r="H418" s="10"/>
      <c r="I418" s="10"/>
      <c r="J418" s="10"/>
      <c r="K418" s="10"/>
      <c r="L418" s="10"/>
      <c r="M418" s="14"/>
      <c r="N418" s="17" t="str">
        <f aca="false">IF($B418="","",IF($L418="已完成",IF($M418="","",$M418-$B418),IF(设置!$B$6&lt;$B418,"",IF((设置!$B$6-$B418)&gt;=设置!$B$5,"超期"&amp;(设置!$B$6-$B418)&amp;"天","已等"&amp;(设置!$B$6-$B418)&amp;"天"))))</f>
        <v/>
      </c>
      <c r="O418" s="18" t="str">
        <f aca="false">IF(OR($D418="",$E418=""),"",COUNTIFS($D$7:$D418,$D418,$E$7:$E418,$E418))</f>
        <v/>
      </c>
      <c r="P418" s="16"/>
      <c r="Q418" s="19"/>
      <c r="R418" s="10"/>
      <c r="S418" s="16"/>
      <c r="T418" s="0" t="str">
        <f aca="false">IF(OR($D418="",单元查询!$B$3=""),"",IF($D418&lt;&gt;单元查询!$B$3,"",IF(OR(单元查询!$D$3="",$E418&amp;""=单元查询!$D$3&amp;""),IF(ISNUMBER($B418),$B418*10000,0)+ROW(),"")))</f>
        <v/>
      </c>
      <c r="U418" s="0" t="str">
        <f aca="false">IF(OR($B418="",$L418="已完成"),"",IF(ISNUMBER($B418),IF(设置!$B$6&lt;$B418,"",(设置!$B$6-$B418)*100000+ROW()),""))</f>
        <v/>
      </c>
      <c r="V418" s="0" t="str">
        <f aca="false">IF(ISNUMBER($O418),IF($O418&gt;=2,IF(COUNTIFS($D418:$D$2006,$D418,$E418:$E$2006,$E418)=1,ROW(),""),""),"")</f>
        <v/>
      </c>
    </row>
    <row r="419" customFormat="false" ht="15" hidden="false" customHeight="true" outlineLevel="0" collapsed="false">
      <c r="A419" s="13" t="str">
        <f aca="false">IF(AND($B419="",$D419="",$E419="",$F419=""),"",IF(OR($B419="",$D419="",$E419=""),"待补",IF($D419="公共区域","公",IF($D419="商铺","S",SUBSTITUTE($D419,"栋","")))&amp;"-"&amp;$E419&amp;"-"&amp;TEXT(MONTH($B419),"00")&amp;TEXT(DAY($B419),"00")&amp;IF(ISNUMBER($O419),IF($O419&gt;1,"-"&amp;TEXT($O419,"00"),""),"")))</f>
        <v/>
      </c>
      <c r="B419" s="14"/>
      <c r="C419" s="10"/>
      <c r="D419" s="10"/>
      <c r="E419" s="10"/>
      <c r="F419" s="16"/>
      <c r="G419" s="10"/>
      <c r="H419" s="10"/>
      <c r="I419" s="10"/>
      <c r="J419" s="10"/>
      <c r="K419" s="10"/>
      <c r="L419" s="10"/>
      <c r="M419" s="14"/>
      <c r="N419" s="17" t="str">
        <f aca="false">IF($B419="","",IF($L419="已完成",IF($M419="","",$M419-$B419),IF(设置!$B$6&lt;$B419,"",IF((设置!$B$6-$B419)&gt;=设置!$B$5,"超期"&amp;(设置!$B$6-$B419)&amp;"天","已等"&amp;(设置!$B$6-$B419)&amp;"天"))))</f>
        <v/>
      </c>
      <c r="O419" s="18" t="str">
        <f aca="false">IF(OR($D419="",$E419=""),"",COUNTIFS($D$7:$D419,$D419,$E$7:$E419,$E419))</f>
        <v/>
      </c>
      <c r="P419" s="16"/>
      <c r="Q419" s="19"/>
      <c r="R419" s="10"/>
      <c r="S419" s="16"/>
      <c r="T419" s="0" t="str">
        <f aca="false">IF(OR($D419="",单元查询!$B$3=""),"",IF($D419&lt;&gt;单元查询!$B$3,"",IF(OR(单元查询!$D$3="",$E419&amp;""=单元查询!$D$3&amp;""),IF(ISNUMBER($B419),$B419*10000,0)+ROW(),"")))</f>
        <v/>
      </c>
      <c r="U419" s="0" t="str">
        <f aca="false">IF(OR($B419="",$L419="已完成"),"",IF(ISNUMBER($B419),IF(设置!$B$6&lt;$B419,"",(设置!$B$6-$B419)*100000+ROW()),""))</f>
        <v/>
      </c>
      <c r="V419" s="0" t="str">
        <f aca="false">IF(ISNUMBER($O419),IF($O419&gt;=2,IF(COUNTIFS($D419:$D$2006,$D419,$E419:$E$2006,$E419)=1,ROW(),""),""),"")</f>
        <v/>
      </c>
    </row>
    <row r="420" customFormat="false" ht="15" hidden="false" customHeight="true" outlineLevel="0" collapsed="false">
      <c r="A420" s="13" t="str">
        <f aca="false">IF(AND($B420="",$D420="",$E420="",$F420=""),"",IF(OR($B420="",$D420="",$E420=""),"待补",IF($D420="公共区域","公",IF($D420="商铺","S",SUBSTITUTE($D420,"栋","")))&amp;"-"&amp;$E420&amp;"-"&amp;TEXT(MONTH($B420),"00")&amp;TEXT(DAY($B420),"00")&amp;IF(ISNUMBER($O420),IF($O420&gt;1,"-"&amp;TEXT($O420,"00"),""),"")))</f>
        <v/>
      </c>
      <c r="B420" s="14"/>
      <c r="C420" s="10"/>
      <c r="D420" s="10"/>
      <c r="E420" s="10"/>
      <c r="F420" s="16"/>
      <c r="G420" s="10"/>
      <c r="H420" s="10"/>
      <c r="I420" s="10"/>
      <c r="J420" s="10"/>
      <c r="K420" s="10"/>
      <c r="L420" s="10"/>
      <c r="M420" s="14"/>
      <c r="N420" s="17" t="str">
        <f aca="false">IF($B420="","",IF($L420="已完成",IF($M420="","",$M420-$B420),IF(设置!$B$6&lt;$B420,"",IF((设置!$B$6-$B420)&gt;=设置!$B$5,"超期"&amp;(设置!$B$6-$B420)&amp;"天","已等"&amp;(设置!$B$6-$B420)&amp;"天"))))</f>
        <v/>
      </c>
      <c r="O420" s="18" t="str">
        <f aca="false">IF(OR($D420="",$E420=""),"",COUNTIFS($D$7:$D420,$D420,$E$7:$E420,$E420))</f>
        <v/>
      </c>
      <c r="P420" s="16"/>
      <c r="Q420" s="19"/>
      <c r="R420" s="10"/>
      <c r="S420" s="16"/>
      <c r="T420" s="0" t="str">
        <f aca="false">IF(OR($D420="",单元查询!$B$3=""),"",IF($D420&lt;&gt;单元查询!$B$3,"",IF(OR(单元查询!$D$3="",$E420&amp;""=单元查询!$D$3&amp;""),IF(ISNUMBER($B420),$B420*10000,0)+ROW(),"")))</f>
        <v/>
      </c>
      <c r="U420" s="0" t="str">
        <f aca="false">IF(OR($B420="",$L420="已完成"),"",IF(ISNUMBER($B420),IF(设置!$B$6&lt;$B420,"",(设置!$B$6-$B420)*100000+ROW()),""))</f>
        <v/>
      </c>
      <c r="V420" s="0" t="str">
        <f aca="false">IF(ISNUMBER($O420),IF($O420&gt;=2,IF(COUNTIFS($D420:$D$2006,$D420,$E420:$E$2006,$E420)=1,ROW(),""),""),"")</f>
        <v/>
      </c>
    </row>
    <row r="421" customFormat="false" ht="15" hidden="false" customHeight="true" outlineLevel="0" collapsed="false">
      <c r="A421" s="13" t="str">
        <f aca="false">IF(AND($B421="",$D421="",$E421="",$F421=""),"",IF(OR($B421="",$D421="",$E421=""),"待补",IF($D421="公共区域","公",IF($D421="商铺","S",SUBSTITUTE($D421,"栋","")))&amp;"-"&amp;$E421&amp;"-"&amp;TEXT(MONTH($B421),"00")&amp;TEXT(DAY($B421),"00")&amp;IF(ISNUMBER($O421),IF($O421&gt;1,"-"&amp;TEXT($O421,"00"),""),"")))</f>
        <v/>
      </c>
      <c r="B421" s="14"/>
      <c r="C421" s="10"/>
      <c r="D421" s="10"/>
      <c r="E421" s="10"/>
      <c r="F421" s="16"/>
      <c r="G421" s="10"/>
      <c r="H421" s="10"/>
      <c r="I421" s="10"/>
      <c r="J421" s="10"/>
      <c r="K421" s="10"/>
      <c r="L421" s="10"/>
      <c r="M421" s="14"/>
      <c r="N421" s="17" t="str">
        <f aca="false">IF($B421="","",IF($L421="已完成",IF($M421="","",$M421-$B421),IF(设置!$B$6&lt;$B421,"",IF((设置!$B$6-$B421)&gt;=设置!$B$5,"超期"&amp;(设置!$B$6-$B421)&amp;"天","已等"&amp;(设置!$B$6-$B421)&amp;"天"))))</f>
        <v/>
      </c>
      <c r="O421" s="18" t="str">
        <f aca="false">IF(OR($D421="",$E421=""),"",COUNTIFS($D$7:$D421,$D421,$E$7:$E421,$E421))</f>
        <v/>
      </c>
      <c r="P421" s="16"/>
      <c r="Q421" s="19"/>
      <c r="R421" s="10"/>
      <c r="S421" s="16"/>
      <c r="T421" s="0" t="str">
        <f aca="false">IF(OR($D421="",单元查询!$B$3=""),"",IF($D421&lt;&gt;单元查询!$B$3,"",IF(OR(单元查询!$D$3="",$E421&amp;""=单元查询!$D$3&amp;""),IF(ISNUMBER($B421),$B421*10000,0)+ROW(),"")))</f>
        <v/>
      </c>
      <c r="U421" s="0" t="str">
        <f aca="false">IF(OR($B421="",$L421="已完成"),"",IF(ISNUMBER($B421),IF(设置!$B$6&lt;$B421,"",(设置!$B$6-$B421)*100000+ROW()),""))</f>
        <v/>
      </c>
      <c r="V421" s="0" t="str">
        <f aca="false">IF(ISNUMBER($O421),IF($O421&gt;=2,IF(COUNTIFS($D421:$D$2006,$D421,$E421:$E$2006,$E421)=1,ROW(),""),""),"")</f>
        <v/>
      </c>
    </row>
    <row r="422" customFormat="false" ht="15" hidden="false" customHeight="true" outlineLevel="0" collapsed="false">
      <c r="A422" s="13" t="str">
        <f aca="false">IF(AND($B422="",$D422="",$E422="",$F422=""),"",IF(OR($B422="",$D422="",$E422=""),"待补",IF($D422="公共区域","公",IF($D422="商铺","S",SUBSTITUTE($D422,"栋","")))&amp;"-"&amp;$E422&amp;"-"&amp;TEXT(MONTH($B422),"00")&amp;TEXT(DAY($B422),"00")&amp;IF(ISNUMBER($O422),IF($O422&gt;1,"-"&amp;TEXT($O422,"00"),""),"")))</f>
        <v/>
      </c>
      <c r="B422" s="14"/>
      <c r="C422" s="10"/>
      <c r="D422" s="10"/>
      <c r="E422" s="10"/>
      <c r="F422" s="16"/>
      <c r="G422" s="10"/>
      <c r="H422" s="10"/>
      <c r="I422" s="10"/>
      <c r="J422" s="10"/>
      <c r="K422" s="10"/>
      <c r="L422" s="10"/>
      <c r="M422" s="14"/>
      <c r="N422" s="17" t="str">
        <f aca="false">IF($B422="","",IF($L422="已完成",IF($M422="","",$M422-$B422),IF(设置!$B$6&lt;$B422,"",IF((设置!$B$6-$B422)&gt;=设置!$B$5,"超期"&amp;(设置!$B$6-$B422)&amp;"天","已等"&amp;(设置!$B$6-$B422)&amp;"天"))))</f>
        <v/>
      </c>
      <c r="O422" s="18" t="str">
        <f aca="false">IF(OR($D422="",$E422=""),"",COUNTIFS($D$7:$D422,$D422,$E$7:$E422,$E422))</f>
        <v/>
      </c>
      <c r="P422" s="16"/>
      <c r="Q422" s="19"/>
      <c r="R422" s="10"/>
      <c r="S422" s="16"/>
      <c r="T422" s="0" t="str">
        <f aca="false">IF(OR($D422="",单元查询!$B$3=""),"",IF($D422&lt;&gt;单元查询!$B$3,"",IF(OR(单元查询!$D$3="",$E422&amp;""=单元查询!$D$3&amp;""),IF(ISNUMBER($B422),$B422*10000,0)+ROW(),"")))</f>
        <v/>
      </c>
      <c r="U422" s="0" t="str">
        <f aca="false">IF(OR($B422="",$L422="已完成"),"",IF(ISNUMBER($B422),IF(设置!$B$6&lt;$B422,"",(设置!$B$6-$B422)*100000+ROW()),""))</f>
        <v/>
      </c>
      <c r="V422" s="0" t="str">
        <f aca="false">IF(ISNUMBER($O422),IF($O422&gt;=2,IF(COUNTIFS($D422:$D$2006,$D422,$E422:$E$2006,$E422)=1,ROW(),""),""),"")</f>
        <v/>
      </c>
    </row>
    <row r="423" customFormat="false" ht="15" hidden="false" customHeight="true" outlineLevel="0" collapsed="false">
      <c r="A423" s="13" t="str">
        <f aca="false">IF(AND($B423="",$D423="",$E423="",$F423=""),"",IF(OR($B423="",$D423="",$E423=""),"待补",IF($D423="公共区域","公",IF($D423="商铺","S",SUBSTITUTE($D423,"栋","")))&amp;"-"&amp;$E423&amp;"-"&amp;TEXT(MONTH($B423),"00")&amp;TEXT(DAY($B423),"00")&amp;IF(ISNUMBER($O423),IF($O423&gt;1,"-"&amp;TEXT($O423,"00"),""),"")))</f>
        <v/>
      </c>
      <c r="B423" s="14"/>
      <c r="C423" s="10"/>
      <c r="D423" s="10"/>
      <c r="E423" s="10"/>
      <c r="F423" s="16"/>
      <c r="G423" s="10"/>
      <c r="H423" s="10"/>
      <c r="I423" s="10"/>
      <c r="J423" s="10"/>
      <c r="K423" s="10"/>
      <c r="L423" s="10"/>
      <c r="M423" s="14"/>
      <c r="N423" s="17" t="str">
        <f aca="false">IF($B423="","",IF($L423="已完成",IF($M423="","",$M423-$B423),IF(设置!$B$6&lt;$B423,"",IF((设置!$B$6-$B423)&gt;=设置!$B$5,"超期"&amp;(设置!$B$6-$B423)&amp;"天","已等"&amp;(设置!$B$6-$B423)&amp;"天"))))</f>
        <v/>
      </c>
      <c r="O423" s="18" t="str">
        <f aca="false">IF(OR($D423="",$E423=""),"",COUNTIFS($D$7:$D423,$D423,$E$7:$E423,$E423))</f>
        <v/>
      </c>
      <c r="P423" s="16"/>
      <c r="Q423" s="19"/>
      <c r="R423" s="10"/>
      <c r="S423" s="16"/>
      <c r="T423" s="0" t="str">
        <f aca="false">IF(OR($D423="",单元查询!$B$3=""),"",IF($D423&lt;&gt;单元查询!$B$3,"",IF(OR(单元查询!$D$3="",$E423&amp;""=单元查询!$D$3&amp;""),IF(ISNUMBER($B423),$B423*10000,0)+ROW(),"")))</f>
        <v/>
      </c>
      <c r="U423" s="0" t="str">
        <f aca="false">IF(OR($B423="",$L423="已完成"),"",IF(ISNUMBER($B423),IF(设置!$B$6&lt;$B423,"",(设置!$B$6-$B423)*100000+ROW()),""))</f>
        <v/>
      </c>
      <c r="V423" s="0" t="str">
        <f aca="false">IF(ISNUMBER($O423),IF($O423&gt;=2,IF(COUNTIFS($D423:$D$2006,$D423,$E423:$E$2006,$E423)=1,ROW(),""),""),"")</f>
        <v/>
      </c>
    </row>
    <row r="424" customFormat="false" ht="15" hidden="false" customHeight="true" outlineLevel="0" collapsed="false">
      <c r="A424" s="13" t="str">
        <f aca="false">IF(AND($B424="",$D424="",$E424="",$F424=""),"",IF(OR($B424="",$D424="",$E424=""),"待补",IF($D424="公共区域","公",IF($D424="商铺","S",SUBSTITUTE($D424,"栋","")))&amp;"-"&amp;$E424&amp;"-"&amp;TEXT(MONTH($B424),"00")&amp;TEXT(DAY($B424),"00")&amp;IF(ISNUMBER($O424),IF($O424&gt;1,"-"&amp;TEXT($O424,"00"),""),"")))</f>
        <v/>
      </c>
      <c r="B424" s="14"/>
      <c r="C424" s="10"/>
      <c r="D424" s="10"/>
      <c r="E424" s="10"/>
      <c r="F424" s="16"/>
      <c r="G424" s="10"/>
      <c r="H424" s="10"/>
      <c r="I424" s="10"/>
      <c r="J424" s="10"/>
      <c r="K424" s="10"/>
      <c r="L424" s="10"/>
      <c r="M424" s="14"/>
      <c r="N424" s="17" t="str">
        <f aca="false">IF($B424="","",IF($L424="已完成",IF($M424="","",$M424-$B424),IF(设置!$B$6&lt;$B424,"",IF((设置!$B$6-$B424)&gt;=设置!$B$5,"超期"&amp;(设置!$B$6-$B424)&amp;"天","已等"&amp;(设置!$B$6-$B424)&amp;"天"))))</f>
        <v/>
      </c>
      <c r="O424" s="18" t="str">
        <f aca="false">IF(OR($D424="",$E424=""),"",COUNTIFS($D$7:$D424,$D424,$E$7:$E424,$E424))</f>
        <v/>
      </c>
      <c r="P424" s="16"/>
      <c r="Q424" s="19"/>
      <c r="R424" s="10"/>
      <c r="S424" s="16"/>
      <c r="T424" s="0" t="str">
        <f aca="false">IF(OR($D424="",单元查询!$B$3=""),"",IF($D424&lt;&gt;单元查询!$B$3,"",IF(OR(单元查询!$D$3="",$E424&amp;""=单元查询!$D$3&amp;""),IF(ISNUMBER($B424),$B424*10000,0)+ROW(),"")))</f>
        <v/>
      </c>
      <c r="U424" s="0" t="str">
        <f aca="false">IF(OR($B424="",$L424="已完成"),"",IF(ISNUMBER($B424),IF(设置!$B$6&lt;$B424,"",(设置!$B$6-$B424)*100000+ROW()),""))</f>
        <v/>
      </c>
      <c r="V424" s="0" t="str">
        <f aca="false">IF(ISNUMBER($O424),IF($O424&gt;=2,IF(COUNTIFS($D424:$D$2006,$D424,$E424:$E$2006,$E424)=1,ROW(),""),""),"")</f>
        <v/>
      </c>
    </row>
    <row r="425" customFormat="false" ht="15" hidden="false" customHeight="true" outlineLevel="0" collapsed="false">
      <c r="A425" s="13" t="str">
        <f aca="false">IF(AND($B425="",$D425="",$E425="",$F425=""),"",IF(OR($B425="",$D425="",$E425=""),"待补",IF($D425="公共区域","公",IF($D425="商铺","S",SUBSTITUTE($D425,"栋","")))&amp;"-"&amp;$E425&amp;"-"&amp;TEXT(MONTH($B425),"00")&amp;TEXT(DAY($B425),"00")&amp;IF(ISNUMBER($O425),IF($O425&gt;1,"-"&amp;TEXT($O425,"00"),""),"")))</f>
        <v/>
      </c>
      <c r="B425" s="14"/>
      <c r="C425" s="10"/>
      <c r="D425" s="10"/>
      <c r="E425" s="10"/>
      <c r="F425" s="16"/>
      <c r="G425" s="10"/>
      <c r="H425" s="10"/>
      <c r="I425" s="10"/>
      <c r="J425" s="10"/>
      <c r="K425" s="10"/>
      <c r="L425" s="10"/>
      <c r="M425" s="14"/>
      <c r="N425" s="17" t="str">
        <f aca="false">IF($B425="","",IF($L425="已完成",IF($M425="","",$M425-$B425),IF(设置!$B$6&lt;$B425,"",IF((设置!$B$6-$B425)&gt;=设置!$B$5,"超期"&amp;(设置!$B$6-$B425)&amp;"天","已等"&amp;(设置!$B$6-$B425)&amp;"天"))))</f>
        <v/>
      </c>
      <c r="O425" s="18" t="str">
        <f aca="false">IF(OR($D425="",$E425=""),"",COUNTIFS($D$7:$D425,$D425,$E$7:$E425,$E425))</f>
        <v/>
      </c>
      <c r="P425" s="16"/>
      <c r="Q425" s="19"/>
      <c r="R425" s="10"/>
      <c r="S425" s="16"/>
      <c r="T425" s="0" t="str">
        <f aca="false">IF(OR($D425="",单元查询!$B$3=""),"",IF($D425&lt;&gt;单元查询!$B$3,"",IF(OR(单元查询!$D$3="",$E425&amp;""=单元查询!$D$3&amp;""),IF(ISNUMBER($B425),$B425*10000,0)+ROW(),"")))</f>
        <v/>
      </c>
      <c r="U425" s="0" t="str">
        <f aca="false">IF(OR($B425="",$L425="已完成"),"",IF(ISNUMBER($B425),IF(设置!$B$6&lt;$B425,"",(设置!$B$6-$B425)*100000+ROW()),""))</f>
        <v/>
      </c>
      <c r="V425" s="0" t="str">
        <f aca="false">IF(ISNUMBER($O425),IF($O425&gt;=2,IF(COUNTIFS($D425:$D$2006,$D425,$E425:$E$2006,$E425)=1,ROW(),""),""),"")</f>
        <v/>
      </c>
    </row>
    <row r="426" customFormat="false" ht="15" hidden="false" customHeight="true" outlineLevel="0" collapsed="false">
      <c r="A426" s="13" t="str">
        <f aca="false">IF(AND($B426="",$D426="",$E426="",$F426=""),"",IF(OR($B426="",$D426="",$E426=""),"待补",IF($D426="公共区域","公",IF($D426="商铺","S",SUBSTITUTE($D426,"栋","")))&amp;"-"&amp;$E426&amp;"-"&amp;TEXT(MONTH($B426),"00")&amp;TEXT(DAY($B426),"00")&amp;IF(ISNUMBER($O426),IF($O426&gt;1,"-"&amp;TEXT($O426,"00"),""),"")))</f>
        <v/>
      </c>
      <c r="B426" s="14"/>
      <c r="C426" s="10"/>
      <c r="D426" s="10"/>
      <c r="E426" s="10"/>
      <c r="F426" s="16"/>
      <c r="G426" s="10"/>
      <c r="H426" s="10"/>
      <c r="I426" s="10"/>
      <c r="J426" s="10"/>
      <c r="K426" s="10"/>
      <c r="L426" s="10"/>
      <c r="M426" s="14"/>
      <c r="N426" s="17" t="str">
        <f aca="false">IF($B426="","",IF($L426="已完成",IF($M426="","",$M426-$B426),IF(设置!$B$6&lt;$B426,"",IF((设置!$B$6-$B426)&gt;=设置!$B$5,"超期"&amp;(设置!$B$6-$B426)&amp;"天","已等"&amp;(设置!$B$6-$B426)&amp;"天"))))</f>
        <v/>
      </c>
      <c r="O426" s="18" t="str">
        <f aca="false">IF(OR($D426="",$E426=""),"",COUNTIFS($D$7:$D426,$D426,$E$7:$E426,$E426))</f>
        <v/>
      </c>
      <c r="P426" s="16"/>
      <c r="Q426" s="19"/>
      <c r="R426" s="10"/>
      <c r="S426" s="16"/>
      <c r="T426" s="0" t="str">
        <f aca="false">IF(OR($D426="",单元查询!$B$3=""),"",IF($D426&lt;&gt;单元查询!$B$3,"",IF(OR(单元查询!$D$3="",$E426&amp;""=单元查询!$D$3&amp;""),IF(ISNUMBER($B426),$B426*10000,0)+ROW(),"")))</f>
        <v/>
      </c>
      <c r="U426" s="0" t="str">
        <f aca="false">IF(OR($B426="",$L426="已完成"),"",IF(ISNUMBER($B426),IF(设置!$B$6&lt;$B426,"",(设置!$B$6-$B426)*100000+ROW()),""))</f>
        <v/>
      </c>
      <c r="V426" s="0" t="str">
        <f aca="false">IF(ISNUMBER($O426),IF($O426&gt;=2,IF(COUNTIFS($D426:$D$2006,$D426,$E426:$E$2006,$E426)=1,ROW(),""),""),"")</f>
        <v/>
      </c>
    </row>
    <row r="427" customFormat="false" ht="15" hidden="false" customHeight="true" outlineLevel="0" collapsed="false">
      <c r="A427" s="13" t="str">
        <f aca="false">IF(AND($B427="",$D427="",$E427="",$F427=""),"",IF(OR($B427="",$D427="",$E427=""),"待补",IF($D427="公共区域","公",IF($D427="商铺","S",SUBSTITUTE($D427,"栋","")))&amp;"-"&amp;$E427&amp;"-"&amp;TEXT(MONTH($B427),"00")&amp;TEXT(DAY($B427),"00")&amp;IF(ISNUMBER($O427),IF($O427&gt;1,"-"&amp;TEXT($O427,"00"),""),"")))</f>
        <v/>
      </c>
      <c r="B427" s="14"/>
      <c r="C427" s="10"/>
      <c r="D427" s="10"/>
      <c r="E427" s="10"/>
      <c r="F427" s="16"/>
      <c r="G427" s="10"/>
      <c r="H427" s="10"/>
      <c r="I427" s="10"/>
      <c r="J427" s="10"/>
      <c r="K427" s="10"/>
      <c r="L427" s="10"/>
      <c r="M427" s="14"/>
      <c r="N427" s="17" t="str">
        <f aca="false">IF($B427="","",IF($L427="已完成",IF($M427="","",$M427-$B427),IF(设置!$B$6&lt;$B427,"",IF((设置!$B$6-$B427)&gt;=设置!$B$5,"超期"&amp;(设置!$B$6-$B427)&amp;"天","已等"&amp;(设置!$B$6-$B427)&amp;"天"))))</f>
        <v/>
      </c>
      <c r="O427" s="18" t="str">
        <f aca="false">IF(OR($D427="",$E427=""),"",COUNTIFS($D$7:$D427,$D427,$E$7:$E427,$E427))</f>
        <v/>
      </c>
      <c r="P427" s="16"/>
      <c r="Q427" s="19"/>
      <c r="R427" s="10"/>
      <c r="S427" s="16"/>
      <c r="T427" s="0" t="str">
        <f aca="false">IF(OR($D427="",单元查询!$B$3=""),"",IF($D427&lt;&gt;单元查询!$B$3,"",IF(OR(单元查询!$D$3="",$E427&amp;""=单元查询!$D$3&amp;""),IF(ISNUMBER($B427),$B427*10000,0)+ROW(),"")))</f>
        <v/>
      </c>
      <c r="U427" s="0" t="str">
        <f aca="false">IF(OR($B427="",$L427="已完成"),"",IF(ISNUMBER($B427),IF(设置!$B$6&lt;$B427,"",(设置!$B$6-$B427)*100000+ROW()),""))</f>
        <v/>
      </c>
      <c r="V427" s="0" t="str">
        <f aca="false">IF(ISNUMBER($O427),IF($O427&gt;=2,IF(COUNTIFS($D427:$D$2006,$D427,$E427:$E$2006,$E427)=1,ROW(),""),""),"")</f>
        <v/>
      </c>
    </row>
    <row r="428" customFormat="false" ht="15" hidden="false" customHeight="true" outlineLevel="0" collapsed="false">
      <c r="A428" s="13" t="str">
        <f aca="false">IF(AND($B428="",$D428="",$E428="",$F428=""),"",IF(OR($B428="",$D428="",$E428=""),"待补",IF($D428="公共区域","公",IF($D428="商铺","S",SUBSTITUTE($D428,"栋","")))&amp;"-"&amp;$E428&amp;"-"&amp;TEXT(MONTH($B428),"00")&amp;TEXT(DAY($B428),"00")&amp;IF(ISNUMBER($O428),IF($O428&gt;1,"-"&amp;TEXT($O428,"00"),""),"")))</f>
        <v/>
      </c>
      <c r="B428" s="14"/>
      <c r="C428" s="10"/>
      <c r="D428" s="10"/>
      <c r="E428" s="10"/>
      <c r="F428" s="16"/>
      <c r="G428" s="10"/>
      <c r="H428" s="10"/>
      <c r="I428" s="10"/>
      <c r="J428" s="10"/>
      <c r="K428" s="10"/>
      <c r="L428" s="10"/>
      <c r="M428" s="14"/>
      <c r="N428" s="17" t="str">
        <f aca="false">IF($B428="","",IF($L428="已完成",IF($M428="","",$M428-$B428),IF(设置!$B$6&lt;$B428,"",IF((设置!$B$6-$B428)&gt;=设置!$B$5,"超期"&amp;(设置!$B$6-$B428)&amp;"天","已等"&amp;(设置!$B$6-$B428)&amp;"天"))))</f>
        <v/>
      </c>
      <c r="O428" s="18" t="str">
        <f aca="false">IF(OR($D428="",$E428=""),"",COUNTIFS($D$7:$D428,$D428,$E$7:$E428,$E428))</f>
        <v/>
      </c>
      <c r="P428" s="16"/>
      <c r="Q428" s="19"/>
      <c r="R428" s="10"/>
      <c r="S428" s="16"/>
      <c r="T428" s="0" t="str">
        <f aca="false">IF(OR($D428="",单元查询!$B$3=""),"",IF($D428&lt;&gt;单元查询!$B$3,"",IF(OR(单元查询!$D$3="",$E428&amp;""=单元查询!$D$3&amp;""),IF(ISNUMBER($B428),$B428*10000,0)+ROW(),"")))</f>
        <v/>
      </c>
      <c r="U428" s="0" t="str">
        <f aca="false">IF(OR($B428="",$L428="已完成"),"",IF(ISNUMBER($B428),IF(设置!$B$6&lt;$B428,"",(设置!$B$6-$B428)*100000+ROW()),""))</f>
        <v/>
      </c>
      <c r="V428" s="0" t="str">
        <f aca="false">IF(ISNUMBER($O428),IF($O428&gt;=2,IF(COUNTIFS($D428:$D$2006,$D428,$E428:$E$2006,$E428)=1,ROW(),""),""),"")</f>
        <v/>
      </c>
    </row>
    <row r="429" customFormat="false" ht="15" hidden="false" customHeight="true" outlineLevel="0" collapsed="false">
      <c r="A429" s="13" t="str">
        <f aca="false">IF(AND($B429="",$D429="",$E429="",$F429=""),"",IF(OR($B429="",$D429="",$E429=""),"待补",IF($D429="公共区域","公",IF($D429="商铺","S",SUBSTITUTE($D429,"栋","")))&amp;"-"&amp;$E429&amp;"-"&amp;TEXT(MONTH($B429),"00")&amp;TEXT(DAY($B429),"00")&amp;IF(ISNUMBER($O429),IF($O429&gt;1,"-"&amp;TEXT($O429,"00"),""),"")))</f>
        <v/>
      </c>
      <c r="B429" s="14"/>
      <c r="C429" s="10"/>
      <c r="D429" s="10"/>
      <c r="E429" s="10"/>
      <c r="F429" s="16"/>
      <c r="G429" s="10"/>
      <c r="H429" s="10"/>
      <c r="I429" s="10"/>
      <c r="J429" s="10"/>
      <c r="K429" s="10"/>
      <c r="L429" s="10"/>
      <c r="M429" s="14"/>
      <c r="N429" s="17" t="str">
        <f aca="false">IF($B429="","",IF($L429="已完成",IF($M429="","",$M429-$B429),IF(设置!$B$6&lt;$B429,"",IF((设置!$B$6-$B429)&gt;=设置!$B$5,"超期"&amp;(设置!$B$6-$B429)&amp;"天","已等"&amp;(设置!$B$6-$B429)&amp;"天"))))</f>
        <v/>
      </c>
      <c r="O429" s="18" t="str">
        <f aca="false">IF(OR($D429="",$E429=""),"",COUNTIFS($D$7:$D429,$D429,$E$7:$E429,$E429))</f>
        <v/>
      </c>
      <c r="P429" s="16"/>
      <c r="Q429" s="19"/>
      <c r="R429" s="10"/>
      <c r="S429" s="16"/>
      <c r="T429" s="0" t="str">
        <f aca="false">IF(OR($D429="",单元查询!$B$3=""),"",IF($D429&lt;&gt;单元查询!$B$3,"",IF(OR(单元查询!$D$3="",$E429&amp;""=单元查询!$D$3&amp;""),IF(ISNUMBER($B429),$B429*10000,0)+ROW(),"")))</f>
        <v/>
      </c>
      <c r="U429" s="0" t="str">
        <f aca="false">IF(OR($B429="",$L429="已完成"),"",IF(ISNUMBER($B429),IF(设置!$B$6&lt;$B429,"",(设置!$B$6-$B429)*100000+ROW()),""))</f>
        <v/>
      </c>
      <c r="V429" s="0" t="str">
        <f aca="false">IF(ISNUMBER($O429),IF($O429&gt;=2,IF(COUNTIFS($D429:$D$2006,$D429,$E429:$E$2006,$E429)=1,ROW(),""),""),"")</f>
        <v/>
      </c>
    </row>
    <row r="430" customFormat="false" ht="15" hidden="false" customHeight="true" outlineLevel="0" collapsed="false">
      <c r="A430" s="13" t="str">
        <f aca="false">IF(AND($B430="",$D430="",$E430="",$F430=""),"",IF(OR($B430="",$D430="",$E430=""),"待补",IF($D430="公共区域","公",IF($D430="商铺","S",SUBSTITUTE($D430,"栋","")))&amp;"-"&amp;$E430&amp;"-"&amp;TEXT(MONTH($B430),"00")&amp;TEXT(DAY($B430),"00")&amp;IF(ISNUMBER($O430),IF($O430&gt;1,"-"&amp;TEXT($O430,"00"),""),"")))</f>
        <v/>
      </c>
      <c r="B430" s="14"/>
      <c r="C430" s="10"/>
      <c r="D430" s="10"/>
      <c r="E430" s="10"/>
      <c r="F430" s="16"/>
      <c r="G430" s="10"/>
      <c r="H430" s="10"/>
      <c r="I430" s="10"/>
      <c r="J430" s="10"/>
      <c r="K430" s="10"/>
      <c r="L430" s="10"/>
      <c r="M430" s="14"/>
      <c r="N430" s="17" t="str">
        <f aca="false">IF($B430="","",IF($L430="已完成",IF($M430="","",$M430-$B430),IF(设置!$B$6&lt;$B430,"",IF((设置!$B$6-$B430)&gt;=设置!$B$5,"超期"&amp;(设置!$B$6-$B430)&amp;"天","已等"&amp;(设置!$B$6-$B430)&amp;"天"))))</f>
        <v/>
      </c>
      <c r="O430" s="18" t="str">
        <f aca="false">IF(OR($D430="",$E430=""),"",COUNTIFS($D$7:$D430,$D430,$E$7:$E430,$E430))</f>
        <v/>
      </c>
      <c r="P430" s="16"/>
      <c r="Q430" s="19"/>
      <c r="R430" s="10"/>
      <c r="S430" s="16"/>
      <c r="T430" s="0" t="str">
        <f aca="false">IF(OR($D430="",单元查询!$B$3=""),"",IF($D430&lt;&gt;单元查询!$B$3,"",IF(OR(单元查询!$D$3="",$E430&amp;""=单元查询!$D$3&amp;""),IF(ISNUMBER($B430),$B430*10000,0)+ROW(),"")))</f>
        <v/>
      </c>
      <c r="U430" s="0" t="str">
        <f aca="false">IF(OR($B430="",$L430="已完成"),"",IF(ISNUMBER($B430),IF(设置!$B$6&lt;$B430,"",(设置!$B$6-$B430)*100000+ROW()),""))</f>
        <v/>
      </c>
      <c r="V430" s="0" t="str">
        <f aca="false">IF(ISNUMBER($O430),IF($O430&gt;=2,IF(COUNTIFS($D430:$D$2006,$D430,$E430:$E$2006,$E430)=1,ROW(),""),""),"")</f>
        <v/>
      </c>
    </row>
    <row r="431" customFormat="false" ht="15" hidden="false" customHeight="true" outlineLevel="0" collapsed="false">
      <c r="A431" s="13" t="str">
        <f aca="false">IF(AND($B431="",$D431="",$E431="",$F431=""),"",IF(OR($B431="",$D431="",$E431=""),"待补",IF($D431="公共区域","公",IF($D431="商铺","S",SUBSTITUTE($D431,"栋","")))&amp;"-"&amp;$E431&amp;"-"&amp;TEXT(MONTH($B431),"00")&amp;TEXT(DAY($B431),"00")&amp;IF(ISNUMBER($O431),IF($O431&gt;1,"-"&amp;TEXT($O431,"00"),""),"")))</f>
        <v/>
      </c>
      <c r="B431" s="14"/>
      <c r="C431" s="10"/>
      <c r="D431" s="10"/>
      <c r="E431" s="10"/>
      <c r="F431" s="16"/>
      <c r="G431" s="10"/>
      <c r="H431" s="10"/>
      <c r="I431" s="10"/>
      <c r="J431" s="10"/>
      <c r="K431" s="10"/>
      <c r="L431" s="10"/>
      <c r="M431" s="14"/>
      <c r="N431" s="17" t="str">
        <f aca="false">IF($B431="","",IF($L431="已完成",IF($M431="","",$M431-$B431),IF(设置!$B$6&lt;$B431,"",IF((设置!$B$6-$B431)&gt;=设置!$B$5,"超期"&amp;(设置!$B$6-$B431)&amp;"天","已等"&amp;(设置!$B$6-$B431)&amp;"天"))))</f>
        <v/>
      </c>
      <c r="O431" s="18" t="str">
        <f aca="false">IF(OR($D431="",$E431=""),"",COUNTIFS($D$7:$D431,$D431,$E$7:$E431,$E431))</f>
        <v/>
      </c>
      <c r="P431" s="16"/>
      <c r="Q431" s="19"/>
      <c r="R431" s="10"/>
      <c r="S431" s="16"/>
      <c r="T431" s="0" t="str">
        <f aca="false">IF(OR($D431="",单元查询!$B$3=""),"",IF($D431&lt;&gt;单元查询!$B$3,"",IF(OR(单元查询!$D$3="",$E431&amp;""=单元查询!$D$3&amp;""),IF(ISNUMBER($B431),$B431*10000,0)+ROW(),"")))</f>
        <v/>
      </c>
      <c r="U431" s="0" t="str">
        <f aca="false">IF(OR($B431="",$L431="已完成"),"",IF(ISNUMBER($B431),IF(设置!$B$6&lt;$B431,"",(设置!$B$6-$B431)*100000+ROW()),""))</f>
        <v/>
      </c>
      <c r="V431" s="0" t="str">
        <f aca="false">IF(ISNUMBER($O431),IF($O431&gt;=2,IF(COUNTIFS($D431:$D$2006,$D431,$E431:$E$2006,$E431)=1,ROW(),""),""),"")</f>
        <v/>
      </c>
    </row>
    <row r="432" customFormat="false" ht="15" hidden="false" customHeight="true" outlineLevel="0" collapsed="false">
      <c r="A432" s="13" t="str">
        <f aca="false">IF(AND($B432="",$D432="",$E432="",$F432=""),"",IF(OR($B432="",$D432="",$E432=""),"待补",IF($D432="公共区域","公",IF($D432="商铺","S",SUBSTITUTE($D432,"栋","")))&amp;"-"&amp;$E432&amp;"-"&amp;TEXT(MONTH($B432),"00")&amp;TEXT(DAY($B432),"00")&amp;IF(ISNUMBER($O432),IF($O432&gt;1,"-"&amp;TEXT($O432,"00"),""),"")))</f>
        <v/>
      </c>
      <c r="B432" s="14"/>
      <c r="C432" s="10"/>
      <c r="D432" s="10"/>
      <c r="E432" s="10"/>
      <c r="F432" s="16"/>
      <c r="G432" s="10"/>
      <c r="H432" s="10"/>
      <c r="I432" s="10"/>
      <c r="J432" s="10"/>
      <c r="K432" s="10"/>
      <c r="L432" s="10"/>
      <c r="M432" s="14"/>
      <c r="N432" s="17" t="str">
        <f aca="false">IF($B432="","",IF($L432="已完成",IF($M432="","",$M432-$B432),IF(设置!$B$6&lt;$B432,"",IF((设置!$B$6-$B432)&gt;=设置!$B$5,"超期"&amp;(设置!$B$6-$B432)&amp;"天","已等"&amp;(设置!$B$6-$B432)&amp;"天"))))</f>
        <v/>
      </c>
      <c r="O432" s="18" t="str">
        <f aca="false">IF(OR($D432="",$E432=""),"",COUNTIFS($D$7:$D432,$D432,$E$7:$E432,$E432))</f>
        <v/>
      </c>
      <c r="P432" s="16"/>
      <c r="Q432" s="19"/>
      <c r="R432" s="10"/>
      <c r="S432" s="16"/>
      <c r="T432" s="0" t="str">
        <f aca="false">IF(OR($D432="",单元查询!$B$3=""),"",IF($D432&lt;&gt;单元查询!$B$3,"",IF(OR(单元查询!$D$3="",$E432&amp;""=单元查询!$D$3&amp;""),IF(ISNUMBER($B432),$B432*10000,0)+ROW(),"")))</f>
        <v/>
      </c>
      <c r="U432" s="0" t="str">
        <f aca="false">IF(OR($B432="",$L432="已完成"),"",IF(ISNUMBER($B432),IF(设置!$B$6&lt;$B432,"",(设置!$B$6-$B432)*100000+ROW()),""))</f>
        <v/>
      </c>
      <c r="V432" s="0" t="str">
        <f aca="false">IF(ISNUMBER($O432),IF($O432&gt;=2,IF(COUNTIFS($D432:$D$2006,$D432,$E432:$E$2006,$E432)=1,ROW(),""),""),"")</f>
        <v/>
      </c>
    </row>
    <row r="433" customFormat="false" ht="15" hidden="false" customHeight="true" outlineLevel="0" collapsed="false">
      <c r="A433" s="13" t="str">
        <f aca="false">IF(AND($B433="",$D433="",$E433="",$F433=""),"",IF(OR($B433="",$D433="",$E433=""),"待补",IF($D433="公共区域","公",IF($D433="商铺","S",SUBSTITUTE($D433,"栋","")))&amp;"-"&amp;$E433&amp;"-"&amp;TEXT(MONTH($B433),"00")&amp;TEXT(DAY($B433),"00")&amp;IF(ISNUMBER($O433),IF($O433&gt;1,"-"&amp;TEXT($O433,"00"),""),"")))</f>
        <v/>
      </c>
      <c r="B433" s="14"/>
      <c r="C433" s="10"/>
      <c r="D433" s="10"/>
      <c r="E433" s="10"/>
      <c r="F433" s="16"/>
      <c r="G433" s="10"/>
      <c r="H433" s="10"/>
      <c r="I433" s="10"/>
      <c r="J433" s="10"/>
      <c r="K433" s="10"/>
      <c r="L433" s="10"/>
      <c r="M433" s="14"/>
      <c r="N433" s="17" t="str">
        <f aca="false">IF($B433="","",IF($L433="已完成",IF($M433="","",$M433-$B433),IF(设置!$B$6&lt;$B433,"",IF((设置!$B$6-$B433)&gt;=设置!$B$5,"超期"&amp;(设置!$B$6-$B433)&amp;"天","已等"&amp;(设置!$B$6-$B433)&amp;"天"))))</f>
        <v/>
      </c>
      <c r="O433" s="18" t="str">
        <f aca="false">IF(OR($D433="",$E433=""),"",COUNTIFS($D$7:$D433,$D433,$E$7:$E433,$E433))</f>
        <v/>
      </c>
      <c r="P433" s="16"/>
      <c r="Q433" s="19"/>
      <c r="R433" s="10"/>
      <c r="S433" s="16"/>
      <c r="T433" s="0" t="str">
        <f aca="false">IF(OR($D433="",单元查询!$B$3=""),"",IF($D433&lt;&gt;单元查询!$B$3,"",IF(OR(单元查询!$D$3="",$E433&amp;""=单元查询!$D$3&amp;""),IF(ISNUMBER($B433),$B433*10000,0)+ROW(),"")))</f>
        <v/>
      </c>
      <c r="U433" s="0" t="str">
        <f aca="false">IF(OR($B433="",$L433="已完成"),"",IF(ISNUMBER($B433),IF(设置!$B$6&lt;$B433,"",(设置!$B$6-$B433)*100000+ROW()),""))</f>
        <v/>
      </c>
      <c r="V433" s="0" t="str">
        <f aca="false">IF(ISNUMBER($O433),IF($O433&gt;=2,IF(COUNTIFS($D433:$D$2006,$D433,$E433:$E$2006,$E433)=1,ROW(),""),""),"")</f>
        <v/>
      </c>
    </row>
    <row r="434" customFormat="false" ht="15" hidden="false" customHeight="true" outlineLevel="0" collapsed="false">
      <c r="A434" s="13" t="str">
        <f aca="false">IF(AND($B434="",$D434="",$E434="",$F434=""),"",IF(OR($B434="",$D434="",$E434=""),"待补",IF($D434="公共区域","公",IF($D434="商铺","S",SUBSTITUTE($D434,"栋","")))&amp;"-"&amp;$E434&amp;"-"&amp;TEXT(MONTH($B434),"00")&amp;TEXT(DAY($B434),"00")&amp;IF(ISNUMBER($O434),IF($O434&gt;1,"-"&amp;TEXT($O434,"00"),""),"")))</f>
        <v/>
      </c>
      <c r="B434" s="14"/>
      <c r="C434" s="10"/>
      <c r="D434" s="10"/>
      <c r="E434" s="10"/>
      <c r="F434" s="16"/>
      <c r="G434" s="10"/>
      <c r="H434" s="10"/>
      <c r="I434" s="10"/>
      <c r="J434" s="10"/>
      <c r="K434" s="10"/>
      <c r="L434" s="10"/>
      <c r="M434" s="14"/>
      <c r="N434" s="17" t="str">
        <f aca="false">IF($B434="","",IF($L434="已完成",IF($M434="","",$M434-$B434),IF(设置!$B$6&lt;$B434,"",IF((设置!$B$6-$B434)&gt;=设置!$B$5,"超期"&amp;(设置!$B$6-$B434)&amp;"天","已等"&amp;(设置!$B$6-$B434)&amp;"天"))))</f>
        <v/>
      </c>
      <c r="O434" s="18" t="str">
        <f aca="false">IF(OR($D434="",$E434=""),"",COUNTIFS($D$7:$D434,$D434,$E$7:$E434,$E434))</f>
        <v/>
      </c>
      <c r="P434" s="16"/>
      <c r="Q434" s="19"/>
      <c r="R434" s="10"/>
      <c r="S434" s="16"/>
      <c r="T434" s="0" t="str">
        <f aca="false">IF(OR($D434="",单元查询!$B$3=""),"",IF($D434&lt;&gt;单元查询!$B$3,"",IF(OR(单元查询!$D$3="",$E434&amp;""=单元查询!$D$3&amp;""),IF(ISNUMBER($B434),$B434*10000,0)+ROW(),"")))</f>
        <v/>
      </c>
      <c r="U434" s="0" t="str">
        <f aca="false">IF(OR($B434="",$L434="已完成"),"",IF(ISNUMBER($B434),IF(设置!$B$6&lt;$B434,"",(设置!$B$6-$B434)*100000+ROW()),""))</f>
        <v/>
      </c>
      <c r="V434" s="0" t="str">
        <f aca="false">IF(ISNUMBER($O434),IF($O434&gt;=2,IF(COUNTIFS($D434:$D$2006,$D434,$E434:$E$2006,$E434)=1,ROW(),""),""),"")</f>
        <v/>
      </c>
    </row>
    <row r="435" customFormat="false" ht="15" hidden="false" customHeight="true" outlineLevel="0" collapsed="false">
      <c r="A435" s="13" t="str">
        <f aca="false">IF(AND($B435="",$D435="",$E435="",$F435=""),"",IF(OR($B435="",$D435="",$E435=""),"待补",IF($D435="公共区域","公",IF($D435="商铺","S",SUBSTITUTE($D435,"栋","")))&amp;"-"&amp;$E435&amp;"-"&amp;TEXT(MONTH($B435),"00")&amp;TEXT(DAY($B435),"00")&amp;IF(ISNUMBER($O435),IF($O435&gt;1,"-"&amp;TEXT($O435,"00"),""),"")))</f>
        <v/>
      </c>
      <c r="B435" s="14"/>
      <c r="C435" s="10"/>
      <c r="D435" s="10"/>
      <c r="E435" s="10"/>
      <c r="F435" s="16"/>
      <c r="G435" s="10"/>
      <c r="H435" s="10"/>
      <c r="I435" s="10"/>
      <c r="J435" s="10"/>
      <c r="K435" s="10"/>
      <c r="L435" s="10"/>
      <c r="M435" s="14"/>
      <c r="N435" s="17" t="str">
        <f aca="false">IF($B435="","",IF($L435="已完成",IF($M435="","",$M435-$B435),IF(设置!$B$6&lt;$B435,"",IF((设置!$B$6-$B435)&gt;=设置!$B$5,"超期"&amp;(设置!$B$6-$B435)&amp;"天","已等"&amp;(设置!$B$6-$B435)&amp;"天"))))</f>
        <v/>
      </c>
      <c r="O435" s="18" t="str">
        <f aca="false">IF(OR($D435="",$E435=""),"",COUNTIFS($D$7:$D435,$D435,$E$7:$E435,$E435))</f>
        <v/>
      </c>
      <c r="P435" s="16"/>
      <c r="Q435" s="19"/>
      <c r="R435" s="10"/>
      <c r="S435" s="16"/>
      <c r="T435" s="0" t="str">
        <f aca="false">IF(OR($D435="",单元查询!$B$3=""),"",IF($D435&lt;&gt;单元查询!$B$3,"",IF(OR(单元查询!$D$3="",$E435&amp;""=单元查询!$D$3&amp;""),IF(ISNUMBER($B435),$B435*10000,0)+ROW(),"")))</f>
        <v/>
      </c>
      <c r="U435" s="0" t="str">
        <f aca="false">IF(OR($B435="",$L435="已完成"),"",IF(ISNUMBER($B435),IF(设置!$B$6&lt;$B435,"",(设置!$B$6-$B435)*100000+ROW()),""))</f>
        <v/>
      </c>
      <c r="V435" s="0" t="str">
        <f aca="false">IF(ISNUMBER($O435),IF($O435&gt;=2,IF(COUNTIFS($D435:$D$2006,$D435,$E435:$E$2006,$E435)=1,ROW(),""),""),"")</f>
        <v/>
      </c>
    </row>
    <row r="436" customFormat="false" ht="15" hidden="false" customHeight="true" outlineLevel="0" collapsed="false">
      <c r="A436" s="13" t="str">
        <f aca="false">IF(AND($B436="",$D436="",$E436="",$F436=""),"",IF(OR($B436="",$D436="",$E436=""),"待补",IF($D436="公共区域","公",IF($D436="商铺","S",SUBSTITUTE($D436,"栋","")))&amp;"-"&amp;$E436&amp;"-"&amp;TEXT(MONTH($B436),"00")&amp;TEXT(DAY($B436),"00")&amp;IF(ISNUMBER($O436),IF($O436&gt;1,"-"&amp;TEXT($O436,"00"),""),"")))</f>
        <v/>
      </c>
      <c r="B436" s="14"/>
      <c r="C436" s="10"/>
      <c r="D436" s="10"/>
      <c r="E436" s="10"/>
      <c r="F436" s="16"/>
      <c r="G436" s="10"/>
      <c r="H436" s="10"/>
      <c r="I436" s="10"/>
      <c r="J436" s="10"/>
      <c r="K436" s="10"/>
      <c r="L436" s="10"/>
      <c r="M436" s="14"/>
      <c r="N436" s="17" t="str">
        <f aca="false">IF($B436="","",IF($L436="已完成",IF($M436="","",$M436-$B436),IF(设置!$B$6&lt;$B436,"",IF((设置!$B$6-$B436)&gt;=设置!$B$5,"超期"&amp;(设置!$B$6-$B436)&amp;"天","已等"&amp;(设置!$B$6-$B436)&amp;"天"))))</f>
        <v/>
      </c>
      <c r="O436" s="18" t="str">
        <f aca="false">IF(OR($D436="",$E436=""),"",COUNTIFS($D$7:$D436,$D436,$E$7:$E436,$E436))</f>
        <v/>
      </c>
      <c r="P436" s="16"/>
      <c r="Q436" s="19"/>
      <c r="R436" s="10"/>
      <c r="S436" s="16"/>
      <c r="T436" s="0" t="str">
        <f aca="false">IF(OR($D436="",单元查询!$B$3=""),"",IF($D436&lt;&gt;单元查询!$B$3,"",IF(OR(单元查询!$D$3="",$E436&amp;""=单元查询!$D$3&amp;""),IF(ISNUMBER($B436),$B436*10000,0)+ROW(),"")))</f>
        <v/>
      </c>
      <c r="U436" s="0" t="str">
        <f aca="false">IF(OR($B436="",$L436="已完成"),"",IF(ISNUMBER($B436),IF(设置!$B$6&lt;$B436,"",(设置!$B$6-$B436)*100000+ROW()),""))</f>
        <v/>
      </c>
      <c r="V436" s="0" t="str">
        <f aca="false">IF(ISNUMBER($O436),IF($O436&gt;=2,IF(COUNTIFS($D436:$D$2006,$D436,$E436:$E$2006,$E436)=1,ROW(),""),""),"")</f>
        <v/>
      </c>
    </row>
    <row r="437" customFormat="false" ht="15" hidden="false" customHeight="true" outlineLevel="0" collapsed="false">
      <c r="A437" s="13" t="str">
        <f aca="false">IF(AND($B437="",$D437="",$E437="",$F437=""),"",IF(OR($B437="",$D437="",$E437=""),"待补",IF($D437="公共区域","公",IF($D437="商铺","S",SUBSTITUTE($D437,"栋","")))&amp;"-"&amp;$E437&amp;"-"&amp;TEXT(MONTH($B437),"00")&amp;TEXT(DAY($B437),"00")&amp;IF(ISNUMBER($O437),IF($O437&gt;1,"-"&amp;TEXT($O437,"00"),""),"")))</f>
        <v/>
      </c>
      <c r="B437" s="14"/>
      <c r="C437" s="10"/>
      <c r="D437" s="10"/>
      <c r="E437" s="10"/>
      <c r="F437" s="16"/>
      <c r="G437" s="10"/>
      <c r="H437" s="10"/>
      <c r="I437" s="10"/>
      <c r="J437" s="10"/>
      <c r="K437" s="10"/>
      <c r="L437" s="10"/>
      <c r="M437" s="14"/>
      <c r="N437" s="17" t="str">
        <f aca="false">IF($B437="","",IF($L437="已完成",IF($M437="","",$M437-$B437),IF(设置!$B$6&lt;$B437,"",IF((设置!$B$6-$B437)&gt;=设置!$B$5,"超期"&amp;(设置!$B$6-$B437)&amp;"天","已等"&amp;(设置!$B$6-$B437)&amp;"天"))))</f>
        <v/>
      </c>
      <c r="O437" s="18" t="str">
        <f aca="false">IF(OR($D437="",$E437=""),"",COUNTIFS($D$7:$D437,$D437,$E$7:$E437,$E437))</f>
        <v/>
      </c>
      <c r="P437" s="16"/>
      <c r="Q437" s="19"/>
      <c r="R437" s="10"/>
      <c r="S437" s="16"/>
      <c r="T437" s="0" t="str">
        <f aca="false">IF(OR($D437="",单元查询!$B$3=""),"",IF($D437&lt;&gt;单元查询!$B$3,"",IF(OR(单元查询!$D$3="",$E437&amp;""=单元查询!$D$3&amp;""),IF(ISNUMBER($B437),$B437*10000,0)+ROW(),"")))</f>
        <v/>
      </c>
      <c r="U437" s="0" t="str">
        <f aca="false">IF(OR($B437="",$L437="已完成"),"",IF(ISNUMBER($B437),IF(设置!$B$6&lt;$B437,"",(设置!$B$6-$B437)*100000+ROW()),""))</f>
        <v/>
      </c>
      <c r="V437" s="0" t="str">
        <f aca="false">IF(ISNUMBER($O437),IF($O437&gt;=2,IF(COUNTIFS($D437:$D$2006,$D437,$E437:$E$2006,$E437)=1,ROW(),""),""),"")</f>
        <v/>
      </c>
    </row>
    <row r="438" customFormat="false" ht="15" hidden="false" customHeight="true" outlineLevel="0" collapsed="false">
      <c r="A438" s="13" t="str">
        <f aca="false">IF(AND($B438="",$D438="",$E438="",$F438=""),"",IF(OR($B438="",$D438="",$E438=""),"待补",IF($D438="公共区域","公",IF($D438="商铺","S",SUBSTITUTE($D438,"栋","")))&amp;"-"&amp;$E438&amp;"-"&amp;TEXT(MONTH($B438),"00")&amp;TEXT(DAY($B438),"00")&amp;IF(ISNUMBER($O438),IF($O438&gt;1,"-"&amp;TEXT($O438,"00"),""),"")))</f>
        <v/>
      </c>
      <c r="B438" s="14"/>
      <c r="C438" s="10"/>
      <c r="D438" s="10"/>
      <c r="E438" s="10"/>
      <c r="F438" s="16"/>
      <c r="G438" s="10"/>
      <c r="H438" s="10"/>
      <c r="I438" s="10"/>
      <c r="J438" s="10"/>
      <c r="K438" s="10"/>
      <c r="L438" s="10"/>
      <c r="M438" s="14"/>
      <c r="N438" s="17" t="str">
        <f aca="false">IF($B438="","",IF($L438="已完成",IF($M438="","",$M438-$B438),IF(设置!$B$6&lt;$B438,"",IF((设置!$B$6-$B438)&gt;=设置!$B$5,"超期"&amp;(设置!$B$6-$B438)&amp;"天","已等"&amp;(设置!$B$6-$B438)&amp;"天"))))</f>
        <v/>
      </c>
      <c r="O438" s="18" t="str">
        <f aca="false">IF(OR($D438="",$E438=""),"",COUNTIFS($D$7:$D438,$D438,$E$7:$E438,$E438))</f>
        <v/>
      </c>
      <c r="P438" s="16"/>
      <c r="Q438" s="19"/>
      <c r="R438" s="10"/>
      <c r="S438" s="16"/>
      <c r="T438" s="0" t="str">
        <f aca="false">IF(OR($D438="",单元查询!$B$3=""),"",IF($D438&lt;&gt;单元查询!$B$3,"",IF(OR(单元查询!$D$3="",$E438&amp;""=单元查询!$D$3&amp;""),IF(ISNUMBER($B438),$B438*10000,0)+ROW(),"")))</f>
        <v/>
      </c>
      <c r="U438" s="0" t="str">
        <f aca="false">IF(OR($B438="",$L438="已完成"),"",IF(ISNUMBER($B438),IF(设置!$B$6&lt;$B438,"",(设置!$B$6-$B438)*100000+ROW()),""))</f>
        <v/>
      </c>
      <c r="V438" s="0" t="str">
        <f aca="false">IF(ISNUMBER($O438),IF($O438&gt;=2,IF(COUNTIFS($D438:$D$2006,$D438,$E438:$E$2006,$E438)=1,ROW(),""),""),"")</f>
        <v/>
      </c>
    </row>
    <row r="439" customFormat="false" ht="15" hidden="false" customHeight="true" outlineLevel="0" collapsed="false">
      <c r="A439" s="13" t="str">
        <f aca="false">IF(AND($B439="",$D439="",$E439="",$F439=""),"",IF(OR($B439="",$D439="",$E439=""),"待补",IF($D439="公共区域","公",IF($D439="商铺","S",SUBSTITUTE($D439,"栋","")))&amp;"-"&amp;$E439&amp;"-"&amp;TEXT(MONTH($B439),"00")&amp;TEXT(DAY($B439),"00")&amp;IF(ISNUMBER($O439),IF($O439&gt;1,"-"&amp;TEXT($O439,"00"),""),"")))</f>
        <v/>
      </c>
      <c r="B439" s="14"/>
      <c r="C439" s="10"/>
      <c r="D439" s="10"/>
      <c r="E439" s="10"/>
      <c r="F439" s="16"/>
      <c r="G439" s="10"/>
      <c r="H439" s="10"/>
      <c r="I439" s="10"/>
      <c r="J439" s="10"/>
      <c r="K439" s="10"/>
      <c r="L439" s="10"/>
      <c r="M439" s="14"/>
      <c r="N439" s="17" t="str">
        <f aca="false">IF($B439="","",IF($L439="已完成",IF($M439="","",$M439-$B439),IF(设置!$B$6&lt;$B439,"",IF((设置!$B$6-$B439)&gt;=设置!$B$5,"超期"&amp;(设置!$B$6-$B439)&amp;"天","已等"&amp;(设置!$B$6-$B439)&amp;"天"))))</f>
        <v/>
      </c>
      <c r="O439" s="18" t="str">
        <f aca="false">IF(OR($D439="",$E439=""),"",COUNTIFS($D$7:$D439,$D439,$E$7:$E439,$E439))</f>
        <v/>
      </c>
      <c r="P439" s="16"/>
      <c r="Q439" s="19"/>
      <c r="R439" s="10"/>
      <c r="S439" s="16"/>
      <c r="T439" s="0" t="str">
        <f aca="false">IF(OR($D439="",单元查询!$B$3=""),"",IF($D439&lt;&gt;单元查询!$B$3,"",IF(OR(单元查询!$D$3="",$E439&amp;""=单元查询!$D$3&amp;""),IF(ISNUMBER($B439),$B439*10000,0)+ROW(),"")))</f>
        <v/>
      </c>
      <c r="U439" s="0" t="str">
        <f aca="false">IF(OR($B439="",$L439="已完成"),"",IF(ISNUMBER($B439),IF(设置!$B$6&lt;$B439,"",(设置!$B$6-$B439)*100000+ROW()),""))</f>
        <v/>
      </c>
      <c r="V439" s="0" t="str">
        <f aca="false">IF(ISNUMBER($O439),IF($O439&gt;=2,IF(COUNTIFS($D439:$D$2006,$D439,$E439:$E$2006,$E439)=1,ROW(),""),""),"")</f>
        <v/>
      </c>
    </row>
    <row r="440" customFormat="false" ht="15" hidden="false" customHeight="true" outlineLevel="0" collapsed="false">
      <c r="A440" s="13" t="str">
        <f aca="false">IF(AND($B440="",$D440="",$E440="",$F440=""),"",IF(OR($B440="",$D440="",$E440=""),"待补",IF($D440="公共区域","公",IF($D440="商铺","S",SUBSTITUTE($D440,"栋","")))&amp;"-"&amp;$E440&amp;"-"&amp;TEXT(MONTH($B440),"00")&amp;TEXT(DAY($B440),"00")&amp;IF(ISNUMBER($O440),IF($O440&gt;1,"-"&amp;TEXT($O440,"00"),""),"")))</f>
        <v/>
      </c>
      <c r="B440" s="14"/>
      <c r="C440" s="10"/>
      <c r="D440" s="10"/>
      <c r="E440" s="10"/>
      <c r="F440" s="16"/>
      <c r="G440" s="10"/>
      <c r="H440" s="10"/>
      <c r="I440" s="10"/>
      <c r="J440" s="10"/>
      <c r="K440" s="10"/>
      <c r="L440" s="10"/>
      <c r="M440" s="14"/>
      <c r="N440" s="17" t="str">
        <f aca="false">IF($B440="","",IF($L440="已完成",IF($M440="","",$M440-$B440),IF(设置!$B$6&lt;$B440,"",IF((设置!$B$6-$B440)&gt;=设置!$B$5,"超期"&amp;(设置!$B$6-$B440)&amp;"天","已等"&amp;(设置!$B$6-$B440)&amp;"天"))))</f>
        <v/>
      </c>
      <c r="O440" s="18" t="str">
        <f aca="false">IF(OR($D440="",$E440=""),"",COUNTIFS($D$7:$D440,$D440,$E$7:$E440,$E440))</f>
        <v/>
      </c>
      <c r="P440" s="16"/>
      <c r="Q440" s="19"/>
      <c r="R440" s="10"/>
      <c r="S440" s="16"/>
      <c r="T440" s="0" t="str">
        <f aca="false">IF(OR($D440="",单元查询!$B$3=""),"",IF($D440&lt;&gt;单元查询!$B$3,"",IF(OR(单元查询!$D$3="",$E440&amp;""=单元查询!$D$3&amp;""),IF(ISNUMBER($B440),$B440*10000,0)+ROW(),"")))</f>
        <v/>
      </c>
      <c r="U440" s="0" t="str">
        <f aca="false">IF(OR($B440="",$L440="已完成"),"",IF(ISNUMBER($B440),IF(设置!$B$6&lt;$B440,"",(设置!$B$6-$B440)*100000+ROW()),""))</f>
        <v/>
      </c>
      <c r="V440" s="0" t="str">
        <f aca="false">IF(ISNUMBER($O440),IF($O440&gt;=2,IF(COUNTIFS($D440:$D$2006,$D440,$E440:$E$2006,$E440)=1,ROW(),""),""),"")</f>
        <v/>
      </c>
    </row>
    <row r="441" customFormat="false" ht="15" hidden="false" customHeight="true" outlineLevel="0" collapsed="false">
      <c r="A441" s="13" t="str">
        <f aca="false">IF(AND($B441="",$D441="",$E441="",$F441=""),"",IF(OR($B441="",$D441="",$E441=""),"待补",IF($D441="公共区域","公",IF($D441="商铺","S",SUBSTITUTE($D441,"栋","")))&amp;"-"&amp;$E441&amp;"-"&amp;TEXT(MONTH($B441),"00")&amp;TEXT(DAY($B441),"00")&amp;IF(ISNUMBER($O441),IF($O441&gt;1,"-"&amp;TEXT($O441,"00"),""),"")))</f>
        <v/>
      </c>
      <c r="B441" s="14"/>
      <c r="C441" s="10"/>
      <c r="D441" s="10"/>
      <c r="E441" s="10"/>
      <c r="F441" s="16"/>
      <c r="G441" s="10"/>
      <c r="H441" s="10"/>
      <c r="I441" s="10"/>
      <c r="J441" s="10"/>
      <c r="K441" s="10"/>
      <c r="L441" s="10"/>
      <c r="M441" s="14"/>
      <c r="N441" s="17" t="str">
        <f aca="false">IF($B441="","",IF($L441="已完成",IF($M441="","",$M441-$B441),IF(设置!$B$6&lt;$B441,"",IF((设置!$B$6-$B441)&gt;=设置!$B$5,"超期"&amp;(设置!$B$6-$B441)&amp;"天","已等"&amp;(设置!$B$6-$B441)&amp;"天"))))</f>
        <v/>
      </c>
      <c r="O441" s="18" t="str">
        <f aca="false">IF(OR($D441="",$E441=""),"",COUNTIFS($D$7:$D441,$D441,$E$7:$E441,$E441))</f>
        <v/>
      </c>
      <c r="P441" s="16"/>
      <c r="Q441" s="19"/>
      <c r="R441" s="10"/>
      <c r="S441" s="16"/>
      <c r="T441" s="0" t="str">
        <f aca="false">IF(OR($D441="",单元查询!$B$3=""),"",IF($D441&lt;&gt;单元查询!$B$3,"",IF(OR(单元查询!$D$3="",$E441&amp;""=单元查询!$D$3&amp;""),IF(ISNUMBER($B441),$B441*10000,0)+ROW(),"")))</f>
        <v/>
      </c>
      <c r="U441" s="0" t="str">
        <f aca="false">IF(OR($B441="",$L441="已完成"),"",IF(ISNUMBER($B441),IF(设置!$B$6&lt;$B441,"",(设置!$B$6-$B441)*100000+ROW()),""))</f>
        <v/>
      </c>
      <c r="V441" s="0" t="str">
        <f aca="false">IF(ISNUMBER($O441),IF($O441&gt;=2,IF(COUNTIFS($D441:$D$2006,$D441,$E441:$E$2006,$E441)=1,ROW(),""),""),"")</f>
        <v/>
      </c>
    </row>
    <row r="442" customFormat="false" ht="15" hidden="false" customHeight="true" outlineLevel="0" collapsed="false">
      <c r="A442" s="13" t="str">
        <f aca="false">IF(AND($B442="",$D442="",$E442="",$F442=""),"",IF(OR($B442="",$D442="",$E442=""),"待补",IF($D442="公共区域","公",IF($D442="商铺","S",SUBSTITUTE($D442,"栋","")))&amp;"-"&amp;$E442&amp;"-"&amp;TEXT(MONTH($B442),"00")&amp;TEXT(DAY($B442),"00")&amp;IF(ISNUMBER($O442),IF($O442&gt;1,"-"&amp;TEXT($O442,"00"),""),"")))</f>
        <v/>
      </c>
      <c r="B442" s="14"/>
      <c r="C442" s="10"/>
      <c r="D442" s="10"/>
      <c r="E442" s="10"/>
      <c r="F442" s="16"/>
      <c r="G442" s="10"/>
      <c r="H442" s="10"/>
      <c r="I442" s="10"/>
      <c r="J442" s="10"/>
      <c r="K442" s="10"/>
      <c r="L442" s="10"/>
      <c r="M442" s="14"/>
      <c r="N442" s="17" t="str">
        <f aca="false">IF($B442="","",IF($L442="已完成",IF($M442="","",$M442-$B442),IF(设置!$B$6&lt;$B442,"",IF((设置!$B$6-$B442)&gt;=设置!$B$5,"超期"&amp;(设置!$B$6-$B442)&amp;"天","已等"&amp;(设置!$B$6-$B442)&amp;"天"))))</f>
        <v/>
      </c>
      <c r="O442" s="18" t="str">
        <f aca="false">IF(OR($D442="",$E442=""),"",COUNTIFS($D$7:$D442,$D442,$E$7:$E442,$E442))</f>
        <v/>
      </c>
      <c r="P442" s="16"/>
      <c r="Q442" s="19"/>
      <c r="R442" s="10"/>
      <c r="S442" s="16"/>
      <c r="T442" s="0" t="str">
        <f aca="false">IF(OR($D442="",单元查询!$B$3=""),"",IF($D442&lt;&gt;单元查询!$B$3,"",IF(OR(单元查询!$D$3="",$E442&amp;""=单元查询!$D$3&amp;""),IF(ISNUMBER($B442),$B442*10000,0)+ROW(),"")))</f>
        <v/>
      </c>
      <c r="U442" s="0" t="str">
        <f aca="false">IF(OR($B442="",$L442="已完成"),"",IF(ISNUMBER($B442),IF(设置!$B$6&lt;$B442,"",(设置!$B$6-$B442)*100000+ROW()),""))</f>
        <v/>
      </c>
      <c r="V442" s="0" t="str">
        <f aca="false">IF(ISNUMBER($O442),IF($O442&gt;=2,IF(COUNTIFS($D442:$D$2006,$D442,$E442:$E$2006,$E442)=1,ROW(),""),""),"")</f>
        <v/>
      </c>
    </row>
    <row r="443" customFormat="false" ht="15" hidden="false" customHeight="true" outlineLevel="0" collapsed="false">
      <c r="A443" s="13" t="str">
        <f aca="false">IF(AND($B443="",$D443="",$E443="",$F443=""),"",IF(OR($B443="",$D443="",$E443=""),"待补",IF($D443="公共区域","公",IF($D443="商铺","S",SUBSTITUTE($D443,"栋","")))&amp;"-"&amp;$E443&amp;"-"&amp;TEXT(MONTH($B443),"00")&amp;TEXT(DAY($B443),"00")&amp;IF(ISNUMBER($O443),IF($O443&gt;1,"-"&amp;TEXT($O443,"00"),""),"")))</f>
        <v/>
      </c>
      <c r="B443" s="14"/>
      <c r="C443" s="10"/>
      <c r="D443" s="10"/>
      <c r="E443" s="10"/>
      <c r="F443" s="16"/>
      <c r="G443" s="10"/>
      <c r="H443" s="10"/>
      <c r="I443" s="10"/>
      <c r="J443" s="10"/>
      <c r="K443" s="10"/>
      <c r="L443" s="10"/>
      <c r="M443" s="14"/>
      <c r="N443" s="17" t="str">
        <f aca="false">IF($B443="","",IF($L443="已完成",IF($M443="","",$M443-$B443),IF(设置!$B$6&lt;$B443,"",IF((设置!$B$6-$B443)&gt;=设置!$B$5,"超期"&amp;(设置!$B$6-$B443)&amp;"天","已等"&amp;(设置!$B$6-$B443)&amp;"天"))))</f>
        <v/>
      </c>
      <c r="O443" s="18" t="str">
        <f aca="false">IF(OR($D443="",$E443=""),"",COUNTIFS($D$7:$D443,$D443,$E$7:$E443,$E443))</f>
        <v/>
      </c>
      <c r="P443" s="16"/>
      <c r="Q443" s="19"/>
      <c r="R443" s="10"/>
      <c r="S443" s="16"/>
      <c r="T443" s="0" t="str">
        <f aca="false">IF(OR($D443="",单元查询!$B$3=""),"",IF($D443&lt;&gt;单元查询!$B$3,"",IF(OR(单元查询!$D$3="",$E443&amp;""=单元查询!$D$3&amp;""),IF(ISNUMBER($B443),$B443*10000,0)+ROW(),"")))</f>
        <v/>
      </c>
      <c r="U443" s="0" t="str">
        <f aca="false">IF(OR($B443="",$L443="已完成"),"",IF(ISNUMBER($B443),IF(设置!$B$6&lt;$B443,"",(设置!$B$6-$B443)*100000+ROW()),""))</f>
        <v/>
      </c>
      <c r="V443" s="0" t="str">
        <f aca="false">IF(ISNUMBER($O443),IF($O443&gt;=2,IF(COUNTIFS($D443:$D$2006,$D443,$E443:$E$2006,$E443)=1,ROW(),""),""),"")</f>
        <v/>
      </c>
    </row>
    <row r="444" customFormat="false" ht="15" hidden="false" customHeight="true" outlineLevel="0" collapsed="false">
      <c r="A444" s="13" t="str">
        <f aca="false">IF(AND($B444="",$D444="",$E444="",$F444=""),"",IF(OR($B444="",$D444="",$E444=""),"待补",IF($D444="公共区域","公",IF($D444="商铺","S",SUBSTITUTE($D444,"栋","")))&amp;"-"&amp;$E444&amp;"-"&amp;TEXT(MONTH($B444),"00")&amp;TEXT(DAY($B444),"00")&amp;IF(ISNUMBER($O444),IF($O444&gt;1,"-"&amp;TEXT($O444,"00"),""),"")))</f>
        <v/>
      </c>
      <c r="B444" s="14"/>
      <c r="C444" s="10"/>
      <c r="D444" s="10"/>
      <c r="E444" s="10"/>
      <c r="F444" s="16"/>
      <c r="G444" s="10"/>
      <c r="H444" s="10"/>
      <c r="I444" s="10"/>
      <c r="J444" s="10"/>
      <c r="K444" s="10"/>
      <c r="L444" s="10"/>
      <c r="M444" s="14"/>
      <c r="N444" s="17" t="str">
        <f aca="false">IF($B444="","",IF($L444="已完成",IF($M444="","",$M444-$B444),IF(设置!$B$6&lt;$B444,"",IF((设置!$B$6-$B444)&gt;=设置!$B$5,"超期"&amp;(设置!$B$6-$B444)&amp;"天","已等"&amp;(设置!$B$6-$B444)&amp;"天"))))</f>
        <v/>
      </c>
      <c r="O444" s="18" t="str">
        <f aca="false">IF(OR($D444="",$E444=""),"",COUNTIFS($D$7:$D444,$D444,$E$7:$E444,$E444))</f>
        <v/>
      </c>
      <c r="P444" s="16"/>
      <c r="Q444" s="19"/>
      <c r="R444" s="10"/>
      <c r="S444" s="16"/>
      <c r="T444" s="0" t="str">
        <f aca="false">IF(OR($D444="",单元查询!$B$3=""),"",IF($D444&lt;&gt;单元查询!$B$3,"",IF(OR(单元查询!$D$3="",$E444&amp;""=单元查询!$D$3&amp;""),IF(ISNUMBER($B444),$B444*10000,0)+ROW(),"")))</f>
        <v/>
      </c>
      <c r="U444" s="0" t="str">
        <f aca="false">IF(OR($B444="",$L444="已完成"),"",IF(ISNUMBER($B444),IF(设置!$B$6&lt;$B444,"",(设置!$B$6-$B444)*100000+ROW()),""))</f>
        <v/>
      </c>
      <c r="V444" s="0" t="str">
        <f aca="false">IF(ISNUMBER($O444),IF($O444&gt;=2,IF(COUNTIFS($D444:$D$2006,$D444,$E444:$E$2006,$E444)=1,ROW(),""),""),"")</f>
        <v/>
      </c>
    </row>
    <row r="445" customFormat="false" ht="15" hidden="false" customHeight="true" outlineLevel="0" collapsed="false">
      <c r="A445" s="13" t="str">
        <f aca="false">IF(AND($B445="",$D445="",$E445="",$F445=""),"",IF(OR($B445="",$D445="",$E445=""),"待补",IF($D445="公共区域","公",IF($D445="商铺","S",SUBSTITUTE($D445,"栋","")))&amp;"-"&amp;$E445&amp;"-"&amp;TEXT(MONTH($B445),"00")&amp;TEXT(DAY($B445),"00")&amp;IF(ISNUMBER($O445),IF($O445&gt;1,"-"&amp;TEXT($O445,"00"),""),"")))</f>
        <v/>
      </c>
      <c r="B445" s="14"/>
      <c r="C445" s="10"/>
      <c r="D445" s="10"/>
      <c r="E445" s="10"/>
      <c r="F445" s="16"/>
      <c r="G445" s="10"/>
      <c r="H445" s="10"/>
      <c r="I445" s="10"/>
      <c r="J445" s="10"/>
      <c r="K445" s="10"/>
      <c r="L445" s="10"/>
      <c r="M445" s="14"/>
      <c r="N445" s="17" t="str">
        <f aca="false">IF($B445="","",IF($L445="已完成",IF($M445="","",$M445-$B445),IF(设置!$B$6&lt;$B445,"",IF((设置!$B$6-$B445)&gt;=设置!$B$5,"超期"&amp;(设置!$B$6-$B445)&amp;"天","已等"&amp;(设置!$B$6-$B445)&amp;"天"))))</f>
        <v/>
      </c>
      <c r="O445" s="18" t="str">
        <f aca="false">IF(OR($D445="",$E445=""),"",COUNTIFS($D$7:$D445,$D445,$E$7:$E445,$E445))</f>
        <v/>
      </c>
      <c r="P445" s="16"/>
      <c r="Q445" s="19"/>
      <c r="R445" s="10"/>
      <c r="S445" s="16"/>
      <c r="T445" s="0" t="str">
        <f aca="false">IF(OR($D445="",单元查询!$B$3=""),"",IF($D445&lt;&gt;单元查询!$B$3,"",IF(OR(单元查询!$D$3="",$E445&amp;""=单元查询!$D$3&amp;""),IF(ISNUMBER($B445),$B445*10000,0)+ROW(),"")))</f>
        <v/>
      </c>
      <c r="U445" s="0" t="str">
        <f aca="false">IF(OR($B445="",$L445="已完成"),"",IF(ISNUMBER($B445),IF(设置!$B$6&lt;$B445,"",(设置!$B$6-$B445)*100000+ROW()),""))</f>
        <v/>
      </c>
      <c r="V445" s="0" t="str">
        <f aca="false">IF(ISNUMBER($O445),IF($O445&gt;=2,IF(COUNTIFS($D445:$D$2006,$D445,$E445:$E$2006,$E445)=1,ROW(),""),""),"")</f>
        <v/>
      </c>
    </row>
    <row r="446" customFormat="false" ht="15" hidden="false" customHeight="true" outlineLevel="0" collapsed="false">
      <c r="A446" s="13" t="str">
        <f aca="false">IF(AND($B446="",$D446="",$E446="",$F446=""),"",IF(OR($B446="",$D446="",$E446=""),"待补",IF($D446="公共区域","公",IF($D446="商铺","S",SUBSTITUTE($D446,"栋","")))&amp;"-"&amp;$E446&amp;"-"&amp;TEXT(MONTH($B446),"00")&amp;TEXT(DAY($B446),"00")&amp;IF(ISNUMBER($O446),IF($O446&gt;1,"-"&amp;TEXT($O446,"00"),""),"")))</f>
        <v/>
      </c>
      <c r="B446" s="14"/>
      <c r="C446" s="10"/>
      <c r="D446" s="10"/>
      <c r="E446" s="10"/>
      <c r="F446" s="16"/>
      <c r="G446" s="10"/>
      <c r="H446" s="10"/>
      <c r="I446" s="10"/>
      <c r="J446" s="10"/>
      <c r="K446" s="10"/>
      <c r="L446" s="10"/>
      <c r="M446" s="14"/>
      <c r="N446" s="17" t="str">
        <f aca="false">IF($B446="","",IF($L446="已完成",IF($M446="","",$M446-$B446),IF(设置!$B$6&lt;$B446,"",IF((设置!$B$6-$B446)&gt;=设置!$B$5,"超期"&amp;(设置!$B$6-$B446)&amp;"天","已等"&amp;(设置!$B$6-$B446)&amp;"天"))))</f>
        <v/>
      </c>
      <c r="O446" s="18" t="str">
        <f aca="false">IF(OR($D446="",$E446=""),"",COUNTIFS($D$7:$D446,$D446,$E$7:$E446,$E446))</f>
        <v/>
      </c>
      <c r="P446" s="16"/>
      <c r="Q446" s="19"/>
      <c r="R446" s="10"/>
      <c r="S446" s="16"/>
      <c r="T446" s="0" t="str">
        <f aca="false">IF(OR($D446="",单元查询!$B$3=""),"",IF($D446&lt;&gt;单元查询!$B$3,"",IF(OR(单元查询!$D$3="",$E446&amp;""=单元查询!$D$3&amp;""),IF(ISNUMBER($B446),$B446*10000,0)+ROW(),"")))</f>
        <v/>
      </c>
      <c r="U446" s="0" t="str">
        <f aca="false">IF(OR($B446="",$L446="已完成"),"",IF(ISNUMBER($B446),IF(设置!$B$6&lt;$B446,"",(设置!$B$6-$B446)*100000+ROW()),""))</f>
        <v/>
      </c>
      <c r="V446" s="0" t="str">
        <f aca="false">IF(ISNUMBER($O446),IF($O446&gt;=2,IF(COUNTIFS($D446:$D$2006,$D446,$E446:$E$2006,$E446)=1,ROW(),""),""),"")</f>
        <v/>
      </c>
    </row>
    <row r="447" customFormat="false" ht="15" hidden="false" customHeight="true" outlineLevel="0" collapsed="false">
      <c r="A447" s="13" t="str">
        <f aca="false">IF(AND($B447="",$D447="",$E447="",$F447=""),"",IF(OR($B447="",$D447="",$E447=""),"待补",IF($D447="公共区域","公",IF($D447="商铺","S",SUBSTITUTE($D447,"栋","")))&amp;"-"&amp;$E447&amp;"-"&amp;TEXT(MONTH($B447),"00")&amp;TEXT(DAY($B447),"00")&amp;IF(ISNUMBER($O447),IF($O447&gt;1,"-"&amp;TEXT($O447,"00"),""),"")))</f>
        <v/>
      </c>
      <c r="B447" s="14"/>
      <c r="C447" s="10"/>
      <c r="D447" s="10"/>
      <c r="E447" s="10"/>
      <c r="F447" s="16"/>
      <c r="G447" s="10"/>
      <c r="H447" s="10"/>
      <c r="I447" s="10"/>
      <c r="J447" s="10"/>
      <c r="K447" s="10"/>
      <c r="L447" s="10"/>
      <c r="M447" s="14"/>
      <c r="N447" s="17" t="str">
        <f aca="false">IF($B447="","",IF($L447="已完成",IF($M447="","",$M447-$B447),IF(设置!$B$6&lt;$B447,"",IF((设置!$B$6-$B447)&gt;=设置!$B$5,"超期"&amp;(设置!$B$6-$B447)&amp;"天","已等"&amp;(设置!$B$6-$B447)&amp;"天"))))</f>
        <v/>
      </c>
      <c r="O447" s="18" t="str">
        <f aca="false">IF(OR($D447="",$E447=""),"",COUNTIFS($D$7:$D447,$D447,$E$7:$E447,$E447))</f>
        <v/>
      </c>
      <c r="P447" s="16"/>
      <c r="Q447" s="19"/>
      <c r="R447" s="10"/>
      <c r="S447" s="16"/>
      <c r="T447" s="0" t="str">
        <f aca="false">IF(OR($D447="",单元查询!$B$3=""),"",IF($D447&lt;&gt;单元查询!$B$3,"",IF(OR(单元查询!$D$3="",$E447&amp;""=单元查询!$D$3&amp;""),IF(ISNUMBER($B447),$B447*10000,0)+ROW(),"")))</f>
        <v/>
      </c>
      <c r="U447" s="0" t="str">
        <f aca="false">IF(OR($B447="",$L447="已完成"),"",IF(ISNUMBER($B447),IF(设置!$B$6&lt;$B447,"",(设置!$B$6-$B447)*100000+ROW()),""))</f>
        <v/>
      </c>
      <c r="V447" s="0" t="str">
        <f aca="false">IF(ISNUMBER($O447),IF($O447&gt;=2,IF(COUNTIFS($D447:$D$2006,$D447,$E447:$E$2006,$E447)=1,ROW(),""),""),"")</f>
        <v/>
      </c>
    </row>
    <row r="448" customFormat="false" ht="15" hidden="false" customHeight="true" outlineLevel="0" collapsed="false">
      <c r="A448" s="13" t="str">
        <f aca="false">IF(AND($B448="",$D448="",$E448="",$F448=""),"",IF(OR($B448="",$D448="",$E448=""),"待补",IF($D448="公共区域","公",IF($D448="商铺","S",SUBSTITUTE($D448,"栋","")))&amp;"-"&amp;$E448&amp;"-"&amp;TEXT(MONTH($B448),"00")&amp;TEXT(DAY($B448),"00")&amp;IF(ISNUMBER($O448),IF($O448&gt;1,"-"&amp;TEXT($O448,"00"),""),"")))</f>
        <v/>
      </c>
      <c r="B448" s="14"/>
      <c r="C448" s="10"/>
      <c r="D448" s="10"/>
      <c r="E448" s="10"/>
      <c r="F448" s="16"/>
      <c r="G448" s="10"/>
      <c r="H448" s="10"/>
      <c r="I448" s="10"/>
      <c r="J448" s="10"/>
      <c r="K448" s="10"/>
      <c r="L448" s="10"/>
      <c r="M448" s="14"/>
      <c r="N448" s="17" t="str">
        <f aca="false">IF($B448="","",IF($L448="已完成",IF($M448="","",$M448-$B448),IF(设置!$B$6&lt;$B448,"",IF((设置!$B$6-$B448)&gt;=设置!$B$5,"超期"&amp;(设置!$B$6-$B448)&amp;"天","已等"&amp;(设置!$B$6-$B448)&amp;"天"))))</f>
        <v/>
      </c>
      <c r="O448" s="18" t="str">
        <f aca="false">IF(OR($D448="",$E448=""),"",COUNTIFS($D$7:$D448,$D448,$E$7:$E448,$E448))</f>
        <v/>
      </c>
      <c r="P448" s="16"/>
      <c r="Q448" s="19"/>
      <c r="R448" s="10"/>
      <c r="S448" s="16"/>
      <c r="T448" s="0" t="str">
        <f aca="false">IF(OR($D448="",单元查询!$B$3=""),"",IF($D448&lt;&gt;单元查询!$B$3,"",IF(OR(单元查询!$D$3="",$E448&amp;""=单元查询!$D$3&amp;""),IF(ISNUMBER($B448),$B448*10000,0)+ROW(),"")))</f>
        <v/>
      </c>
      <c r="U448" s="0" t="str">
        <f aca="false">IF(OR($B448="",$L448="已完成"),"",IF(ISNUMBER($B448),IF(设置!$B$6&lt;$B448,"",(设置!$B$6-$B448)*100000+ROW()),""))</f>
        <v/>
      </c>
      <c r="V448" s="0" t="str">
        <f aca="false">IF(ISNUMBER($O448),IF($O448&gt;=2,IF(COUNTIFS($D448:$D$2006,$D448,$E448:$E$2006,$E448)=1,ROW(),""),""),"")</f>
        <v/>
      </c>
    </row>
    <row r="449" customFormat="false" ht="15" hidden="false" customHeight="true" outlineLevel="0" collapsed="false">
      <c r="A449" s="13" t="str">
        <f aca="false">IF(AND($B449="",$D449="",$E449="",$F449=""),"",IF(OR($B449="",$D449="",$E449=""),"待补",IF($D449="公共区域","公",IF($D449="商铺","S",SUBSTITUTE($D449,"栋","")))&amp;"-"&amp;$E449&amp;"-"&amp;TEXT(MONTH($B449),"00")&amp;TEXT(DAY($B449),"00")&amp;IF(ISNUMBER($O449),IF($O449&gt;1,"-"&amp;TEXT($O449,"00"),""),"")))</f>
        <v/>
      </c>
      <c r="B449" s="14"/>
      <c r="C449" s="10"/>
      <c r="D449" s="10"/>
      <c r="E449" s="10"/>
      <c r="F449" s="16"/>
      <c r="G449" s="10"/>
      <c r="H449" s="10"/>
      <c r="I449" s="10"/>
      <c r="J449" s="10"/>
      <c r="K449" s="10"/>
      <c r="L449" s="10"/>
      <c r="M449" s="14"/>
      <c r="N449" s="17" t="str">
        <f aca="false">IF($B449="","",IF($L449="已完成",IF($M449="","",$M449-$B449),IF(设置!$B$6&lt;$B449,"",IF((设置!$B$6-$B449)&gt;=设置!$B$5,"超期"&amp;(设置!$B$6-$B449)&amp;"天","已等"&amp;(设置!$B$6-$B449)&amp;"天"))))</f>
        <v/>
      </c>
      <c r="O449" s="18" t="str">
        <f aca="false">IF(OR($D449="",$E449=""),"",COUNTIFS($D$7:$D449,$D449,$E$7:$E449,$E449))</f>
        <v/>
      </c>
      <c r="P449" s="16"/>
      <c r="Q449" s="19"/>
      <c r="R449" s="10"/>
      <c r="S449" s="16"/>
      <c r="T449" s="0" t="str">
        <f aca="false">IF(OR($D449="",单元查询!$B$3=""),"",IF($D449&lt;&gt;单元查询!$B$3,"",IF(OR(单元查询!$D$3="",$E449&amp;""=单元查询!$D$3&amp;""),IF(ISNUMBER($B449),$B449*10000,0)+ROW(),"")))</f>
        <v/>
      </c>
      <c r="U449" s="0" t="str">
        <f aca="false">IF(OR($B449="",$L449="已完成"),"",IF(ISNUMBER($B449),IF(设置!$B$6&lt;$B449,"",(设置!$B$6-$B449)*100000+ROW()),""))</f>
        <v/>
      </c>
      <c r="V449" s="0" t="str">
        <f aca="false">IF(ISNUMBER($O449),IF($O449&gt;=2,IF(COUNTIFS($D449:$D$2006,$D449,$E449:$E$2006,$E449)=1,ROW(),""),""),"")</f>
        <v/>
      </c>
    </row>
    <row r="450" customFormat="false" ht="15" hidden="false" customHeight="true" outlineLevel="0" collapsed="false">
      <c r="A450" s="13" t="str">
        <f aca="false">IF(AND($B450="",$D450="",$E450="",$F450=""),"",IF(OR($B450="",$D450="",$E450=""),"待补",IF($D450="公共区域","公",IF($D450="商铺","S",SUBSTITUTE($D450,"栋","")))&amp;"-"&amp;$E450&amp;"-"&amp;TEXT(MONTH($B450),"00")&amp;TEXT(DAY($B450),"00")&amp;IF(ISNUMBER($O450),IF($O450&gt;1,"-"&amp;TEXT($O450,"00"),""),"")))</f>
        <v/>
      </c>
      <c r="B450" s="14"/>
      <c r="C450" s="10"/>
      <c r="D450" s="10"/>
      <c r="E450" s="10"/>
      <c r="F450" s="16"/>
      <c r="G450" s="10"/>
      <c r="H450" s="10"/>
      <c r="I450" s="10"/>
      <c r="J450" s="10"/>
      <c r="K450" s="10"/>
      <c r="L450" s="10"/>
      <c r="M450" s="14"/>
      <c r="N450" s="17" t="str">
        <f aca="false">IF($B450="","",IF($L450="已完成",IF($M450="","",$M450-$B450),IF(设置!$B$6&lt;$B450,"",IF((设置!$B$6-$B450)&gt;=设置!$B$5,"超期"&amp;(设置!$B$6-$B450)&amp;"天","已等"&amp;(设置!$B$6-$B450)&amp;"天"))))</f>
        <v/>
      </c>
      <c r="O450" s="18" t="str">
        <f aca="false">IF(OR($D450="",$E450=""),"",COUNTIFS($D$7:$D450,$D450,$E$7:$E450,$E450))</f>
        <v/>
      </c>
      <c r="P450" s="16"/>
      <c r="Q450" s="19"/>
      <c r="R450" s="10"/>
      <c r="S450" s="16"/>
      <c r="T450" s="0" t="str">
        <f aca="false">IF(OR($D450="",单元查询!$B$3=""),"",IF($D450&lt;&gt;单元查询!$B$3,"",IF(OR(单元查询!$D$3="",$E450&amp;""=单元查询!$D$3&amp;""),IF(ISNUMBER($B450),$B450*10000,0)+ROW(),"")))</f>
        <v/>
      </c>
      <c r="U450" s="0" t="str">
        <f aca="false">IF(OR($B450="",$L450="已完成"),"",IF(ISNUMBER($B450),IF(设置!$B$6&lt;$B450,"",(设置!$B$6-$B450)*100000+ROW()),""))</f>
        <v/>
      </c>
      <c r="V450" s="0" t="str">
        <f aca="false">IF(ISNUMBER($O450),IF($O450&gt;=2,IF(COUNTIFS($D450:$D$2006,$D450,$E450:$E$2006,$E450)=1,ROW(),""),""),"")</f>
        <v/>
      </c>
    </row>
    <row r="451" customFormat="false" ht="15" hidden="false" customHeight="true" outlineLevel="0" collapsed="false">
      <c r="A451" s="13" t="str">
        <f aca="false">IF(AND($B451="",$D451="",$E451="",$F451=""),"",IF(OR($B451="",$D451="",$E451=""),"待补",IF($D451="公共区域","公",IF($D451="商铺","S",SUBSTITUTE($D451,"栋","")))&amp;"-"&amp;$E451&amp;"-"&amp;TEXT(MONTH($B451),"00")&amp;TEXT(DAY($B451),"00")&amp;IF(ISNUMBER($O451),IF($O451&gt;1,"-"&amp;TEXT($O451,"00"),""),"")))</f>
        <v/>
      </c>
      <c r="B451" s="14"/>
      <c r="C451" s="10"/>
      <c r="D451" s="10"/>
      <c r="E451" s="10"/>
      <c r="F451" s="16"/>
      <c r="G451" s="10"/>
      <c r="H451" s="10"/>
      <c r="I451" s="10"/>
      <c r="J451" s="10"/>
      <c r="K451" s="10"/>
      <c r="L451" s="10"/>
      <c r="M451" s="14"/>
      <c r="N451" s="17" t="str">
        <f aca="false">IF($B451="","",IF($L451="已完成",IF($M451="","",$M451-$B451),IF(设置!$B$6&lt;$B451,"",IF((设置!$B$6-$B451)&gt;=设置!$B$5,"超期"&amp;(设置!$B$6-$B451)&amp;"天","已等"&amp;(设置!$B$6-$B451)&amp;"天"))))</f>
        <v/>
      </c>
      <c r="O451" s="18" t="str">
        <f aca="false">IF(OR($D451="",$E451=""),"",COUNTIFS($D$7:$D451,$D451,$E$7:$E451,$E451))</f>
        <v/>
      </c>
      <c r="P451" s="16"/>
      <c r="Q451" s="19"/>
      <c r="R451" s="10"/>
      <c r="S451" s="16"/>
      <c r="T451" s="0" t="str">
        <f aca="false">IF(OR($D451="",单元查询!$B$3=""),"",IF($D451&lt;&gt;单元查询!$B$3,"",IF(OR(单元查询!$D$3="",$E451&amp;""=单元查询!$D$3&amp;""),IF(ISNUMBER($B451),$B451*10000,0)+ROW(),"")))</f>
        <v/>
      </c>
      <c r="U451" s="0" t="str">
        <f aca="false">IF(OR($B451="",$L451="已完成"),"",IF(ISNUMBER($B451),IF(设置!$B$6&lt;$B451,"",(设置!$B$6-$B451)*100000+ROW()),""))</f>
        <v/>
      </c>
      <c r="V451" s="0" t="str">
        <f aca="false">IF(ISNUMBER($O451),IF($O451&gt;=2,IF(COUNTIFS($D451:$D$2006,$D451,$E451:$E$2006,$E451)=1,ROW(),""),""),"")</f>
        <v/>
      </c>
    </row>
    <row r="452" customFormat="false" ht="15" hidden="false" customHeight="true" outlineLevel="0" collapsed="false">
      <c r="A452" s="13" t="str">
        <f aca="false">IF(AND($B452="",$D452="",$E452="",$F452=""),"",IF(OR($B452="",$D452="",$E452=""),"待补",IF($D452="公共区域","公",IF($D452="商铺","S",SUBSTITUTE($D452,"栋","")))&amp;"-"&amp;$E452&amp;"-"&amp;TEXT(MONTH($B452),"00")&amp;TEXT(DAY($B452),"00")&amp;IF(ISNUMBER($O452),IF($O452&gt;1,"-"&amp;TEXT($O452,"00"),""),"")))</f>
        <v/>
      </c>
      <c r="B452" s="14"/>
      <c r="C452" s="10"/>
      <c r="D452" s="10"/>
      <c r="E452" s="10"/>
      <c r="F452" s="16"/>
      <c r="G452" s="10"/>
      <c r="H452" s="10"/>
      <c r="I452" s="10"/>
      <c r="J452" s="10"/>
      <c r="K452" s="10"/>
      <c r="L452" s="10"/>
      <c r="M452" s="14"/>
      <c r="N452" s="17" t="str">
        <f aca="false">IF($B452="","",IF($L452="已完成",IF($M452="","",$M452-$B452),IF(设置!$B$6&lt;$B452,"",IF((设置!$B$6-$B452)&gt;=设置!$B$5,"超期"&amp;(设置!$B$6-$B452)&amp;"天","已等"&amp;(设置!$B$6-$B452)&amp;"天"))))</f>
        <v/>
      </c>
      <c r="O452" s="18" t="str">
        <f aca="false">IF(OR($D452="",$E452=""),"",COUNTIFS($D$7:$D452,$D452,$E$7:$E452,$E452))</f>
        <v/>
      </c>
      <c r="P452" s="16"/>
      <c r="Q452" s="19"/>
      <c r="R452" s="10"/>
      <c r="S452" s="16"/>
      <c r="T452" s="0" t="str">
        <f aca="false">IF(OR($D452="",单元查询!$B$3=""),"",IF($D452&lt;&gt;单元查询!$B$3,"",IF(OR(单元查询!$D$3="",$E452&amp;""=单元查询!$D$3&amp;""),IF(ISNUMBER($B452),$B452*10000,0)+ROW(),"")))</f>
        <v/>
      </c>
      <c r="U452" s="0" t="str">
        <f aca="false">IF(OR($B452="",$L452="已完成"),"",IF(ISNUMBER($B452),IF(设置!$B$6&lt;$B452,"",(设置!$B$6-$B452)*100000+ROW()),""))</f>
        <v/>
      </c>
      <c r="V452" s="0" t="str">
        <f aca="false">IF(ISNUMBER($O452),IF($O452&gt;=2,IF(COUNTIFS($D452:$D$2006,$D452,$E452:$E$2006,$E452)=1,ROW(),""),""),"")</f>
        <v/>
      </c>
    </row>
    <row r="453" customFormat="false" ht="15" hidden="false" customHeight="true" outlineLevel="0" collapsed="false">
      <c r="A453" s="13" t="str">
        <f aca="false">IF(AND($B453="",$D453="",$E453="",$F453=""),"",IF(OR($B453="",$D453="",$E453=""),"待补",IF($D453="公共区域","公",IF($D453="商铺","S",SUBSTITUTE($D453,"栋","")))&amp;"-"&amp;$E453&amp;"-"&amp;TEXT(MONTH($B453),"00")&amp;TEXT(DAY($B453),"00")&amp;IF(ISNUMBER($O453),IF($O453&gt;1,"-"&amp;TEXT($O453,"00"),""),"")))</f>
        <v/>
      </c>
      <c r="B453" s="14"/>
      <c r="C453" s="10"/>
      <c r="D453" s="10"/>
      <c r="E453" s="10"/>
      <c r="F453" s="16"/>
      <c r="G453" s="10"/>
      <c r="H453" s="10"/>
      <c r="I453" s="10"/>
      <c r="J453" s="10"/>
      <c r="K453" s="10"/>
      <c r="L453" s="10"/>
      <c r="M453" s="14"/>
      <c r="N453" s="17" t="str">
        <f aca="false">IF($B453="","",IF($L453="已完成",IF($M453="","",$M453-$B453),IF(设置!$B$6&lt;$B453,"",IF((设置!$B$6-$B453)&gt;=设置!$B$5,"超期"&amp;(设置!$B$6-$B453)&amp;"天","已等"&amp;(设置!$B$6-$B453)&amp;"天"))))</f>
        <v/>
      </c>
      <c r="O453" s="18" t="str">
        <f aca="false">IF(OR($D453="",$E453=""),"",COUNTIFS($D$7:$D453,$D453,$E$7:$E453,$E453))</f>
        <v/>
      </c>
      <c r="P453" s="16"/>
      <c r="Q453" s="19"/>
      <c r="R453" s="10"/>
      <c r="S453" s="16"/>
      <c r="T453" s="0" t="str">
        <f aca="false">IF(OR($D453="",单元查询!$B$3=""),"",IF($D453&lt;&gt;单元查询!$B$3,"",IF(OR(单元查询!$D$3="",$E453&amp;""=单元查询!$D$3&amp;""),IF(ISNUMBER($B453),$B453*10000,0)+ROW(),"")))</f>
        <v/>
      </c>
      <c r="U453" s="0" t="str">
        <f aca="false">IF(OR($B453="",$L453="已完成"),"",IF(ISNUMBER($B453),IF(设置!$B$6&lt;$B453,"",(设置!$B$6-$B453)*100000+ROW()),""))</f>
        <v/>
      </c>
      <c r="V453" s="0" t="str">
        <f aca="false">IF(ISNUMBER($O453),IF($O453&gt;=2,IF(COUNTIFS($D453:$D$2006,$D453,$E453:$E$2006,$E453)=1,ROW(),""),""),"")</f>
        <v/>
      </c>
    </row>
    <row r="454" customFormat="false" ht="15" hidden="false" customHeight="true" outlineLevel="0" collapsed="false">
      <c r="A454" s="13" t="str">
        <f aca="false">IF(AND($B454="",$D454="",$E454="",$F454=""),"",IF(OR($B454="",$D454="",$E454=""),"待补",IF($D454="公共区域","公",IF($D454="商铺","S",SUBSTITUTE($D454,"栋","")))&amp;"-"&amp;$E454&amp;"-"&amp;TEXT(MONTH($B454),"00")&amp;TEXT(DAY($B454),"00")&amp;IF(ISNUMBER($O454),IF($O454&gt;1,"-"&amp;TEXT($O454,"00"),""),"")))</f>
        <v/>
      </c>
      <c r="B454" s="14"/>
      <c r="C454" s="10"/>
      <c r="D454" s="10"/>
      <c r="E454" s="10"/>
      <c r="F454" s="16"/>
      <c r="G454" s="10"/>
      <c r="H454" s="10"/>
      <c r="I454" s="10"/>
      <c r="J454" s="10"/>
      <c r="K454" s="10"/>
      <c r="L454" s="10"/>
      <c r="M454" s="14"/>
      <c r="N454" s="17" t="str">
        <f aca="false">IF($B454="","",IF($L454="已完成",IF($M454="","",$M454-$B454),IF(设置!$B$6&lt;$B454,"",IF((设置!$B$6-$B454)&gt;=设置!$B$5,"超期"&amp;(设置!$B$6-$B454)&amp;"天","已等"&amp;(设置!$B$6-$B454)&amp;"天"))))</f>
        <v/>
      </c>
      <c r="O454" s="18" t="str">
        <f aca="false">IF(OR($D454="",$E454=""),"",COUNTIFS($D$7:$D454,$D454,$E$7:$E454,$E454))</f>
        <v/>
      </c>
      <c r="P454" s="16"/>
      <c r="Q454" s="19"/>
      <c r="R454" s="10"/>
      <c r="S454" s="16"/>
      <c r="T454" s="0" t="str">
        <f aca="false">IF(OR($D454="",单元查询!$B$3=""),"",IF($D454&lt;&gt;单元查询!$B$3,"",IF(OR(单元查询!$D$3="",$E454&amp;""=单元查询!$D$3&amp;""),IF(ISNUMBER($B454),$B454*10000,0)+ROW(),"")))</f>
        <v/>
      </c>
      <c r="U454" s="0" t="str">
        <f aca="false">IF(OR($B454="",$L454="已完成"),"",IF(ISNUMBER($B454),IF(设置!$B$6&lt;$B454,"",(设置!$B$6-$B454)*100000+ROW()),""))</f>
        <v/>
      </c>
      <c r="V454" s="0" t="str">
        <f aca="false">IF(ISNUMBER($O454),IF($O454&gt;=2,IF(COUNTIFS($D454:$D$2006,$D454,$E454:$E$2006,$E454)=1,ROW(),""),""),"")</f>
        <v/>
      </c>
    </row>
    <row r="455" customFormat="false" ht="15" hidden="false" customHeight="true" outlineLevel="0" collapsed="false">
      <c r="A455" s="13" t="str">
        <f aca="false">IF(AND($B455="",$D455="",$E455="",$F455=""),"",IF(OR($B455="",$D455="",$E455=""),"待补",IF($D455="公共区域","公",IF($D455="商铺","S",SUBSTITUTE($D455,"栋","")))&amp;"-"&amp;$E455&amp;"-"&amp;TEXT(MONTH($B455),"00")&amp;TEXT(DAY($B455),"00")&amp;IF(ISNUMBER($O455),IF($O455&gt;1,"-"&amp;TEXT($O455,"00"),""),"")))</f>
        <v/>
      </c>
      <c r="B455" s="14"/>
      <c r="C455" s="10"/>
      <c r="D455" s="10"/>
      <c r="E455" s="10"/>
      <c r="F455" s="16"/>
      <c r="G455" s="10"/>
      <c r="H455" s="10"/>
      <c r="I455" s="10"/>
      <c r="J455" s="10"/>
      <c r="K455" s="10"/>
      <c r="L455" s="10"/>
      <c r="M455" s="14"/>
      <c r="N455" s="17" t="str">
        <f aca="false">IF($B455="","",IF($L455="已完成",IF($M455="","",$M455-$B455),IF(设置!$B$6&lt;$B455,"",IF((设置!$B$6-$B455)&gt;=设置!$B$5,"超期"&amp;(设置!$B$6-$B455)&amp;"天","已等"&amp;(设置!$B$6-$B455)&amp;"天"))))</f>
        <v/>
      </c>
      <c r="O455" s="18" t="str">
        <f aca="false">IF(OR($D455="",$E455=""),"",COUNTIFS($D$7:$D455,$D455,$E$7:$E455,$E455))</f>
        <v/>
      </c>
      <c r="P455" s="16"/>
      <c r="Q455" s="19"/>
      <c r="R455" s="10"/>
      <c r="S455" s="16"/>
      <c r="T455" s="0" t="str">
        <f aca="false">IF(OR($D455="",单元查询!$B$3=""),"",IF($D455&lt;&gt;单元查询!$B$3,"",IF(OR(单元查询!$D$3="",$E455&amp;""=单元查询!$D$3&amp;""),IF(ISNUMBER($B455),$B455*10000,0)+ROW(),"")))</f>
        <v/>
      </c>
      <c r="U455" s="0" t="str">
        <f aca="false">IF(OR($B455="",$L455="已完成"),"",IF(ISNUMBER($B455),IF(设置!$B$6&lt;$B455,"",(设置!$B$6-$B455)*100000+ROW()),""))</f>
        <v/>
      </c>
      <c r="V455" s="0" t="str">
        <f aca="false">IF(ISNUMBER($O455),IF($O455&gt;=2,IF(COUNTIFS($D455:$D$2006,$D455,$E455:$E$2006,$E455)=1,ROW(),""),""),"")</f>
        <v/>
      </c>
    </row>
    <row r="456" customFormat="false" ht="15" hidden="false" customHeight="true" outlineLevel="0" collapsed="false">
      <c r="A456" s="13" t="str">
        <f aca="false">IF(AND($B456="",$D456="",$E456="",$F456=""),"",IF(OR($B456="",$D456="",$E456=""),"待补",IF($D456="公共区域","公",IF($D456="商铺","S",SUBSTITUTE($D456,"栋","")))&amp;"-"&amp;$E456&amp;"-"&amp;TEXT(MONTH($B456),"00")&amp;TEXT(DAY($B456),"00")&amp;IF(ISNUMBER($O456),IF($O456&gt;1,"-"&amp;TEXT($O456,"00"),""),"")))</f>
        <v/>
      </c>
      <c r="B456" s="14"/>
      <c r="C456" s="10"/>
      <c r="D456" s="10"/>
      <c r="E456" s="10"/>
      <c r="F456" s="16"/>
      <c r="G456" s="10"/>
      <c r="H456" s="10"/>
      <c r="I456" s="10"/>
      <c r="J456" s="10"/>
      <c r="K456" s="10"/>
      <c r="L456" s="10"/>
      <c r="M456" s="14"/>
      <c r="N456" s="17" t="str">
        <f aca="false">IF($B456="","",IF($L456="已完成",IF($M456="","",$M456-$B456),IF(设置!$B$6&lt;$B456,"",IF((设置!$B$6-$B456)&gt;=设置!$B$5,"超期"&amp;(设置!$B$6-$B456)&amp;"天","已等"&amp;(设置!$B$6-$B456)&amp;"天"))))</f>
        <v/>
      </c>
      <c r="O456" s="18" t="str">
        <f aca="false">IF(OR($D456="",$E456=""),"",COUNTIFS($D$7:$D456,$D456,$E$7:$E456,$E456))</f>
        <v/>
      </c>
      <c r="P456" s="16"/>
      <c r="Q456" s="19"/>
      <c r="R456" s="10"/>
      <c r="S456" s="16"/>
      <c r="T456" s="0" t="str">
        <f aca="false">IF(OR($D456="",单元查询!$B$3=""),"",IF($D456&lt;&gt;单元查询!$B$3,"",IF(OR(单元查询!$D$3="",$E456&amp;""=单元查询!$D$3&amp;""),IF(ISNUMBER($B456),$B456*10000,0)+ROW(),"")))</f>
        <v/>
      </c>
      <c r="U456" s="0" t="str">
        <f aca="false">IF(OR($B456="",$L456="已完成"),"",IF(ISNUMBER($B456),IF(设置!$B$6&lt;$B456,"",(设置!$B$6-$B456)*100000+ROW()),""))</f>
        <v/>
      </c>
      <c r="V456" s="0" t="str">
        <f aca="false">IF(ISNUMBER($O456),IF($O456&gt;=2,IF(COUNTIFS($D456:$D$2006,$D456,$E456:$E$2006,$E456)=1,ROW(),""),""),"")</f>
        <v/>
      </c>
    </row>
    <row r="457" customFormat="false" ht="15" hidden="false" customHeight="true" outlineLevel="0" collapsed="false">
      <c r="A457" s="13" t="str">
        <f aca="false">IF(AND($B457="",$D457="",$E457="",$F457=""),"",IF(OR($B457="",$D457="",$E457=""),"待补",IF($D457="公共区域","公",IF($D457="商铺","S",SUBSTITUTE($D457,"栋","")))&amp;"-"&amp;$E457&amp;"-"&amp;TEXT(MONTH($B457),"00")&amp;TEXT(DAY($B457),"00")&amp;IF(ISNUMBER($O457),IF($O457&gt;1,"-"&amp;TEXT($O457,"00"),""),"")))</f>
        <v/>
      </c>
      <c r="B457" s="14"/>
      <c r="C457" s="10"/>
      <c r="D457" s="10"/>
      <c r="E457" s="10"/>
      <c r="F457" s="16"/>
      <c r="G457" s="10"/>
      <c r="H457" s="10"/>
      <c r="I457" s="10"/>
      <c r="J457" s="10"/>
      <c r="K457" s="10"/>
      <c r="L457" s="10"/>
      <c r="M457" s="14"/>
      <c r="N457" s="17" t="str">
        <f aca="false">IF($B457="","",IF($L457="已完成",IF($M457="","",$M457-$B457),IF(设置!$B$6&lt;$B457,"",IF((设置!$B$6-$B457)&gt;=设置!$B$5,"超期"&amp;(设置!$B$6-$B457)&amp;"天","已等"&amp;(设置!$B$6-$B457)&amp;"天"))))</f>
        <v/>
      </c>
      <c r="O457" s="18" t="str">
        <f aca="false">IF(OR($D457="",$E457=""),"",COUNTIFS($D$7:$D457,$D457,$E$7:$E457,$E457))</f>
        <v/>
      </c>
      <c r="P457" s="16"/>
      <c r="Q457" s="19"/>
      <c r="R457" s="10"/>
      <c r="S457" s="16"/>
      <c r="T457" s="0" t="str">
        <f aca="false">IF(OR($D457="",单元查询!$B$3=""),"",IF($D457&lt;&gt;单元查询!$B$3,"",IF(OR(单元查询!$D$3="",$E457&amp;""=单元查询!$D$3&amp;""),IF(ISNUMBER($B457),$B457*10000,0)+ROW(),"")))</f>
        <v/>
      </c>
      <c r="U457" s="0" t="str">
        <f aca="false">IF(OR($B457="",$L457="已完成"),"",IF(ISNUMBER($B457),IF(设置!$B$6&lt;$B457,"",(设置!$B$6-$B457)*100000+ROW()),""))</f>
        <v/>
      </c>
      <c r="V457" s="0" t="str">
        <f aca="false">IF(ISNUMBER($O457),IF($O457&gt;=2,IF(COUNTIFS($D457:$D$2006,$D457,$E457:$E$2006,$E457)=1,ROW(),""),""),"")</f>
        <v/>
      </c>
    </row>
    <row r="458" customFormat="false" ht="15" hidden="false" customHeight="true" outlineLevel="0" collapsed="false">
      <c r="A458" s="13" t="str">
        <f aca="false">IF(AND($B458="",$D458="",$E458="",$F458=""),"",IF(OR($B458="",$D458="",$E458=""),"待补",IF($D458="公共区域","公",IF($D458="商铺","S",SUBSTITUTE($D458,"栋","")))&amp;"-"&amp;$E458&amp;"-"&amp;TEXT(MONTH($B458),"00")&amp;TEXT(DAY($B458),"00")&amp;IF(ISNUMBER($O458),IF($O458&gt;1,"-"&amp;TEXT($O458,"00"),""),"")))</f>
        <v/>
      </c>
      <c r="B458" s="14"/>
      <c r="C458" s="10"/>
      <c r="D458" s="10"/>
      <c r="E458" s="10"/>
      <c r="F458" s="16"/>
      <c r="G458" s="10"/>
      <c r="H458" s="10"/>
      <c r="I458" s="10"/>
      <c r="J458" s="10"/>
      <c r="K458" s="10"/>
      <c r="L458" s="10"/>
      <c r="M458" s="14"/>
      <c r="N458" s="17" t="str">
        <f aca="false">IF($B458="","",IF($L458="已完成",IF($M458="","",$M458-$B458),IF(设置!$B$6&lt;$B458,"",IF((设置!$B$6-$B458)&gt;=设置!$B$5,"超期"&amp;(设置!$B$6-$B458)&amp;"天","已等"&amp;(设置!$B$6-$B458)&amp;"天"))))</f>
        <v/>
      </c>
      <c r="O458" s="18" t="str">
        <f aca="false">IF(OR($D458="",$E458=""),"",COUNTIFS($D$7:$D458,$D458,$E$7:$E458,$E458))</f>
        <v/>
      </c>
      <c r="P458" s="16"/>
      <c r="Q458" s="19"/>
      <c r="R458" s="10"/>
      <c r="S458" s="16"/>
      <c r="T458" s="0" t="str">
        <f aca="false">IF(OR($D458="",单元查询!$B$3=""),"",IF($D458&lt;&gt;单元查询!$B$3,"",IF(OR(单元查询!$D$3="",$E458&amp;""=单元查询!$D$3&amp;""),IF(ISNUMBER($B458),$B458*10000,0)+ROW(),"")))</f>
        <v/>
      </c>
      <c r="U458" s="0" t="str">
        <f aca="false">IF(OR($B458="",$L458="已完成"),"",IF(ISNUMBER($B458),IF(设置!$B$6&lt;$B458,"",(设置!$B$6-$B458)*100000+ROW()),""))</f>
        <v/>
      </c>
      <c r="V458" s="0" t="str">
        <f aca="false">IF(ISNUMBER($O458),IF($O458&gt;=2,IF(COUNTIFS($D458:$D$2006,$D458,$E458:$E$2006,$E458)=1,ROW(),""),""),"")</f>
        <v/>
      </c>
    </row>
    <row r="459" customFormat="false" ht="15" hidden="false" customHeight="true" outlineLevel="0" collapsed="false">
      <c r="A459" s="13" t="str">
        <f aca="false">IF(AND($B459="",$D459="",$E459="",$F459=""),"",IF(OR($B459="",$D459="",$E459=""),"待补",IF($D459="公共区域","公",IF($D459="商铺","S",SUBSTITUTE($D459,"栋","")))&amp;"-"&amp;$E459&amp;"-"&amp;TEXT(MONTH($B459),"00")&amp;TEXT(DAY($B459),"00")&amp;IF(ISNUMBER($O459),IF($O459&gt;1,"-"&amp;TEXT($O459,"00"),""),"")))</f>
        <v/>
      </c>
      <c r="B459" s="14"/>
      <c r="C459" s="10"/>
      <c r="D459" s="10"/>
      <c r="E459" s="10"/>
      <c r="F459" s="16"/>
      <c r="G459" s="10"/>
      <c r="H459" s="10"/>
      <c r="I459" s="10"/>
      <c r="J459" s="10"/>
      <c r="K459" s="10"/>
      <c r="L459" s="10"/>
      <c r="M459" s="14"/>
      <c r="N459" s="17" t="str">
        <f aca="false">IF($B459="","",IF($L459="已完成",IF($M459="","",$M459-$B459),IF(设置!$B$6&lt;$B459,"",IF((设置!$B$6-$B459)&gt;=设置!$B$5,"超期"&amp;(设置!$B$6-$B459)&amp;"天","已等"&amp;(设置!$B$6-$B459)&amp;"天"))))</f>
        <v/>
      </c>
      <c r="O459" s="18" t="str">
        <f aca="false">IF(OR($D459="",$E459=""),"",COUNTIFS($D$7:$D459,$D459,$E$7:$E459,$E459))</f>
        <v/>
      </c>
      <c r="P459" s="16"/>
      <c r="Q459" s="19"/>
      <c r="R459" s="10"/>
      <c r="S459" s="16"/>
      <c r="T459" s="0" t="str">
        <f aca="false">IF(OR($D459="",单元查询!$B$3=""),"",IF($D459&lt;&gt;单元查询!$B$3,"",IF(OR(单元查询!$D$3="",$E459&amp;""=单元查询!$D$3&amp;""),IF(ISNUMBER($B459),$B459*10000,0)+ROW(),"")))</f>
        <v/>
      </c>
      <c r="U459" s="0" t="str">
        <f aca="false">IF(OR($B459="",$L459="已完成"),"",IF(ISNUMBER($B459),IF(设置!$B$6&lt;$B459,"",(设置!$B$6-$B459)*100000+ROW()),""))</f>
        <v/>
      </c>
      <c r="V459" s="0" t="str">
        <f aca="false">IF(ISNUMBER($O459),IF($O459&gt;=2,IF(COUNTIFS($D459:$D$2006,$D459,$E459:$E$2006,$E459)=1,ROW(),""),""),"")</f>
        <v/>
      </c>
    </row>
    <row r="460" customFormat="false" ht="15" hidden="false" customHeight="true" outlineLevel="0" collapsed="false">
      <c r="A460" s="13" t="str">
        <f aca="false">IF(AND($B460="",$D460="",$E460="",$F460=""),"",IF(OR($B460="",$D460="",$E460=""),"待补",IF($D460="公共区域","公",IF($D460="商铺","S",SUBSTITUTE($D460,"栋","")))&amp;"-"&amp;$E460&amp;"-"&amp;TEXT(MONTH($B460),"00")&amp;TEXT(DAY($B460),"00")&amp;IF(ISNUMBER($O460),IF($O460&gt;1,"-"&amp;TEXT($O460,"00"),""),"")))</f>
        <v/>
      </c>
      <c r="B460" s="14"/>
      <c r="C460" s="10"/>
      <c r="D460" s="10"/>
      <c r="E460" s="10"/>
      <c r="F460" s="16"/>
      <c r="G460" s="10"/>
      <c r="H460" s="10"/>
      <c r="I460" s="10"/>
      <c r="J460" s="10"/>
      <c r="K460" s="10"/>
      <c r="L460" s="10"/>
      <c r="M460" s="14"/>
      <c r="N460" s="17" t="str">
        <f aca="false">IF($B460="","",IF($L460="已完成",IF($M460="","",$M460-$B460),IF(设置!$B$6&lt;$B460,"",IF((设置!$B$6-$B460)&gt;=设置!$B$5,"超期"&amp;(设置!$B$6-$B460)&amp;"天","已等"&amp;(设置!$B$6-$B460)&amp;"天"))))</f>
        <v/>
      </c>
      <c r="O460" s="18" t="str">
        <f aca="false">IF(OR($D460="",$E460=""),"",COUNTIFS($D$7:$D460,$D460,$E$7:$E460,$E460))</f>
        <v/>
      </c>
      <c r="P460" s="16"/>
      <c r="Q460" s="19"/>
      <c r="R460" s="10"/>
      <c r="S460" s="16"/>
      <c r="T460" s="0" t="str">
        <f aca="false">IF(OR($D460="",单元查询!$B$3=""),"",IF($D460&lt;&gt;单元查询!$B$3,"",IF(OR(单元查询!$D$3="",$E460&amp;""=单元查询!$D$3&amp;""),IF(ISNUMBER($B460),$B460*10000,0)+ROW(),"")))</f>
        <v/>
      </c>
      <c r="U460" s="0" t="str">
        <f aca="false">IF(OR($B460="",$L460="已完成"),"",IF(ISNUMBER($B460),IF(设置!$B$6&lt;$B460,"",(设置!$B$6-$B460)*100000+ROW()),""))</f>
        <v/>
      </c>
      <c r="V460" s="0" t="str">
        <f aca="false">IF(ISNUMBER($O460),IF($O460&gt;=2,IF(COUNTIFS($D460:$D$2006,$D460,$E460:$E$2006,$E460)=1,ROW(),""),""),"")</f>
        <v/>
      </c>
    </row>
    <row r="461" customFormat="false" ht="15" hidden="false" customHeight="true" outlineLevel="0" collapsed="false">
      <c r="A461" s="13" t="str">
        <f aca="false">IF(AND($B461="",$D461="",$E461="",$F461=""),"",IF(OR($B461="",$D461="",$E461=""),"待补",IF($D461="公共区域","公",IF($D461="商铺","S",SUBSTITUTE($D461,"栋","")))&amp;"-"&amp;$E461&amp;"-"&amp;TEXT(MONTH($B461),"00")&amp;TEXT(DAY($B461),"00")&amp;IF(ISNUMBER($O461),IF($O461&gt;1,"-"&amp;TEXT($O461,"00"),""),"")))</f>
        <v/>
      </c>
      <c r="B461" s="14"/>
      <c r="C461" s="10"/>
      <c r="D461" s="10"/>
      <c r="E461" s="10"/>
      <c r="F461" s="16"/>
      <c r="G461" s="10"/>
      <c r="H461" s="10"/>
      <c r="I461" s="10"/>
      <c r="J461" s="10"/>
      <c r="K461" s="10"/>
      <c r="L461" s="10"/>
      <c r="M461" s="14"/>
      <c r="N461" s="17" t="str">
        <f aca="false">IF($B461="","",IF($L461="已完成",IF($M461="","",$M461-$B461),IF(设置!$B$6&lt;$B461,"",IF((设置!$B$6-$B461)&gt;=设置!$B$5,"超期"&amp;(设置!$B$6-$B461)&amp;"天","已等"&amp;(设置!$B$6-$B461)&amp;"天"))))</f>
        <v/>
      </c>
      <c r="O461" s="18" t="str">
        <f aca="false">IF(OR($D461="",$E461=""),"",COUNTIFS($D$7:$D461,$D461,$E$7:$E461,$E461))</f>
        <v/>
      </c>
      <c r="P461" s="16"/>
      <c r="Q461" s="19"/>
      <c r="R461" s="10"/>
      <c r="S461" s="16"/>
      <c r="T461" s="0" t="str">
        <f aca="false">IF(OR($D461="",单元查询!$B$3=""),"",IF($D461&lt;&gt;单元查询!$B$3,"",IF(OR(单元查询!$D$3="",$E461&amp;""=单元查询!$D$3&amp;""),IF(ISNUMBER($B461),$B461*10000,0)+ROW(),"")))</f>
        <v/>
      </c>
      <c r="U461" s="0" t="str">
        <f aca="false">IF(OR($B461="",$L461="已完成"),"",IF(ISNUMBER($B461),IF(设置!$B$6&lt;$B461,"",(设置!$B$6-$B461)*100000+ROW()),""))</f>
        <v/>
      </c>
      <c r="V461" s="0" t="str">
        <f aca="false">IF(ISNUMBER($O461),IF($O461&gt;=2,IF(COUNTIFS($D461:$D$2006,$D461,$E461:$E$2006,$E461)=1,ROW(),""),""),"")</f>
        <v/>
      </c>
    </row>
    <row r="462" customFormat="false" ht="15" hidden="false" customHeight="true" outlineLevel="0" collapsed="false">
      <c r="A462" s="13" t="str">
        <f aca="false">IF(AND($B462="",$D462="",$E462="",$F462=""),"",IF(OR($B462="",$D462="",$E462=""),"待补",IF($D462="公共区域","公",IF($D462="商铺","S",SUBSTITUTE($D462,"栋","")))&amp;"-"&amp;$E462&amp;"-"&amp;TEXT(MONTH($B462),"00")&amp;TEXT(DAY($B462),"00")&amp;IF(ISNUMBER($O462),IF($O462&gt;1,"-"&amp;TEXT($O462,"00"),""),"")))</f>
        <v/>
      </c>
      <c r="B462" s="14"/>
      <c r="C462" s="10"/>
      <c r="D462" s="10"/>
      <c r="E462" s="10"/>
      <c r="F462" s="16"/>
      <c r="G462" s="10"/>
      <c r="H462" s="10"/>
      <c r="I462" s="10"/>
      <c r="J462" s="10"/>
      <c r="K462" s="10"/>
      <c r="L462" s="10"/>
      <c r="M462" s="14"/>
      <c r="N462" s="17" t="str">
        <f aca="false">IF($B462="","",IF($L462="已完成",IF($M462="","",$M462-$B462),IF(设置!$B$6&lt;$B462,"",IF((设置!$B$6-$B462)&gt;=设置!$B$5,"超期"&amp;(设置!$B$6-$B462)&amp;"天","已等"&amp;(设置!$B$6-$B462)&amp;"天"))))</f>
        <v/>
      </c>
      <c r="O462" s="18" t="str">
        <f aca="false">IF(OR($D462="",$E462=""),"",COUNTIFS($D$7:$D462,$D462,$E$7:$E462,$E462))</f>
        <v/>
      </c>
      <c r="P462" s="16"/>
      <c r="Q462" s="19"/>
      <c r="R462" s="10"/>
      <c r="S462" s="16"/>
      <c r="T462" s="0" t="str">
        <f aca="false">IF(OR($D462="",单元查询!$B$3=""),"",IF($D462&lt;&gt;单元查询!$B$3,"",IF(OR(单元查询!$D$3="",$E462&amp;""=单元查询!$D$3&amp;""),IF(ISNUMBER($B462),$B462*10000,0)+ROW(),"")))</f>
        <v/>
      </c>
      <c r="U462" s="0" t="str">
        <f aca="false">IF(OR($B462="",$L462="已完成"),"",IF(ISNUMBER($B462),IF(设置!$B$6&lt;$B462,"",(设置!$B$6-$B462)*100000+ROW()),""))</f>
        <v/>
      </c>
      <c r="V462" s="0" t="str">
        <f aca="false">IF(ISNUMBER($O462),IF($O462&gt;=2,IF(COUNTIFS($D462:$D$2006,$D462,$E462:$E$2006,$E462)=1,ROW(),""),""),"")</f>
        <v/>
      </c>
    </row>
    <row r="463" customFormat="false" ht="15" hidden="false" customHeight="true" outlineLevel="0" collapsed="false">
      <c r="A463" s="13" t="str">
        <f aca="false">IF(AND($B463="",$D463="",$E463="",$F463=""),"",IF(OR($B463="",$D463="",$E463=""),"待补",IF($D463="公共区域","公",IF($D463="商铺","S",SUBSTITUTE($D463,"栋","")))&amp;"-"&amp;$E463&amp;"-"&amp;TEXT(MONTH($B463),"00")&amp;TEXT(DAY($B463),"00")&amp;IF(ISNUMBER($O463),IF($O463&gt;1,"-"&amp;TEXT($O463,"00"),""),"")))</f>
        <v/>
      </c>
      <c r="B463" s="14"/>
      <c r="C463" s="10"/>
      <c r="D463" s="10"/>
      <c r="E463" s="10"/>
      <c r="F463" s="16"/>
      <c r="G463" s="10"/>
      <c r="H463" s="10"/>
      <c r="I463" s="10"/>
      <c r="J463" s="10"/>
      <c r="K463" s="10"/>
      <c r="L463" s="10"/>
      <c r="M463" s="14"/>
      <c r="N463" s="17" t="str">
        <f aca="false">IF($B463="","",IF($L463="已完成",IF($M463="","",$M463-$B463),IF(设置!$B$6&lt;$B463,"",IF((设置!$B$6-$B463)&gt;=设置!$B$5,"超期"&amp;(设置!$B$6-$B463)&amp;"天","已等"&amp;(设置!$B$6-$B463)&amp;"天"))))</f>
        <v/>
      </c>
      <c r="O463" s="18" t="str">
        <f aca="false">IF(OR($D463="",$E463=""),"",COUNTIFS($D$7:$D463,$D463,$E$7:$E463,$E463))</f>
        <v/>
      </c>
      <c r="P463" s="16"/>
      <c r="Q463" s="19"/>
      <c r="R463" s="10"/>
      <c r="S463" s="16"/>
      <c r="T463" s="0" t="str">
        <f aca="false">IF(OR($D463="",单元查询!$B$3=""),"",IF($D463&lt;&gt;单元查询!$B$3,"",IF(OR(单元查询!$D$3="",$E463&amp;""=单元查询!$D$3&amp;""),IF(ISNUMBER($B463),$B463*10000,0)+ROW(),"")))</f>
        <v/>
      </c>
      <c r="U463" s="0" t="str">
        <f aca="false">IF(OR($B463="",$L463="已完成"),"",IF(ISNUMBER($B463),IF(设置!$B$6&lt;$B463,"",(设置!$B$6-$B463)*100000+ROW()),""))</f>
        <v/>
      </c>
      <c r="V463" s="0" t="str">
        <f aca="false">IF(ISNUMBER($O463),IF($O463&gt;=2,IF(COUNTIFS($D463:$D$2006,$D463,$E463:$E$2006,$E463)=1,ROW(),""),""),"")</f>
        <v/>
      </c>
    </row>
    <row r="464" customFormat="false" ht="15" hidden="false" customHeight="true" outlineLevel="0" collapsed="false">
      <c r="A464" s="13" t="str">
        <f aca="false">IF(AND($B464="",$D464="",$E464="",$F464=""),"",IF(OR($B464="",$D464="",$E464=""),"待补",IF($D464="公共区域","公",IF($D464="商铺","S",SUBSTITUTE($D464,"栋","")))&amp;"-"&amp;$E464&amp;"-"&amp;TEXT(MONTH($B464),"00")&amp;TEXT(DAY($B464),"00")&amp;IF(ISNUMBER($O464),IF($O464&gt;1,"-"&amp;TEXT($O464,"00"),""),"")))</f>
        <v/>
      </c>
      <c r="B464" s="14"/>
      <c r="C464" s="10"/>
      <c r="D464" s="10"/>
      <c r="E464" s="10"/>
      <c r="F464" s="16"/>
      <c r="G464" s="10"/>
      <c r="H464" s="10"/>
      <c r="I464" s="10"/>
      <c r="J464" s="10"/>
      <c r="K464" s="10"/>
      <c r="L464" s="10"/>
      <c r="M464" s="14"/>
      <c r="N464" s="17" t="str">
        <f aca="false">IF($B464="","",IF($L464="已完成",IF($M464="","",$M464-$B464),IF(设置!$B$6&lt;$B464,"",IF((设置!$B$6-$B464)&gt;=设置!$B$5,"超期"&amp;(设置!$B$6-$B464)&amp;"天","已等"&amp;(设置!$B$6-$B464)&amp;"天"))))</f>
        <v/>
      </c>
      <c r="O464" s="18" t="str">
        <f aca="false">IF(OR($D464="",$E464=""),"",COUNTIFS($D$7:$D464,$D464,$E$7:$E464,$E464))</f>
        <v/>
      </c>
      <c r="P464" s="16"/>
      <c r="Q464" s="19"/>
      <c r="R464" s="10"/>
      <c r="S464" s="16"/>
      <c r="T464" s="0" t="str">
        <f aca="false">IF(OR($D464="",单元查询!$B$3=""),"",IF($D464&lt;&gt;单元查询!$B$3,"",IF(OR(单元查询!$D$3="",$E464&amp;""=单元查询!$D$3&amp;""),IF(ISNUMBER($B464),$B464*10000,0)+ROW(),"")))</f>
        <v/>
      </c>
      <c r="U464" s="0" t="str">
        <f aca="false">IF(OR($B464="",$L464="已完成"),"",IF(ISNUMBER($B464),IF(设置!$B$6&lt;$B464,"",(设置!$B$6-$B464)*100000+ROW()),""))</f>
        <v/>
      </c>
      <c r="V464" s="0" t="str">
        <f aca="false">IF(ISNUMBER($O464),IF($O464&gt;=2,IF(COUNTIFS($D464:$D$2006,$D464,$E464:$E$2006,$E464)=1,ROW(),""),""),"")</f>
        <v/>
      </c>
    </row>
    <row r="465" customFormat="false" ht="15" hidden="false" customHeight="true" outlineLevel="0" collapsed="false">
      <c r="A465" s="13" t="str">
        <f aca="false">IF(AND($B465="",$D465="",$E465="",$F465=""),"",IF(OR($B465="",$D465="",$E465=""),"待补",IF($D465="公共区域","公",IF($D465="商铺","S",SUBSTITUTE($D465,"栋","")))&amp;"-"&amp;$E465&amp;"-"&amp;TEXT(MONTH($B465),"00")&amp;TEXT(DAY($B465),"00")&amp;IF(ISNUMBER($O465),IF($O465&gt;1,"-"&amp;TEXT($O465,"00"),""),"")))</f>
        <v/>
      </c>
      <c r="B465" s="14"/>
      <c r="C465" s="10"/>
      <c r="D465" s="10"/>
      <c r="E465" s="10"/>
      <c r="F465" s="16"/>
      <c r="G465" s="10"/>
      <c r="H465" s="10"/>
      <c r="I465" s="10"/>
      <c r="J465" s="10"/>
      <c r="K465" s="10"/>
      <c r="L465" s="10"/>
      <c r="M465" s="14"/>
      <c r="N465" s="17" t="str">
        <f aca="false">IF($B465="","",IF($L465="已完成",IF($M465="","",$M465-$B465),IF(设置!$B$6&lt;$B465,"",IF((设置!$B$6-$B465)&gt;=设置!$B$5,"超期"&amp;(设置!$B$6-$B465)&amp;"天","已等"&amp;(设置!$B$6-$B465)&amp;"天"))))</f>
        <v/>
      </c>
      <c r="O465" s="18" t="str">
        <f aca="false">IF(OR($D465="",$E465=""),"",COUNTIFS($D$7:$D465,$D465,$E$7:$E465,$E465))</f>
        <v/>
      </c>
      <c r="P465" s="16"/>
      <c r="Q465" s="19"/>
      <c r="R465" s="10"/>
      <c r="S465" s="16"/>
      <c r="T465" s="0" t="str">
        <f aca="false">IF(OR($D465="",单元查询!$B$3=""),"",IF($D465&lt;&gt;单元查询!$B$3,"",IF(OR(单元查询!$D$3="",$E465&amp;""=单元查询!$D$3&amp;""),IF(ISNUMBER($B465),$B465*10000,0)+ROW(),"")))</f>
        <v/>
      </c>
      <c r="U465" s="0" t="str">
        <f aca="false">IF(OR($B465="",$L465="已完成"),"",IF(ISNUMBER($B465),IF(设置!$B$6&lt;$B465,"",(设置!$B$6-$B465)*100000+ROW()),""))</f>
        <v/>
      </c>
      <c r="V465" s="0" t="str">
        <f aca="false">IF(ISNUMBER($O465),IF($O465&gt;=2,IF(COUNTIFS($D465:$D$2006,$D465,$E465:$E$2006,$E465)=1,ROW(),""),""),"")</f>
        <v/>
      </c>
    </row>
    <row r="466" customFormat="false" ht="15" hidden="false" customHeight="true" outlineLevel="0" collapsed="false">
      <c r="A466" s="13" t="str">
        <f aca="false">IF(AND($B466="",$D466="",$E466="",$F466=""),"",IF(OR($B466="",$D466="",$E466=""),"待补",IF($D466="公共区域","公",IF($D466="商铺","S",SUBSTITUTE($D466,"栋","")))&amp;"-"&amp;$E466&amp;"-"&amp;TEXT(MONTH($B466),"00")&amp;TEXT(DAY($B466),"00")&amp;IF(ISNUMBER($O466),IF($O466&gt;1,"-"&amp;TEXT($O466,"00"),""),"")))</f>
        <v/>
      </c>
      <c r="B466" s="14"/>
      <c r="C466" s="10"/>
      <c r="D466" s="10"/>
      <c r="E466" s="10"/>
      <c r="F466" s="16"/>
      <c r="G466" s="10"/>
      <c r="H466" s="10"/>
      <c r="I466" s="10"/>
      <c r="J466" s="10"/>
      <c r="K466" s="10"/>
      <c r="L466" s="10"/>
      <c r="M466" s="14"/>
      <c r="N466" s="17" t="str">
        <f aca="false">IF($B466="","",IF($L466="已完成",IF($M466="","",$M466-$B466),IF(设置!$B$6&lt;$B466,"",IF((设置!$B$6-$B466)&gt;=设置!$B$5,"超期"&amp;(设置!$B$6-$B466)&amp;"天","已等"&amp;(设置!$B$6-$B466)&amp;"天"))))</f>
        <v/>
      </c>
      <c r="O466" s="18" t="str">
        <f aca="false">IF(OR($D466="",$E466=""),"",COUNTIFS($D$7:$D466,$D466,$E$7:$E466,$E466))</f>
        <v/>
      </c>
      <c r="P466" s="16"/>
      <c r="Q466" s="19"/>
      <c r="R466" s="10"/>
      <c r="S466" s="16"/>
      <c r="T466" s="0" t="str">
        <f aca="false">IF(OR($D466="",单元查询!$B$3=""),"",IF($D466&lt;&gt;单元查询!$B$3,"",IF(OR(单元查询!$D$3="",$E466&amp;""=单元查询!$D$3&amp;""),IF(ISNUMBER($B466),$B466*10000,0)+ROW(),"")))</f>
        <v/>
      </c>
      <c r="U466" s="0" t="str">
        <f aca="false">IF(OR($B466="",$L466="已完成"),"",IF(ISNUMBER($B466),IF(设置!$B$6&lt;$B466,"",(设置!$B$6-$B466)*100000+ROW()),""))</f>
        <v/>
      </c>
      <c r="V466" s="0" t="str">
        <f aca="false">IF(ISNUMBER($O466),IF($O466&gt;=2,IF(COUNTIFS($D466:$D$2006,$D466,$E466:$E$2006,$E466)=1,ROW(),""),""),"")</f>
        <v/>
      </c>
    </row>
    <row r="467" customFormat="false" ht="15" hidden="false" customHeight="true" outlineLevel="0" collapsed="false">
      <c r="A467" s="13" t="str">
        <f aca="false">IF(AND($B467="",$D467="",$E467="",$F467=""),"",IF(OR($B467="",$D467="",$E467=""),"待补",IF($D467="公共区域","公",IF($D467="商铺","S",SUBSTITUTE($D467,"栋","")))&amp;"-"&amp;$E467&amp;"-"&amp;TEXT(MONTH($B467),"00")&amp;TEXT(DAY($B467),"00")&amp;IF(ISNUMBER($O467),IF($O467&gt;1,"-"&amp;TEXT($O467,"00"),""),"")))</f>
        <v/>
      </c>
      <c r="B467" s="14"/>
      <c r="C467" s="10"/>
      <c r="D467" s="10"/>
      <c r="E467" s="10"/>
      <c r="F467" s="16"/>
      <c r="G467" s="10"/>
      <c r="H467" s="10"/>
      <c r="I467" s="10"/>
      <c r="J467" s="10"/>
      <c r="K467" s="10"/>
      <c r="L467" s="10"/>
      <c r="M467" s="14"/>
      <c r="N467" s="17" t="str">
        <f aca="false">IF($B467="","",IF($L467="已完成",IF($M467="","",$M467-$B467),IF(设置!$B$6&lt;$B467,"",IF((设置!$B$6-$B467)&gt;=设置!$B$5,"超期"&amp;(设置!$B$6-$B467)&amp;"天","已等"&amp;(设置!$B$6-$B467)&amp;"天"))))</f>
        <v/>
      </c>
      <c r="O467" s="18" t="str">
        <f aca="false">IF(OR($D467="",$E467=""),"",COUNTIFS($D$7:$D467,$D467,$E$7:$E467,$E467))</f>
        <v/>
      </c>
      <c r="P467" s="16"/>
      <c r="Q467" s="19"/>
      <c r="R467" s="10"/>
      <c r="S467" s="16"/>
      <c r="T467" s="0" t="str">
        <f aca="false">IF(OR($D467="",单元查询!$B$3=""),"",IF($D467&lt;&gt;单元查询!$B$3,"",IF(OR(单元查询!$D$3="",$E467&amp;""=单元查询!$D$3&amp;""),IF(ISNUMBER($B467),$B467*10000,0)+ROW(),"")))</f>
        <v/>
      </c>
      <c r="U467" s="0" t="str">
        <f aca="false">IF(OR($B467="",$L467="已完成"),"",IF(ISNUMBER($B467),IF(设置!$B$6&lt;$B467,"",(设置!$B$6-$B467)*100000+ROW()),""))</f>
        <v/>
      </c>
      <c r="V467" s="0" t="str">
        <f aca="false">IF(ISNUMBER($O467),IF($O467&gt;=2,IF(COUNTIFS($D467:$D$2006,$D467,$E467:$E$2006,$E467)=1,ROW(),""),""),"")</f>
        <v/>
      </c>
    </row>
    <row r="468" customFormat="false" ht="15" hidden="false" customHeight="true" outlineLevel="0" collapsed="false">
      <c r="A468" s="13" t="str">
        <f aca="false">IF(AND($B468="",$D468="",$E468="",$F468=""),"",IF(OR($B468="",$D468="",$E468=""),"待补",IF($D468="公共区域","公",IF($D468="商铺","S",SUBSTITUTE($D468,"栋","")))&amp;"-"&amp;$E468&amp;"-"&amp;TEXT(MONTH($B468),"00")&amp;TEXT(DAY($B468),"00")&amp;IF(ISNUMBER($O468),IF($O468&gt;1,"-"&amp;TEXT($O468,"00"),""),"")))</f>
        <v/>
      </c>
      <c r="B468" s="14"/>
      <c r="C468" s="10"/>
      <c r="D468" s="10"/>
      <c r="E468" s="10"/>
      <c r="F468" s="16"/>
      <c r="G468" s="10"/>
      <c r="H468" s="10"/>
      <c r="I468" s="10"/>
      <c r="J468" s="10"/>
      <c r="K468" s="10"/>
      <c r="L468" s="10"/>
      <c r="M468" s="14"/>
      <c r="N468" s="17" t="str">
        <f aca="false">IF($B468="","",IF($L468="已完成",IF($M468="","",$M468-$B468),IF(设置!$B$6&lt;$B468,"",IF((设置!$B$6-$B468)&gt;=设置!$B$5,"超期"&amp;(设置!$B$6-$B468)&amp;"天","已等"&amp;(设置!$B$6-$B468)&amp;"天"))))</f>
        <v/>
      </c>
      <c r="O468" s="18" t="str">
        <f aca="false">IF(OR($D468="",$E468=""),"",COUNTIFS($D$7:$D468,$D468,$E$7:$E468,$E468))</f>
        <v/>
      </c>
      <c r="P468" s="16"/>
      <c r="Q468" s="19"/>
      <c r="R468" s="10"/>
      <c r="S468" s="16"/>
      <c r="T468" s="0" t="str">
        <f aca="false">IF(OR($D468="",单元查询!$B$3=""),"",IF($D468&lt;&gt;单元查询!$B$3,"",IF(OR(单元查询!$D$3="",$E468&amp;""=单元查询!$D$3&amp;""),IF(ISNUMBER($B468),$B468*10000,0)+ROW(),"")))</f>
        <v/>
      </c>
      <c r="U468" s="0" t="str">
        <f aca="false">IF(OR($B468="",$L468="已完成"),"",IF(ISNUMBER($B468),IF(设置!$B$6&lt;$B468,"",(设置!$B$6-$B468)*100000+ROW()),""))</f>
        <v/>
      </c>
      <c r="V468" s="0" t="str">
        <f aca="false">IF(ISNUMBER($O468),IF($O468&gt;=2,IF(COUNTIFS($D468:$D$2006,$D468,$E468:$E$2006,$E468)=1,ROW(),""),""),"")</f>
        <v/>
      </c>
    </row>
    <row r="469" customFormat="false" ht="15" hidden="false" customHeight="true" outlineLevel="0" collapsed="false">
      <c r="A469" s="13" t="str">
        <f aca="false">IF(AND($B469="",$D469="",$E469="",$F469=""),"",IF(OR($B469="",$D469="",$E469=""),"待补",IF($D469="公共区域","公",IF($D469="商铺","S",SUBSTITUTE($D469,"栋","")))&amp;"-"&amp;$E469&amp;"-"&amp;TEXT(MONTH($B469),"00")&amp;TEXT(DAY($B469),"00")&amp;IF(ISNUMBER($O469),IF($O469&gt;1,"-"&amp;TEXT($O469,"00"),""),"")))</f>
        <v/>
      </c>
      <c r="B469" s="14"/>
      <c r="C469" s="10"/>
      <c r="D469" s="10"/>
      <c r="E469" s="10"/>
      <c r="F469" s="16"/>
      <c r="G469" s="10"/>
      <c r="H469" s="10"/>
      <c r="I469" s="10"/>
      <c r="J469" s="10"/>
      <c r="K469" s="10"/>
      <c r="L469" s="10"/>
      <c r="M469" s="14"/>
      <c r="N469" s="17" t="str">
        <f aca="false">IF($B469="","",IF($L469="已完成",IF($M469="","",$M469-$B469),IF(设置!$B$6&lt;$B469,"",IF((设置!$B$6-$B469)&gt;=设置!$B$5,"超期"&amp;(设置!$B$6-$B469)&amp;"天","已等"&amp;(设置!$B$6-$B469)&amp;"天"))))</f>
        <v/>
      </c>
      <c r="O469" s="18" t="str">
        <f aca="false">IF(OR($D469="",$E469=""),"",COUNTIFS($D$7:$D469,$D469,$E$7:$E469,$E469))</f>
        <v/>
      </c>
      <c r="P469" s="16"/>
      <c r="Q469" s="19"/>
      <c r="R469" s="10"/>
      <c r="S469" s="16"/>
      <c r="T469" s="0" t="str">
        <f aca="false">IF(OR($D469="",单元查询!$B$3=""),"",IF($D469&lt;&gt;单元查询!$B$3,"",IF(OR(单元查询!$D$3="",$E469&amp;""=单元查询!$D$3&amp;""),IF(ISNUMBER($B469),$B469*10000,0)+ROW(),"")))</f>
        <v/>
      </c>
      <c r="U469" s="0" t="str">
        <f aca="false">IF(OR($B469="",$L469="已完成"),"",IF(ISNUMBER($B469),IF(设置!$B$6&lt;$B469,"",(设置!$B$6-$B469)*100000+ROW()),""))</f>
        <v/>
      </c>
      <c r="V469" s="0" t="str">
        <f aca="false">IF(ISNUMBER($O469),IF($O469&gt;=2,IF(COUNTIFS($D469:$D$2006,$D469,$E469:$E$2006,$E469)=1,ROW(),""),""),"")</f>
        <v/>
      </c>
    </row>
    <row r="470" customFormat="false" ht="15" hidden="false" customHeight="true" outlineLevel="0" collapsed="false">
      <c r="A470" s="13" t="str">
        <f aca="false">IF(AND($B470="",$D470="",$E470="",$F470=""),"",IF(OR($B470="",$D470="",$E470=""),"待补",IF($D470="公共区域","公",IF($D470="商铺","S",SUBSTITUTE($D470,"栋","")))&amp;"-"&amp;$E470&amp;"-"&amp;TEXT(MONTH($B470),"00")&amp;TEXT(DAY($B470),"00")&amp;IF(ISNUMBER($O470),IF($O470&gt;1,"-"&amp;TEXT($O470,"00"),""),"")))</f>
        <v/>
      </c>
      <c r="B470" s="14"/>
      <c r="C470" s="10"/>
      <c r="D470" s="10"/>
      <c r="E470" s="10"/>
      <c r="F470" s="16"/>
      <c r="G470" s="10"/>
      <c r="H470" s="10"/>
      <c r="I470" s="10"/>
      <c r="J470" s="10"/>
      <c r="K470" s="10"/>
      <c r="L470" s="10"/>
      <c r="M470" s="14"/>
      <c r="N470" s="17" t="str">
        <f aca="false">IF($B470="","",IF($L470="已完成",IF($M470="","",$M470-$B470),IF(设置!$B$6&lt;$B470,"",IF((设置!$B$6-$B470)&gt;=设置!$B$5,"超期"&amp;(设置!$B$6-$B470)&amp;"天","已等"&amp;(设置!$B$6-$B470)&amp;"天"))))</f>
        <v/>
      </c>
      <c r="O470" s="18" t="str">
        <f aca="false">IF(OR($D470="",$E470=""),"",COUNTIFS($D$7:$D470,$D470,$E$7:$E470,$E470))</f>
        <v/>
      </c>
      <c r="P470" s="16"/>
      <c r="Q470" s="19"/>
      <c r="R470" s="10"/>
      <c r="S470" s="16"/>
      <c r="T470" s="0" t="str">
        <f aca="false">IF(OR($D470="",单元查询!$B$3=""),"",IF($D470&lt;&gt;单元查询!$B$3,"",IF(OR(单元查询!$D$3="",$E470&amp;""=单元查询!$D$3&amp;""),IF(ISNUMBER($B470),$B470*10000,0)+ROW(),"")))</f>
        <v/>
      </c>
      <c r="U470" s="0" t="str">
        <f aca="false">IF(OR($B470="",$L470="已完成"),"",IF(ISNUMBER($B470),IF(设置!$B$6&lt;$B470,"",(设置!$B$6-$B470)*100000+ROW()),""))</f>
        <v/>
      </c>
      <c r="V470" s="0" t="str">
        <f aca="false">IF(ISNUMBER($O470),IF($O470&gt;=2,IF(COUNTIFS($D470:$D$2006,$D470,$E470:$E$2006,$E470)=1,ROW(),""),""),"")</f>
        <v/>
      </c>
    </row>
    <row r="471" customFormat="false" ht="15" hidden="false" customHeight="true" outlineLevel="0" collapsed="false">
      <c r="A471" s="13" t="str">
        <f aca="false">IF(AND($B471="",$D471="",$E471="",$F471=""),"",IF(OR($B471="",$D471="",$E471=""),"待补",IF($D471="公共区域","公",IF($D471="商铺","S",SUBSTITUTE($D471,"栋","")))&amp;"-"&amp;$E471&amp;"-"&amp;TEXT(MONTH($B471),"00")&amp;TEXT(DAY($B471),"00")&amp;IF(ISNUMBER($O471),IF($O471&gt;1,"-"&amp;TEXT($O471,"00"),""),"")))</f>
        <v/>
      </c>
      <c r="B471" s="14"/>
      <c r="C471" s="10"/>
      <c r="D471" s="10"/>
      <c r="E471" s="10"/>
      <c r="F471" s="16"/>
      <c r="G471" s="10"/>
      <c r="H471" s="10"/>
      <c r="I471" s="10"/>
      <c r="J471" s="10"/>
      <c r="K471" s="10"/>
      <c r="L471" s="10"/>
      <c r="M471" s="14"/>
      <c r="N471" s="17" t="str">
        <f aca="false">IF($B471="","",IF($L471="已完成",IF($M471="","",$M471-$B471),IF(设置!$B$6&lt;$B471,"",IF((设置!$B$6-$B471)&gt;=设置!$B$5,"超期"&amp;(设置!$B$6-$B471)&amp;"天","已等"&amp;(设置!$B$6-$B471)&amp;"天"))))</f>
        <v/>
      </c>
      <c r="O471" s="18" t="str">
        <f aca="false">IF(OR($D471="",$E471=""),"",COUNTIFS($D$7:$D471,$D471,$E$7:$E471,$E471))</f>
        <v/>
      </c>
      <c r="P471" s="16"/>
      <c r="Q471" s="19"/>
      <c r="R471" s="10"/>
      <c r="S471" s="16"/>
      <c r="T471" s="0" t="str">
        <f aca="false">IF(OR($D471="",单元查询!$B$3=""),"",IF($D471&lt;&gt;单元查询!$B$3,"",IF(OR(单元查询!$D$3="",$E471&amp;""=单元查询!$D$3&amp;""),IF(ISNUMBER($B471),$B471*10000,0)+ROW(),"")))</f>
        <v/>
      </c>
      <c r="U471" s="0" t="str">
        <f aca="false">IF(OR($B471="",$L471="已完成"),"",IF(ISNUMBER($B471),IF(设置!$B$6&lt;$B471,"",(设置!$B$6-$B471)*100000+ROW()),""))</f>
        <v/>
      </c>
      <c r="V471" s="0" t="str">
        <f aca="false">IF(ISNUMBER($O471),IF($O471&gt;=2,IF(COUNTIFS($D471:$D$2006,$D471,$E471:$E$2006,$E471)=1,ROW(),""),""),"")</f>
        <v/>
      </c>
    </row>
    <row r="472" customFormat="false" ht="15" hidden="false" customHeight="true" outlineLevel="0" collapsed="false">
      <c r="A472" s="13" t="str">
        <f aca="false">IF(AND($B472="",$D472="",$E472="",$F472=""),"",IF(OR($B472="",$D472="",$E472=""),"待补",IF($D472="公共区域","公",IF($D472="商铺","S",SUBSTITUTE($D472,"栋","")))&amp;"-"&amp;$E472&amp;"-"&amp;TEXT(MONTH($B472),"00")&amp;TEXT(DAY($B472),"00")&amp;IF(ISNUMBER($O472),IF($O472&gt;1,"-"&amp;TEXT($O472,"00"),""),"")))</f>
        <v/>
      </c>
      <c r="B472" s="14"/>
      <c r="C472" s="10"/>
      <c r="D472" s="10"/>
      <c r="E472" s="10"/>
      <c r="F472" s="16"/>
      <c r="G472" s="10"/>
      <c r="H472" s="10"/>
      <c r="I472" s="10"/>
      <c r="J472" s="10"/>
      <c r="K472" s="10"/>
      <c r="L472" s="10"/>
      <c r="M472" s="14"/>
      <c r="N472" s="17" t="str">
        <f aca="false">IF($B472="","",IF($L472="已完成",IF($M472="","",$M472-$B472),IF(设置!$B$6&lt;$B472,"",IF((设置!$B$6-$B472)&gt;=设置!$B$5,"超期"&amp;(设置!$B$6-$B472)&amp;"天","已等"&amp;(设置!$B$6-$B472)&amp;"天"))))</f>
        <v/>
      </c>
      <c r="O472" s="18" t="str">
        <f aca="false">IF(OR($D472="",$E472=""),"",COUNTIFS($D$7:$D472,$D472,$E$7:$E472,$E472))</f>
        <v/>
      </c>
      <c r="P472" s="16"/>
      <c r="Q472" s="19"/>
      <c r="R472" s="10"/>
      <c r="S472" s="16"/>
      <c r="T472" s="0" t="str">
        <f aca="false">IF(OR($D472="",单元查询!$B$3=""),"",IF($D472&lt;&gt;单元查询!$B$3,"",IF(OR(单元查询!$D$3="",$E472&amp;""=单元查询!$D$3&amp;""),IF(ISNUMBER($B472),$B472*10000,0)+ROW(),"")))</f>
        <v/>
      </c>
      <c r="U472" s="0" t="str">
        <f aca="false">IF(OR($B472="",$L472="已完成"),"",IF(ISNUMBER($B472),IF(设置!$B$6&lt;$B472,"",(设置!$B$6-$B472)*100000+ROW()),""))</f>
        <v/>
      </c>
      <c r="V472" s="0" t="str">
        <f aca="false">IF(ISNUMBER($O472),IF($O472&gt;=2,IF(COUNTIFS($D472:$D$2006,$D472,$E472:$E$2006,$E472)=1,ROW(),""),""),"")</f>
        <v/>
      </c>
    </row>
    <row r="473" customFormat="false" ht="15" hidden="false" customHeight="true" outlineLevel="0" collapsed="false">
      <c r="A473" s="13" t="str">
        <f aca="false">IF(AND($B473="",$D473="",$E473="",$F473=""),"",IF(OR($B473="",$D473="",$E473=""),"待补",IF($D473="公共区域","公",IF($D473="商铺","S",SUBSTITUTE($D473,"栋","")))&amp;"-"&amp;$E473&amp;"-"&amp;TEXT(MONTH($B473),"00")&amp;TEXT(DAY($B473),"00")&amp;IF(ISNUMBER($O473),IF($O473&gt;1,"-"&amp;TEXT($O473,"00"),""),"")))</f>
        <v/>
      </c>
      <c r="B473" s="14"/>
      <c r="C473" s="10"/>
      <c r="D473" s="10"/>
      <c r="E473" s="10"/>
      <c r="F473" s="16"/>
      <c r="G473" s="10"/>
      <c r="H473" s="10"/>
      <c r="I473" s="10"/>
      <c r="J473" s="10"/>
      <c r="K473" s="10"/>
      <c r="L473" s="10"/>
      <c r="M473" s="14"/>
      <c r="N473" s="17" t="str">
        <f aca="false">IF($B473="","",IF($L473="已完成",IF($M473="","",$M473-$B473),IF(设置!$B$6&lt;$B473,"",IF((设置!$B$6-$B473)&gt;=设置!$B$5,"超期"&amp;(设置!$B$6-$B473)&amp;"天","已等"&amp;(设置!$B$6-$B473)&amp;"天"))))</f>
        <v/>
      </c>
      <c r="O473" s="18" t="str">
        <f aca="false">IF(OR($D473="",$E473=""),"",COUNTIFS($D$7:$D473,$D473,$E$7:$E473,$E473))</f>
        <v/>
      </c>
      <c r="P473" s="16"/>
      <c r="Q473" s="19"/>
      <c r="R473" s="10"/>
      <c r="S473" s="16"/>
      <c r="T473" s="0" t="str">
        <f aca="false">IF(OR($D473="",单元查询!$B$3=""),"",IF($D473&lt;&gt;单元查询!$B$3,"",IF(OR(单元查询!$D$3="",$E473&amp;""=单元查询!$D$3&amp;""),IF(ISNUMBER($B473),$B473*10000,0)+ROW(),"")))</f>
        <v/>
      </c>
      <c r="U473" s="0" t="str">
        <f aca="false">IF(OR($B473="",$L473="已完成"),"",IF(ISNUMBER($B473),IF(设置!$B$6&lt;$B473,"",(设置!$B$6-$B473)*100000+ROW()),""))</f>
        <v/>
      </c>
      <c r="V473" s="0" t="str">
        <f aca="false">IF(ISNUMBER($O473),IF($O473&gt;=2,IF(COUNTIFS($D473:$D$2006,$D473,$E473:$E$2006,$E473)=1,ROW(),""),""),"")</f>
        <v/>
      </c>
    </row>
    <row r="474" customFormat="false" ht="15" hidden="false" customHeight="true" outlineLevel="0" collapsed="false">
      <c r="A474" s="13" t="str">
        <f aca="false">IF(AND($B474="",$D474="",$E474="",$F474=""),"",IF(OR($B474="",$D474="",$E474=""),"待补",IF($D474="公共区域","公",IF($D474="商铺","S",SUBSTITUTE($D474,"栋","")))&amp;"-"&amp;$E474&amp;"-"&amp;TEXT(MONTH($B474),"00")&amp;TEXT(DAY($B474),"00")&amp;IF(ISNUMBER($O474),IF($O474&gt;1,"-"&amp;TEXT($O474,"00"),""),"")))</f>
        <v/>
      </c>
      <c r="B474" s="14"/>
      <c r="C474" s="10"/>
      <c r="D474" s="10"/>
      <c r="E474" s="10"/>
      <c r="F474" s="16"/>
      <c r="G474" s="10"/>
      <c r="H474" s="10"/>
      <c r="I474" s="10"/>
      <c r="J474" s="10"/>
      <c r="K474" s="10"/>
      <c r="L474" s="10"/>
      <c r="M474" s="14"/>
      <c r="N474" s="17" t="str">
        <f aca="false">IF($B474="","",IF($L474="已完成",IF($M474="","",$M474-$B474),IF(设置!$B$6&lt;$B474,"",IF((设置!$B$6-$B474)&gt;=设置!$B$5,"超期"&amp;(设置!$B$6-$B474)&amp;"天","已等"&amp;(设置!$B$6-$B474)&amp;"天"))))</f>
        <v/>
      </c>
      <c r="O474" s="18" t="str">
        <f aca="false">IF(OR($D474="",$E474=""),"",COUNTIFS($D$7:$D474,$D474,$E$7:$E474,$E474))</f>
        <v/>
      </c>
      <c r="P474" s="16"/>
      <c r="Q474" s="19"/>
      <c r="R474" s="10"/>
      <c r="S474" s="16"/>
      <c r="T474" s="0" t="str">
        <f aca="false">IF(OR($D474="",单元查询!$B$3=""),"",IF($D474&lt;&gt;单元查询!$B$3,"",IF(OR(单元查询!$D$3="",$E474&amp;""=单元查询!$D$3&amp;""),IF(ISNUMBER($B474),$B474*10000,0)+ROW(),"")))</f>
        <v/>
      </c>
      <c r="U474" s="0" t="str">
        <f aca="false">IF(OR($B474="",$L474="已完成"),"",IF(ISNUMBER($B474),IF(设置!$B$6&lt;$B474,"",(设置!$B$6-$B474)*100000+ROW()),""))</f>
        <v/>
      </c>
      <c r="V474" s="0" t="str">
        <f aca="false">IF(ISNUMBER($O474),IF($O474&gt;=2,IF(COUNTIFS($D474:$D$2006,$D474,$E474:$E$2006,$E474)=1,ROW(),""),""),"")</f>
        <v/>
      </c>
    </row>
    <row r="475" customFormat="false" ht="15" hidden="false" customHeight="true" outlineLevel="0" collapsed="false">
      <c r="A475" s="13" t="str">
        <f aca="false">IF(AND($B475="",$D475="",$E475="",$F475=""),"",IF(OR($B475="",$D475="",$E475=""),"待补",IF($D475="公共区域","公",IF($D475="商铺","S",SUBSTITUTE($D475,"栋","")))&amp;"-"&amp;$E475&amp;"-"&amp;TEXT(MONTH($B475),"00")&amp;TEXT(DAY($B475),"00")&amp;IF(ISNUMBER($O475),IF($O475&gt;1,"-"&amp;TEXT($O475,"00"),""),"")))</f>
        <v/>
      </c>
      <c r="B475" s="14"/>
      <c r="C475" s="10"/>
      <c r="D475" s="10"/>
      <c r="E475" s="10"/>
      <c r="F475" s="16"/>
      <c r="G475" s="10"/>
      <c r="H475" s="10"/>
      <c r="I475" s="10"/>
      <c r="J475" s="10"/>
      <c r="K475" s="10"/>
      <c r="L475" s="10"/>
      <c r="M475" s="14"/>
      <c r="N475" s="17" t="str">
        <f aca="false">IF($B475="","",IF($L475="已完成",IF($M475="","",$M475-$B475),IF(设置!$B$6&lt;$B475,"",IF((设置!$B$6-$B475)&gt;=设置!$B$5,"超期"&amp;(设置!$B$6-$B475)&amp;"天","已等"&amp;(设置!$B$6-$B475)&amp;"天"))))</f>
        <v/>
      </c>
      <c r="O475" s="18" t="str">
        <f aca="false">IF(OR($D475="",$E475=""),"",COUNTIFS($D$7:$D475,$D475,$E$7:$E475,$E475))</f>
        <v/>
      </c>
      <c r="P475" s="16"/>
      <c r="Q475" s="19"/>
      <c r="R475" s="10"/>
      <c r="S475" s="16"/>
      <c r="T475" s="0" t="str">
        <f aca="false">IF(OR($D475="",单元查询!$B$3=""),"",IF($D475&lt;&gt;单元查询!$B$3,"",IF(OR(单元查询!$D$3="",$E475&amp;""=单元查询!$D$3&amp;""),IF(ISNUMBER($B475),$B475*10000,0)+ROW(),"")))</f>
        <v/>
      </c>
      <c r="U475" s="0" t="str">
        <f aca="false">IF(OR($B475="",$L475="已完成"),"",IF(ISNUMBER($B475),IF(设置!$B$6&lt;$B475,"",(设置!$B$6-$B475)*100000+ROW()),""))</f>
        <v/>
      </c>
      <c r="V475" s="0" t="str">
        <f aca="false">IF(ISNUMBER($O475),IF($O475&gt;=2,IF(COUNTIFS($D475:$D$2006,$D475,$E475:$E$2006,$E475)=1,ROW(),""),""),"")</f>
        <v/>
      </c>
    </row>
    <row r="476" customFormat="false" ht="15" hidden="false" customHeight="true" outlineLevel="0" collapsed="false">
      <c r="A476" s="13" t="str">
        <f aca="false">IF(AND($B476="",$D476="",$E476="",$F476=""),"",IF(OR($B476="",$D476="",$E476=""),"待补",IF($D476="公共区域","公",IF($D476="商铺","S",SUBSTITUTE($D476,"栋","")))&amp;"-"&amp;$E476&amp;"-"&amp;TEXT(MONTH($B476),"00")&amp;TEXT(DAY($B476),"00")&amp;IF(ISNUMBER($O476),IF($O476&gt;1,"-"&amp;TEXT($O476,"00"),""),"")))</f>
        <v/>
      </c>
      <c r="B476" s="14"/>
      <c r="C476" s="10"/>
      <c r="D476" s="10"/>
      <c r="E476" s="10"/>
      <c r="F476" s="16"/>
      <c r="G476" s="10"/>
      <c r="H476" s="10"/>
      <c r="I476" s="10"/>
      <c r="J476" s="10"/>
      <c r="K476" s="10"/>
      <c r="L476" s="10"/>
      <c r="M476" s="14"/>
      <c r="N476" s="17" t="str">
        <f aca="false">IF($B476="","",IF($L476="已完成",IF($M476="","",$M476-$B476),IF(设置!$B$6&lt;$B476,"",IF((设置!$B$6-$B476)&gt;=设置!$B$5,"超期"&amp;(设置!$B$6-$B476)&amp;"天","已等"&amp;(设置!$B$6-$B476)&amp;"天"))))</f>
        <v/>
      </c>
      <c r="O476" s="18" t="str">
        <f aca="false">IF(OR($D476="",$E476=""),"",COUNTIFS($D$7:$D476,$D476,$E$7:$E476,$E476))</f>
        <v/>
      </c>
      <c r="P476" s="16"/>
      <c r="Q476" s="19"/>
      <c r="R476" s="10"/>
      <c r="S476" s="16"/>
      <c r="T476" s="0" t="str">
        <f aca="false">IF(OR($D476="",单元查询!$B$3=""),"",IF($D476&lt;&gt;单元查询!$B$3,"",IF(OR(单元查询!$D$3="",$E476&amp;""=单元查询!$D$3&amp;""),IF(ISNUMBER($B476),$B476*10000,0)+ROW(),"")))</f>
        <v/>
      </c>
      <c r="U476" s="0" t="str">
        <f aca="false">IF(OR($B476="",$L476="已完成"),"",IF(ISNUMBER($B476),IF(设置!$B$6&lt;$B476,"",(设置!$B$6-$B476)*100000+ROW()),""))</f>
        <v/>
      </c>
      <c r="V476" s="0" t="str">
        <f aca="false">IF(ISNUMBER($O476),IF($O476&gt;=2,IF(COUNTIFS($D476:$D$2006,$D476,$E476:$E$2006,$E476)=1,ROW(),""),""),"")</f>
        <v/>
      </c>
    </row>
    <row r="477" customFormat="false" ht="15" hidden="false" customHeight="true" outlineLevel="0" collapsed="false">
      <c r="A477" s="13" t="str">
        <f aca="false">IF(AND($B477="",$D477="",$E477="",$F477=""),"",IF(OR($B477="",$D477="",$E477=""),"待补",IF($D477="公共区域","公",IF($D477="商铺","S",SUBSTITUTE($D477,"栋","")))&amp;"-"&amp;$E477&amp;"-"&amp;TEXT(MONTH($B477),"00")&amp;TEXT(DAY($B477),"00")&amp;IF(ISNUMBER($O477),IF($O477&gt;1,"-"&amp;TEXT($O477,"00"),""),"")))</f>
        <v/>
      </c>
      <c r="B477" s="14"/>
      <c r="C477" s="10"/>
      <c r="D477" s="10"/>
      <c r="E477" s="10"/>
      <c r="F477" s="16"/>
      <c r="G477" s="10"/>
      <c r="H477" s="10"/>
      <c r="I477" s="10"/>
      <c r="J477" s="10"/>
      <c r="K477" s="10"/>
      <c r="L477" s="10"/>
      <c r="M477" s="14"/>
      <c r="N477" s="17" t="str">
        <f aca="false">IF($B477="","",IF($L477="已完成",IF($M477="","",$M477-$B477),IF(设置!$B$6&lt;$B477,"",IF((设置!$B$6-$B477)&gt;=设置!$B$5,"超期"&amp;(设置!$B$6-$B477)&amp;"天","已等"&amp;(设置!$B$6-$B477)&amp;"天"))))</f>
        <v/>
      </c>
      <c r="O477" s="18" t="str">
        <f aca="false">IF(OR($D477="",$E477=""),"",COUNTIFS($D$7:$D477,$D477,$E$7:$E477,$E477))</f>
        <v/>
      </c>
      <c r="P477" s="16"/>
      <c r="Q477" s="19"/>
      <c r="R477" s="10"/>
      <c r="S477" s="16"/>
      <c r="T477" s="0" t="str">
        <f aca="false">IF(OR($D477="",单元查询!$B$3=""),"",IF($D477&lt;&gt;单元查询!$B$3,"",IF(OR(单元查询!$D$3="",$E477&amp;""=单元查询!$D$3&amp;""),IF(ISNUMBER($B477),$B477*10000,0)+ROW(),"")))</f>
        <v/>
      </c>
      <c r="U477" s="0" t="str">
        <f aca="false">IF(OR($B477="",$L477="已完成"),"",IF(ISNUMBER($B477),IF(设置!$B$6&lt;$B477,"",(设置!$B$6-$B477)*100000+ROW()),""))</f>
        <v/>
      </c>
      <c r="V477" s="0" t="str">
        <f aca="false">IF(ISNUMBER($O477),IF($O477&gt;=2,IF(COUNTIFS($D477:$D$2006,$D477,$E477:$E$2006,$E477)=1,ROW(),""),""),"")</f>
        <v/>
      </c>
    </row>
    <row r="478" customFormat="false" ht="15" hidden="false" customHeight="true" outlineLevel="0" collapsed="false">
      <c r="A478" s="13" t="str">
        <f aca="false">IF(AND($B478="",$D478="",$E478="",$F478=""),"",IF(OR($B478="",$D478="",$E478=""),"待补",IF($D478="公共区域","公",IF($D478="商铺","S",SUBSTITUTE($D478,"栋","")))&amp;"-"&amp;$E478&amp;"-"&amp;TEXT(MONTH($B478),"00")&amp;TEXT(DAY($B478),"00")&amp;IF(ISNUMBER($O478),IF($O478&gt;1,"-"&amp;TEXT($O478,"00"),""),"")))</f>
        <v/>
      </c>
      <c r="B478" s="14"/>
      <c r="C478" s="10"/>
      <c r="D478" s="10"/>
      <c r="E478" s="10"/>
      <c r="F478" s="16"/>
      <c r="G478" s="10"/>
      <c r="H478" s="10"/>
      <c r="I478" s="10"/>
      <c r="J478" s="10"/>
      <c r="K478" s="10"/>
      <c r="L478" s="10"/>
      <c r="M478" s="14"/>
      <c r="N478" s="17" t="str">
        <f aca="false">IF($B478="","",IF($L478="已完成",IF($M478="","",$M478-$B478),IF(设置!$B$6&lt;$B478,"",IF((设置!$B$6-$B478)&gt;=设置!$B$5,"超期"&amp;(设置!$B$6-$B478)&amp;"天","已等"&amp;(设置!$B$6-$B478)&amp;"天"))))</f>
        <v/>
      </c>
      <c r="O478" s="18" t="str">
        <f aca="false">IF(OR($D478="",$E478=""),"",COUNTIFS($D$7:$D478,$D478,$E$7:$E478,$E478))</f>
        <v/>
      </c>
      <c r="P478" s="16"/>
      <c r="Q478" s="19"/>
      <c r="R478" s="10"/>
      <c r="S478" s="16"/>
      <c r="T478" s="0" t="str">
        <f aca="false">IF(OR($D478="",单元查询!$B$3=""),"",IF($D478&lt;&gt;单元查询!$B$3,"",IF(OR(单元查询!$D$3="",$E478&amp;""=单元查询!$D$3&amp;""),IF(ISNUMBER($B478),$B478*10000,0)+ROW(),"")))</f>
        <v/>
      </c>
      <c r="U478" s="0" t="str">
        <f aca="false">IF(OR($B478="",$L478="已完成"),"",IF(ISNUMBER($B478),IF(设置!$B$6&lt;$B478,"",(设置!$B$6-$B478)*100000+ROW()),""))</f>
        <v/>
      </c>
      <c r="V478" s="0" t="str">
        <f aca="false">IF(ISNUMBER($O478),IF($O478&gt;=2,IF(COUNTIFS($D478:$D$2006,$D478,$E478:$E$2006,$E478)=1,ROW(),""),""),"")</f>
        <v/>
      </c>
    </row>
    <row r="479" customFormat="false" ht="15" hidden="false" customHeight="true" outlineLevel="0" collapsed="false">
      <c r="A479" s="13" t="str">
        <f aca="false">IF(AND($B479="",$D479="",$E479="",$F479=""),"",IF(OR($B479="",$D479="",$E479=""),"待补",IF($D479="公共区域","公",IF($D479="商铺","S",SUBSTITUTE($D479,"栋","")))&amp;"-"&amp;$E479&amp;"-"&amp;TEXT(MONTH($B479),"00")&amp;TEXT(DAY($B479),"00")&amp;IF(ISNUMBER($O479),IF($O479&gt;1,"-"&amp;TEXT($O479,"00"),""),"")))</f>
        <v/>
      </c>
      <c r="B479" s="14"/>
      <c r="C479" s="10"/>
      <c r="D479" s="10"/>
      <c r="E479" s="10"/>
      <c r="F479" s="16"/>
      <c r="G479" s="10"/>
      <c r="H479" s="10"/>
      <c r="I479" s="10"/>
      <c r="J479" s="10"/>
      <c r="K479" s="10"/>
      <c r="L479" s="10"/>
      <c r="M479" s="14"/>
      <c r="N479" s="17" t="str">
        <f aca="false">IF($B479="","",IF($L479="已完成",IF($M479="","",$M479-$B479),IF(设置!$B$6&lt;$B479,"",IF((设置!$B$6-$B479)&gt;=设置!$B$5,"超期"&amp;(设置!$B$6-$B479)&amp;"天","已等"&amp;(设置!$B$6-$B479)&amp;"天"))))</f>
        <v/>
      </c>
      <c r="O479" s="18" t="str">
        <f aca="false">IF(OR($D479="",$E479=""),"",COUNTIFS($D$7:$D479,$D479,$E$7:$E479,$E479))</f>
        <v/>
      </c>
      <c r="P479" s="16"/>
      <c r="Q479" s="19"/>
      <c r="R479" s="10"/>
      <c r="S479" s="16"/>
      <c r="T479" s="0" t="str">
        <f aca="false">IF(OR($D479="",单元查询!$B$3=""),"",IF($D479&lt;&gt;单元查询!$B$3,"",IF(OR(单元查询!$D$3="",$E479&amp;""=单元查询!$D$3&amp;""),IF(ISNUMBER($B479),$B479*10000,0)+ROW(),"")))</f>
        <v/>
      </c>
      <c r="U479" s="0" t="str">
        <f aca="false">IF(OR($B479="",$L479="已完成"),"",IF(ISNUMBER($B479),IF(设置!$B$6&lt;$B479,"",(设置!$B$6-$B479)*100000+ROW()),""))</f>
        <v/>
      </c>
      <c r="V479" s="0" t="str">
        <f aca="false">IF(ISNUMBER($O479),IF($O479&gt;=2,IF(COUNTIFS($D479:$D$2006,$D479,$E479:$E$2006,$E479)=1,ROW(),""),""),"")</f>
        <v/>
      </c>
    </row>
    <row r="480" customFormat="false" ht="15" hidden="false" customHeight="true" outlineLevel="0" collapsed="false">
      <c r="A480" s="13" t="str">
        <f aca="false">IF(AND($B480="",$D480="",$E480="",$F480=""),"",IF(OR($B480="",$D480="",$E480=""),"待补",IF($D480="公共区域","公",IF($D480="商铺","S",SUBSTITUTE($D480,"栋","")))&amp;"-"&amp;$E480&amp;"-"&amp;TEXT(MONTH($B480),"00")&amp;TEXT(DAY($B480),"00")&amp;IF(ISNUMBER($O480),IF($O480&gt;1,"-"&amp;TEXT($O480,"00"),""),"")))</f>
        <v/>
      </c>
      <c r="B480" s="14"/>
      <c r="C480" s="10"/>
      <c r="D480" s="10"/>
      <c r="E480" s="10"/>
      <c r="F480" s="16"/>
      <c r="G480" s="10"/>
      <c r="H480" s="10"/>
      <c r="I480" s="10"/>
      <c r="J480" s="10"/>
      <c r="K480" s="10"/>
      <c r="L480" s="10"/>
      <c r="M480" s="14"/>
      <c r="N480" s="17" t="str">
        <f aca="false">IF($B480="","",IF($L480="已完成",IF($M480="","",$M480-$B480),IF(设置!$B$6&lt;$B480,"",IF((设置!$B$6-$B480)&gt;=设置!$B$5,"超期"&amp;(设置!$B$6-$B480)&amp;"天","已等"&amp;(设置!$B$6-$B480)&amp;"天"))))</f>
        <v/>
      </c>
      <c r="O480" s="18" t="str">
        <f aca="false">IF(OR($D480="",$E480=""),"",COUNTIFS($D$7:$D480,$D480,$E$7:$E480,$E480))</f>
        <v/>
      </c>
      <c r="P480" s="16"/>
      <c r="Q480" s="19"/>
      <c r="R480" s="10"/>
      <c r="S480" s="16"/>
      <c r="T480" s="0" t="str">
        <f aca="false">IF(OR($D480="",单元查询!$B$3=""),"",IF($D480&lt;&gt;单元查询!$B$3,"",IF(OR(单元查询!$D$3="",$E480&amp;""=单元查询!$D$3&amp;""),IF(ISNUMBER($B480),$B480*10000,0)+ROW(),"")))</f>
        <v/>
      </c>
      <c r="U480" s="0" t="str">
        <f aca="false">IF(OR($B480="",$L480="已完成"),"",IF(ISNUMBER($B480),IF(设置!$B$6&lt;$B480,"",(设置!$B$6-$B480)*100000+ROW()),""))</f>
        <v/>
      </c>
      <c r="V480" s="0" t="str">
        <f aca="false">IF(ISNUMBER($O480),IF($O480&gt;=2,IF(COUNTIFS($D480:$D$2006,$D480,$E480:$E$2006,$E480)=1,ROW(),""),""),"")</f>
        <v/>
      </c>
    </row>
    <row r="481" customFormat="false" ht="15" hidden="false" customHeight="true" outlineLevel="0" collapsed="false">
      <c r="A481" s="13" t="str">
        <f aca="false">IF(AND($B481="",$D481="",$E481="",$F481=""),"",IF(OR($B481="",$D481="",$E481=""),"待补",IF($D481="公共区域","公",IF($D481="商铺","S",SUBSTITUTE($D481,"栋","")))&amp;"-"&amp;$E481&amp;"-"&amp;TEXT(MONTH($B481),"00")&amp;TEXT(DAY($B481),"00")&amp;IF(ISNUMBER($O481),IF($O481&gt;1,"-"&amp;TEXT($O481,"00"),""),"")))</f>
        <v/>
      </c>
      <c r="B481" s="14"/>
      <c r="C481" s="10"/>
      <c r="D481" s="10"/>
      <c r="E481" s="10"/>
      <c r="F481" s="16"/>
      <c r="G481" s="10"/>
      <c r="H481" s="10"/>
      <c r="I481" s="10"/>
      <c r="J481" s="10"/>
      <c r="K481" s="10"/>
      <c r="L481" s="10"/>
      <c r="M481" s="14"/>
      <c r="N481" s="17" t="str">
        <f aca="false">IF($B481="","",IF($L481="已完成",IF($M481="","",$M481-$B481),IF(设置!$B$6&lt;$B481,"",IF((设置!$B$6-$B481)&gt;=设置!$B$5,"超期"&amp;(设置!$B$6-$B481)&amp;"天","已等"&amp;(设置!$B$6-$B481)&amp;"天"))))</f>
        <v/>
      </c>
      <c r="O481" s="18" t="str">
        <f aca="false">IF(OR($D481="",$E481=""),"",COUNTIFS($D$7:$D481,$D481,$E$7:$E481,$E481))</f>
        <v/>
      </c>
      <c r="P481" s="16"/>
      <c r="Q481" s="19"/>
      <c r="R481" s="10"/>
      <c r="S481" s="16"/>
      <c r="T481" s="0" t="str">
        <f aca="false">IF(OR($D481="",单元查询!$B$3=""),"",IF($D481&lt;&gt;单元查询!$B$3,"",IF(OR(单元查询!$D$3="",$E481&amp;""=单元查询!$D$3&amp;""),IF(ISNUMBER($B481),$B481*10000,0)+ROW(),"")))</f>
        <v/>
      </c>
      <c r="U481" s="0" t="str">
        <f aca="false">IF(OR($B481="",$L481="已完成"),"",IF(ISNUMBER($B481),IF(设置!$B$6&lt;$B481,"",(设置!$B$6-$B481)*100000+ROW()),""))</f>
        <v/>
      </c>
      <c r="V481" s="0" t="str">
        <f aca="false">IF(ISNUMBER($O481),IF($O481&gt;=2,IF(COUNTIFS($D481:$D$2006,$D481,$E481:$E$2006,$E481)=1,ROW(),""),""),"")</f>
        <v/>
      </c>
    </row>
    <row r="482" customFormat="false" ht="15" hidden="false" customHeight="true" outlineLevel="0" collapsed="false">
      <c r="A482" s="13" t="str">
        <f aca="false">IF(AND($B482="",$D482="",$E482="",$F482=""),"",IF(OR($B482="",$D482="",$E482=""),"待补",IF($D482="公共区域","公",IF($D482="商铺","S",SUBSTITUTE($D482,"栋","")))&amp;"-"&amp;$E482&amp;"-"&amp;TEXT(MONTH($B482),"00")&amp;TEXT(DAY($B482),"00")&amp;IF(ISNUMBER($O482),IF($O482&gt;1,"-"&amp;TEXT($O482,"00"),""),"")))</f>
        <v/>
      </c>
      <c r="B482" s="14"/>
      <c r="C482" s="10"/>
      <c r="D482" s="10"/>
      <c r="E482" s="10"/>
      <c r="F482" s="16"/>
      <c r="G482" s="10"/>
      <c r="H482" s="10"/>
      <c r="I482" s="10"/>
      <c r="J482" s="10"/>
      <c r="K482" s="10"/>
      <c r="L482" s="10"/>
      <c r="M482" s="14"/>
      <c r="N482" s="17" t="str">
        <f aca="false">IF($B482="","",IF($L482="已完成",IF($M482="","",$M482-$B482),IF(设置!$B$6&lt;$B482,"",IF((设置!$B$6-$B482)&gt;=设置!$B$5,"超期"&amp;(设置!$B$6-$B482)&amp;"天","已等"&amp;(设置!$B$6-$B482)&amp;"天"))))</f>
        <v/>
      </c>
      <c r="O482" s="18" t="str">
        <f aca="false">IF(OR($D482="",$E482=""),"",COUNTIFS($D$7:$D482,$D482,$E$7:$E482,$E482))</f>
        <v/>
      </c>
      <c r="P482" s="16"/>
      <c r="Q482" s="19"/>
      <c r="R482" s="10"/>
      <c r="S482" s="16"/>
      <c r="T482" s="0" t="str">
        <f aca="false">IF(OR($D482="",单元查询!$B$3=""),"",IF($D482&lt;&gt;单元查询!$B$3,"",IF(OR(单元查询!$D$3="",$E482&amp;""=单元查询!$D$3&amp;""),IF(ISNUMBER($B482),$B482*10000,0)+ROW(),"")))</f>
        <v/>
      </c>
      <c r="U482" s="0" t="str">
        <f aca="false">IF(OR($B482="",$L482="已完成"),"",IF(ISNUMBER($B482),IF(设置!$B$6&lt;$B482,"",(设置!$B$6-$B482)*100000+ROW()),""))</f>
        <v/>
      </c>
      <c r="V482" s="0" t="str">
        <f aca="false">IF(ISNUMBER($O482),IF($O482&gt;=2,IF(COUNTIFS($D482:$D$2006,$D482,$E482:$E$2006,$E482)=1,ROW(),""),""),"")</f>
        <v/>
      </c>
    </row>
    <row r="483" customFormat="false" ht="15" hidden="false" customHeight="true" outlineLevel="0" collapsed="false">
      <c r="A483" s="13" t="str">
        <f aca="false">IF(AND($B483="",$D483="",$E483="",$F483=""),"",IF(OR($B483="",$D483="",$E483=""),"待补",IF($D483="公共区域","公",IF($D483="商铺","S",SUBSTITUTE($D483,"栋","")))&amp;"-"&amp;$E483&amp;"-"&amp;TEXT(MONTH($B483),"00")&amp;TEXT(DAY($B483),"00")&amp;IF(ISNUMBER($O483),IF($O483&gt;1,"-"&amp;TEXT($O483,"00"),""),"")))</f>
        <v/>
      </c>
      <c r="B483" s="14"/>
      <c r="C483" s="10"/>
      <c r="D483" s="10"/>
      <c r="E483" s="10"/>
      <c r="F483" s="16"/>
      <c r="G483" s="10"/>
      <c r="H483" s="10"/>
      <c r="I483" s="10"/>
      <c r="J483" s="10"/>
      <c r="K483" s="10"/>
      <c r="L483" s="10"/>
      <c r="M483" s="14"/>
      <c r="N483" s="17" t="str">
        <f aca="false">IF($B483="","",IF($L483="已完成",IF($M483="","",$M483-$B483),IF(设置!$B$6&lt;$B483,"",IF((设置!$B$6-$B483)&gt;=设置!$B$5,"超期"&amp;(设置!$B$6-$B483)&amp;"天","已等"&amp;(设置!$B$6-$B483)&amp;"天"))))</f>
        <v/>
      </c>
      <c r="O483" s="18" t="str">
        <f aca="false">IF(OR($D483="",$E483=""),"",COUNTIFS($D$7:$D483,$D483,$E$7:$E483,$E483))</f>
        <v/>
      </c>
      <c r="P483" s="16"/>
      <c r="Q483" s="19"/>
      <c r="R483" s="10"/>
      <c r="S483" s="16"/>
      <c r="T483" s="0" t="str">
        <f aca="false">IF(OR($D483="",单元查询!$B$3=""),"",IF($D483&lt;&gt;单元查询!$B$3,"",IF(OR(单元查询!$D$3="",$E483&amp;""=单元查询!$D$3&amp;""),IF(ISNUMBER($B483),$B483*10000,0)+ROW(),"")))</f>
        <v/>
      </c>
      <c r="U483" s="0" t="str">
        <f aca="false">IF(OR($B483="",$L483="已完成"),"",IF(ISNUMBER($B483),IF(设置!$B$6&lt;$B483,"",(设置!$B$6-$B483)*100000+ROW()),""))</f>
        <v/>
      </c>
      <c r="V483" s="0" t="str">
        <f aca="false">IF(ISNUMBER($O483),IF($O483&gt;=2,IF(COUNTIFS($D483:$D$2006,$D483,$E483:$E$2006,$E483)=1,ROW(),""),""),"")</f>
        <v/>
      </c>
    </row>
    <row r="484" customFormat="false" ht="15" hidden="false" customHeight="true" outlineLevel="0" collapsed="false">
      <c r="A484" s="13" t="str">
        <f aca="false">IF(AND($B484="",$D484="",$E484="",$F484=""),"",IF(OR($B484="",$D484="",$E484=""),"待补",IF($D484="公共区域","公",IF($D484="商铺","S",SUBSTITUTE($D484,"栋","")))&amp;"-"&amp;$E484&amp;"-"&amp;TEXT(MONTH($B484),"00")&amp;TEXT(DAY($B484),"00")&amp;IF(ISNUMBER($O484),IF($O484&gt;1,"-"&amp;TEXT($O484,"00"),""),"")))</f>
        <v/>
      </c>
      <c r="B484" s="14"/>
      <c r="C484" s="10"/>
      <c r="D484" s="10"/>
      <c r="E484" s="10"/>
      <c r="F484" s="16"/>
      <c r="G484" s="10"/>
      <c r="H484" s="10"/>
      <c r="I484" s="10"/>
      <c r="J484" s="10"/>
      <c r="K484" s="10"/>
      <c r="L484" s="10"/>
      <c r="M484" s="14"/>
      <c r="N484" s="17" t="str">
        <f aca="false">IF($B484="","",IF($L484="已完成",IF($M484="","",$M484-$B484),IF(设置!$B$6&lt;$B484,"",IF((设置!$B$6-$B484)&gt;=设置!$B$5,"超期"&amp;(设置!$B$6-$B484)&amp;"天","已等"&amp;(设置!$B$6-$B484)&amp;"天"))))</f>
        <v/>
      </c>
      <c r="O484" s="18" t="str">
        <f aca="false">IF(OR($D484="",$E484=""),"",COUNTIFS($D$7:$D484,$D484,$E$7:$E484,$E484))</f>
        <v/>
      </c>
      <c r="P484" s="16"/>
      <c r="Q484" s="19"/>
      <c r="R484" s="10"/>
      <c r="S484" s="16"/>
      <c r="T484" s="0" t="str">
        <f aca="false">IF(OR($D484="",单元查询!$B$3=""),"",IF($D484&lt;&gt;单元查询!$B$3,"",IF(OR(单元查询!$D$3="",$E484&amp;""=单元查询!$D$3&amp;""),IF(ISNUMBER($B484),$B484*10000,0)+ROW(),"")))</f>
        <v/>
      </c>
      <c r="U484" s="0" t="str">
        <f aca="false">IF(OR($B484="",$L484="已完成"),"",IF(ISNUMBER($B484),IF(设置!$B$6&lt;$B484,"",(设置!$B$6-$B484)*100000+ROW()),""))</f>
        <v/>
      </c>
      <c r="V484" s="0" t="str">
        <f aca="false">IF(ISNUMBER($O484),IF($O484&gt;=2,IF(COUNTIFS($D484:$D$2006,$D484,$E484:$E$2006,$E484)=1,ROW(),""),""),"")</f>
        <v/>
      </c>
    </row>
    <row r="485" customFormat="false" ht="15" hidden="false" customHeight="true" outlineLevel="0" collapsed="false">
      <c r="A485" s="13" t="str">
        <f aca="false">IF(AND($B485="",$D485="",$E485="",$F485=""),"",IF(OR($B485="",$D485="",$E485=""),"待补",IF($D485="公共区域","公",IF($D485="商铺","S",SUBSTITUTE($D485,"栋","")))&amp;"-"&amp;$E485&amp;"-"&amp;TEXT(MONTH($B485),"00")&amp;TEXT(DAY($B485),"00")&amp;IF(ISNUMBER($O485),IF($O485&gt;1,"-"&amp;TEXT($O485,"00"),""),"")))</f>
        <v/>
      </c>
      <c r="B485" s="14"/>
      <c r="C485" s="10"/>
      <c r="D485" s="10"/>
      <c r="E485" s="10"/>
      <c r="F485" s="16"/>
      <c r="G485" s="10"/>
      <c r="H485" s="10"/>
      <c r="I485" s="10"/>
      <c r="J485" s="10"/>
      <c r="K485" s="10"/>
      <c r="L485" s="10"/>
      <c r="M485" s="14"/>
      <c r="N485" s="17" t="str">
        <f aca="false">IF($B485="","",IF($L485="已完成",IF($M485="","",$M485-$B485),IF(设置!$B$6&lt;$B485,"",IF((设置!$B$6-$B485)&gt;=设置!$B$5,"超期"&amp;(设置!$B$6-$B485)&amp;"天","已等"&amp;(设置!$B$6-$B485)&amp;"天"))))</f>
        <v/>
      </c>
      <c r="O485" s="18" t="str">
        <f aca="false">IF(OR($D485="",$E485=""),"",COUNTIFS($D$7:$D485,$D485,$E$7:$E485,$E485))</f>
        <v/>
      </c>
      <c r="P485" s="16"/>
      <c r="Q485" s="19"/>
      <c r="R485" s="10"/>
      <c r="S485" s="16"/>
      <c r="T485" s="0" t="str">
        <f aca="false">IF(OR($D485="",单元查询!$B$3=""),"",IF($D485&lt;&gt;单元查询!$B$3,"",IF(OR(单元查询!$D$3="",$E485&amp;""=单元查询!$D$3&amp;""),IF(ISNUMBER($B485),$B485*10000,0)+ROW(),"")))</f>
        <v/>
      </c>
      <c r="U485" s="0" t="str">
        <f aca="false">IF(OR($B485="",$L485="已完成"),"",IF(ISNUMBER($B485),IF(设置!$B$6&lt;$B485,"",(设置!$B$6-$B485)*100000+ROW()),""))</f>
        <v/>
      </c>
      <c r="V485" s="0" t="str">
        <f aca="false">IF(ISNUMBER($O485),IF($O485&gt;=2,IF(COUNTIFS($D485:$D$2006,$D485,$E485:$E$2006,$E485)=1,ROW(),""),""),"")</f>
        <v/>
      </c>
    </row>
    <row r="486" customFormat="false" ht="15" hidden="false" customHeight="true" outlineLevel="0" collapsed="false">
      <c r="A486" s="13" t="str">
        <f aca="false">IF(AND($B486="",$D486="",$E486="",$F486=""),"",IF(OR($B486="",$D486="",$E486=""),"待补",IF($D486="公共区域","公",IF($D486="商铺","S",SUBSTITUTE($D486,"栋","")))&amp;"-"&amp;$E486&amp;"-"&amp;TEXT(MONTH($B486),"00")&amp;TEXT(DAY($B486),"00")&amp;IF(ISNUMBER($O486),IF($O486&gt;1,"-"&amp;TEXT($O486,"00"),""),"")))</f>
        <v/>
      </c>
      <c r="B486" s="14"/>
      <c r="C486" s="10"/>
      <c r="D486" s="10"/>
      <c r="E486" s="10"/>
      <c r="F486" s="16"/>
      <c r="G486" s="10"/>
      <c r="H486" s="10"/>
      <c r="I486" s="10"/>
      <c r="J486" s="10"/>
      <c r="K486" s="10"/>
      <c r="L486" s="10"/>
      <c r="M486" s="14"/>
      <c r="N486" s="17" t="str">
        <f aca="false">IF($B486="","",IF($L486="已完成",IF($M486="","",$M486-$B486),IF(设置!$B$6&lt;$B486,"",IF((设置!$B$6-$B486)&gt;=设置!$B$5,"超期"&amp;(设置!$B$6-$B486)&amp;"天","已等"&amp;(设置!$B$6-$B486)&amp;"天"))))</f>
        <v/>
      </c>
      <c r="O486" s="18" t="str">
        <f aca="false">IF(OR($D486="",$E486=""),"",COUNTIFS($D$7:$D486,$D486,$E$7:$E486,$E486))</f>
        <v/>
      </c>
      <c r="P486" s="16"/>
      <c r="Q486" s="19"/>
      <c r="R486" s="10"/>
      <c r="S486" s="16"/>
      <c r="T486" s="0" t="str">
        <f aca="false">IF(OR($D486="",单元查询!$B$3=""),"",IF($D486&lt;&gt;单元查询!$B$3,"",IF(OR(单元查询!$D$3="",$E486&amp;""=单元查询!$D$3&amp;""),IF(ISNUMBER($B486),$B486*10000,0)+ROW(),"")))</f>
        <v/>
      </c>
      <c r="U486" s="0" t="str">
        <f aca="false">IF(OR($B486="",$L486="已完成"),"",IF(ISNUMBER($B486),IF(设置!$B$6&lt;$B486,"",(设置!$B$6-$B486)*100000+ROW()),""))</f>
        <v/>
      </c>
      <c r="V486" s="0" t="str">
        <f aca="false">IF(ISNUMBER($O486),IF($O486&gt;=2,IF(COUNTIFS($D486:$D$2006,$D486,$E486:$E$2006,$E486)=1,ROW(),""),""),"")</f>
        <v/>
      </c>
    </row>
    <row r="487" customFormat="false" ht="15" hidden="false" customHeight="true" outlineLevel="0" collapsed="false">
      <c r="A487" s="13" t="str">
        <f aca="false">IF(AND($B487="",$D487="",$E487="",$F487=""),"",IF(OR($B487="",$D487="",$E487=""),"待补",IF($D487="公共区域","公",IF($D487="商铺","S",SUBSTITUTE($D487,"栋","")))&amp;"-"&amp;$E487&amp;"-"&amp;TEXT(MONTH($B487),"00")&amp;TEXT(DAY($B487),"00")&amp;IF(ISNUMBER($O487),IF($O487&gt;1,"-"&amp;TEXT($O487,"00"),""),"")))</f>
        <v/>
      </c>
      <c r="B487" s="14"/>
      <c r="C487" s="10"/>
      <c r="D487" s="10"/>
      <c r="E487" s="10"/>
      <c r="F487" s="16"/>
      <c r="G487" s="10"/>
      <c r="H487" s="10"/>
      <c r="I487" s="10"/>
      <c r="J487" s="10"/>
      <c r="K487" s="10"/>
      <c r="L487" s="10"/>
      <c r="M487" s="14"/>
      <c r="N487" s="17" t="str">
        <f aca="false">IF($B487="","",IF($L487="已完成",IF($M487="","",$M487-$B487),IF(设置!$B$6&lt;$B487,"",IF((设置!$B$6-$B487)&gt;=设置!$B$5,"超期"&amp;(设置!$B$6-$B487)&amp;"天","已等"&amp;(设置!$B$6-$B487)&amp;"天"))))</f>
        <v/>
      </c>
      <c r="O487" s="18" t="str">
        <f aca="false">IF(OR($D487="",$E487=""),"",COUNTIFS($D$7:$D487,$D487,$E$7:$E487,$E487))</f>
        <v/>
      </c>
      <c r="P487" s="16"/>
      <c r="Q487" s="19"/>
      <c r="R487" s="10"/>
      <c r="S487" s="16"/>
      <c r="T487" s="0" t="str">
        <f aca="false">IF(OR($D487="",单元查询!$B$3=""),"",IF($D487&lt;&gt;单元查询!$B$3,"",IF(OR(单元查询!$D$3="",$E487&amp;""=单元查询!$D$3&amp;""),IF(ISNUMBER($B487),$B487*10000,0)+ROW(),"")))</f>
        <v/>
      </c>
      <c r="U487" s="0" t="str">
        <f aca="false">IF(OR($B487="",$L487="已完成"),"",IF(ISNUMBER($B487),IF(设置!$B$6&lt;$B487,"",(设置!$B$6-$B487)*100000+ROW()),""))</f>
        <v/>
      </c>
      <c r="V487" s="0" t="str">
        <f aca="false">IF(ISNUMBER($O487),IF($O487&gt;=2,IF(COUNTIFS($D487:$D$2006,$D487,$E487:$E$2006,$E487)=1,ROW(),""),""),"")</f>
        <v/>
      </c>
    </row>
    <row r="488" customFormat="false" ht="15" hidden="false" customHeight="true" outlineLevel="0" collapsed="false">
      <c r="A488" s="13" t="str">
        <f aca="false">IF(AND($B488="",$D488="",$E488="",$F488=""),"",IF(OR($B488="",$D488="",$E488=""),"待补",IF($D488="公共区域","公",IF($D488="商铺","S",SUBSTITUTE($D488,"栋","")))&amp;"-"&amp;$E488&amp;"-"&amp;TEXT(MONTH($B488),"00")&amp;TEXT(DAY($B488),"00")&amp;IF(ISNUMBER($O488),IF($O488&gt;1,"-"&amp;TEXT($O488,"00"),""),"")))</f>
        <v/>
      </c>
      <c r="B488" s="14"/>
      <c r="C488" s="10"/>
      <c r="D488" s="10"/>
      <c r="E488" s="10"/>
      <c r="F488" s="16"/>
      <c r="G488" s="10"/>
      <c r="H488" s="10"/>
      <c r="I488" s="10"/>
      <c r="J488" s="10"/>
      <c r="K488" s="10"/>
      <c r="L488" s="10"/>
      <c r="M488" s="14"/>
      <c r="N488" s="17" t="str">
        <f aca="false">IF($B488="","",IF($L488="已完成",IF($M488="","",$M488-$B488),IF(设置!$B$6&lt;$B488,"",IF((设置!$B$6-$B488)&gt;=设置!$B$5,"超期"&amp;(设置!$B$6-$B488)&amp;"天","已等"&amp;(设置!$B$6-$B488)&amp;"天"))))</f>
        <v/>
      </c>
      <c r="O488" s="18" t="str">
        <f aca="false">IF(OR($D488="",$E488=""),"",COUNTIFS($D$7:$D488,$D488,$E$7:$E488,$E488))</f>
        <v/>
      </c>
      <c r="P488" s="16"/>
      <c r="Q488" s="19"/>
      <c r="R488" s="10"/>
      <c r="S488" s="16"/>
      <c r="T488" s="0" t="str">
        <f aca="false">IF(OR($D488="",单元查询!$B$3=""),"",IF($D488&lt;&gt;单元查询!$B$3,"",IF(OR(单元查询!$D$3="",$E488&amp;""=单元查询!$D$3&amp;""),IF(ISNUMBER($B488),$B488*10000,0)+ROW(),"")))</f>
        <v/>
      </c>
      <c r="U488" s="0" t="str">
        <f aca="false">IF(OR($B488="",$L488="已完成"),"",IF(ISNUMBER($B488),IF(设置!$B$6&lt;$B488,"",(设置!$B$6-$B488)*100000+ROW()),""))</f>
        <v/>
      </c>
      <c r="V488" s="0" t="str">
        <f aca="false">IF(ISNUMBER($O488),IF($O488&gt;=2,IF(COUNTIFS($D488:$D$2006,$D488,$E488:$E$2006,$E488)=1,ROW(),""),""),"")</f>
        <v/>
      </c>
    </row>
    <row r="489" customFormat="false" ht="15" hidden="false" customHeight="true" outlineLevel="0" collapsed="false">
      <c r="A489" s="13" t="str">
        <f aca="false">IF(AND($B489="",$D489="",$E489="",$F489=""),"",IF(OR($B489="",$D489="",$E489=""),"待补",IF($D489="公共区域","公",IF($D489="商铺","S",SUBSTITUTE($D489,"栋","")))&amp;"-"&amp;$E489&amp;"-"&amp;TEXT(MONTH($B489),"00")&amp;TEXT(DAY($B489),"00")&amp;IF(ISNUMBER($O489),IF($O489&gt;1,"-"&amp;TEXT($O489,"00"),""),"")))</f>
        <v/>
      </c>
      <c r="B489" s="14"/>
      <c r="C489" s="10"/>
      <c r="D489" s="10"/>
      <c r="E489" s="10"/>
      <c r="F489" s="16"/>
      <c r="G489" s="10"/>
      <c r="H489" s="10"/>
      <c r="I489" s="10"/>
      <c r="J489" s="10"/>
      <c r="K489" s="10"/>
      <c r="L489" s="10"/>
      <c r="M489" s="14"/>
      <c r="N489" s="17" t="str">
        <f aca="false">IF($B489="","",IF($L489="已完成",IF($M489="","",$M489-$B489),IF(设置!$B$6&lt;$B489,"",IF((设置!$B$6-$B489)&gt;=设置!$B$5,"超期"&amp;(设置!$B$6-$B489)&amp;"天","已等"&amp;(设置!$B$6-$B489)&amp;"天"))))</f>
        <v/>
      </c>
      <c r="O489" s="18" t="str">
        <f aca="false">IF(OR($D489="",$E489=""),"",COUNTIFS($D$7:$D489,$D489,$E$7:$E489,$E489))</f>
        <v/>
      </c>
      <c r="P489" s="16"/>
      <c r="Q489" s="19"/>
      <c r="R489" s="10"/>
      <c r="S489" s="16"/>
      <c r="T489" s="0" t="str">
        <f aca="false">IF(OR($D489="",单元查询!$B$3=""),"",IF($D489&lt;&gt;单元查询!$B$3,"",IF(OR(单元查询!$D$3="",$E489&amp;""=单元查询!$D$3&amp;""),IF(ISNUMBER($B489),$B489*10000,0)+ROW(),"")))</f>
        <v/>
      </c>
      <c r="U489" s="0" t="str">
        <f aca="false">IF(OR($B489="",$L489="已完成"),"",IF(ISNUMBER($B489),IF(设置!$B$6&lt;$B489,"",(设置!$B$6-$B489)*100000+ROW()),""))</f>
        <v/>
      </c>
      <c r="V489" s="0" t="str">
        <f aca="false">IF(ISNUMBER($O489),IF($O489&gt;=2,IF(COUNTIFS($D489:$D$2006,$D489,$E489:$E$2006,$E489)=1,ROW(),""),""),"")</f>
        <v/>
      </c>
    </row>
    <row r="490" customFormat="false" ht="15" hidden="false" customHeight="true" outlineLevel="0" collapsed="false">
      <c r="A490" s="13" t="str">
        <f aca="false">IF(AND($B490="",$D490="",$E490="",$F490=""),"",IF(OR($B490="",$D490="",$E490=""),"待补",IF($D490="公共区域","公",IF($D490="商铺","S",SUBSTITUTE($D490,"栋","")))&amp;"-"&amp;$E490&amp;"-"&amp;TEXT(MONTH($B490),"00")&amp;TEXT(DAY($B490),"00")&amp;IF(ISNUMBER($O490),IF($O490&gt;1,"-"&amp;TEXT($O490,"00"),""),"")))</f>
        <v/>
      </c>
      <c r="B490" s="14"/>
      <c r="C490" s="10"/>
      <c r="D490" s="10"/>
      <c r="E490" s="10"/>
      <c r="F490" s="16"/>
      <c r="G490" s="10"/>
      <c r="H490" s="10"/>
      <c r="I490" s="10"/>
      <c r="J490" s="10"/>
      <c r="K490" s="10"/>
      <c r="L490" s="10"/>
      <c r="M490" s="14"/>
      <c r="N490" s="17" t="str">
        <f aca="false">IF($B490="","",IF($L490="已完成",IF($M490="","",$M490-$B490),IF(设置!$B$6&lt;$B490,"",IF((设置!$B$6-$B490)&gt;=设置!$B$5,"超期"&amp;(设置!$B$6-$B490)&amp;"天","已等"&amp;(设置!$B$6-$B490)&amp;"天"))))</f>
        <v/>
      </c>
      <c r="O490" s="18" t="str">
        <f aca="false">IF(OR($D490="",$E490=""),"",COUNTIFS($D$7:$D490,$D490,$E$7:$E490,$E490))</f>
        <v/>
      </c>
      <c r="P490" s="16"/>
      <c r="Q490" s="19"/>
      <c r="R490" s="10"/>
      <c r="S490" s="16"/>
      <c r="T490" s="0" t="str">
        <f aca="false">IF(OR($D490="",单元查询!$B$3=""),"",IF($D490&lt;&gt;单元查询!$B$3,"",IF(OR(单元查询!$D$3="",$E490&amp;""=单元查询!$D$3&amp;""),IF(ISNUMBER($B490),$B490*10000,0)+ROW(),"")))</f>
        <v/>
      </c>
      <c r="U490" s="0" t="str">
        <f aca="false">IF(OR($B490="",$L490="已完成"),"",IF(ISNUMBER($B490),IF(设置!$B$6&lt;$B490,"",(设置!$B$6-$B490)*100000+ROW()),""))</f>
        <v/>
      </c>
      <c r="V490" s="0" t="str">
        <f aca="false">IF(ISNUMBER($O490),IF($O490&gt;=2,IF(COUNTIFS($D490:$D$2006,$D490,$E490:$E$2006,$E490)=1,ROW(),""),""),"")</f>
        <v/>
      </c>
    </row>
    <row r="491" customFormat="false" ht="15" hidden="false" customHeight="true" outlineLevel="0" collapsed="false">
      <c r="A491" s="13" t="str">
        <f aca="false">IF(AND($B491="",$D491="",$E491="",$F491=""),"",IF(OR($B491="",$D491="",$E491=""),"待补",IF($D491="公共区域","公",IF($D491="商铺","S",SUBSTITUTE($D491,"栋","")))&amp;"-"&amp;$E491&amp;"-"&amp;TEXT(MONTH($B491),"00")&amp;TEXT(DAY($B491),"00")&amp;IF(ISNUMBER($O491),IF($O491&gt;1,"-"&amp;TEXT($O491,"00"),""),"")))</f>
        <v/>
      </c>
      <c r="B491" s="14"/>
      <c r="C491" s="10"/>
      <c r="D491" s="10"/>
      <c r="E491" s="10"/>
      <c r="F491" s="16"/>
      <c r="G491" s="10"/>
      <c r="H491" s="10"/>
      <c r="I491" s="10"/>
      <c r="J491" s="10"/>
      <c r="K491" s="10"/>
      <c r="L491" s="10"/>
      <c r="M491" s="14"/>
      <c r="N491" s="17" t="str">
        <f aca="false">IF($B491="","",IF($L491="已完成",IF($M491="","",$M491-$B491),IF(设置!$B$6&lt;$B491,"",IF((设置!$B$6-$B491)&gt;=设置!$B$5,"超期"&amp;(设置!$B$6-$B491)&amp;"天","已等"&amp;(设置!$B$6-$B491)&amp;"天"))))</f>
        <v/>
      </c>
      <c r="O491" s="18" t="str">
        <f aca="false">IF(OR($D491="",$E491=""),"",COUNTIFS($D$7:$D491,$D491,$E$7:$E491,$E491))</f>
        <v/>
      </c>
      <c r="P491" s="16"/>
      <c r="Q491" s="19"/>
      <c r="R491" s="10"/>
      <c r="S491" s="16"/>
      <c r="T491" s="0" t="str">
        <f aca="false">IF(OR($D491="",单元查询!$B$3=""),"",IF($D491&lt;&gt;单元查询!$B$3,"",IF(OR(单元查询!$D$3="",$E491&amp;""=单元查询!$D$3&amp;""),IF(ISNUMBER($B491),$B491*10000,0)+ROW(),"")))</f>
        <v/>
      </c>
      <c r="U491" s="0" t="str">
        <f aca="false">IF(OR($B491="",$L491="已完成"),"",IF(ISNUMBER($B491),IF(设置!$B$6&lt;$B491,"",(设置!$B$6-$B491)*100000+ROW()),""))</f>
        <v/>
      </c>
      <c r="V491" s="0" t="str">
        <f aca="false">IF(ISNUMBER($O491),IF($O491&gt;=2,IF(COUNTIFS($D491:$D$2006,$D491,$E491:$E$2006,$E491)=1,ROW(),""),""),"")</f>
        <v/>
      </c>
    </row>
    <row r="492" customFormat="false" ht="15" hidden="false" customHeight="true" outlineLevel="0" collapsed="false">
      <c r="A492" s="13" t="str">
        <f aca="false">IF(AND($B492="",$D492="",$E492="",$F492=""),"",IF(OR($B492="",$D492="",$E492=""),"待补",IF($D492="公共区域","公",IF($D492="商铺","S",SUBSTITUTE($D492,"栋","")))&amp;"-"&amp;$E492&amp;"-"&amp;TEXT(MONTH($B492),"00")&amp;TEXT(DAY($B492),"00")&amp;IF(ISNUMBER($O492),IF($O492&gt;1,"-"&amp;TEXT($O492,"00"),""),"")))</f>
        <v/>
      </c>
      <c r="B492" s="14"/>
      <c r="C492" s="10"/>
      <c r="D492" s="10"/>
      <c r="E492" s="10"/>
      <c r="F492" s="16"/>
      <c r="G492" s="10"/>
      <c r="H492" s="10"/>
      <c r="I492" s="10"/>
      <c r="J492" s="10"/>
      <c r="K492" s="10"/>
      <c r="L492" s="10"/>
      <c r="M492" s="14"/>
      <c r="N492" s="17" t="str">
        <f aca="false">IF($B492="","",IF($L492="已完成",IF($M492="","",$M492-$B492),IF(设置!$B$6&lt;$B492,"",IF((设置!$B$6-$B492)&gt;=设置!$B$5,"超期"&amp;(设置!$B$6-$B492)&amp;"天","已等"&amp;(设置!$B$6-$B492)&amp;"天"))))</f>
        <v/>
      </c>
      <c r="O492" s="18" t="str">
        <f aca="false">IF(OR($D492="",$E492=""),"",COUNTIFS($D$7:$D492,$D492,$E$7:$E492,$E492))</f>
        <v/>
      </c>
      <c r="P492" s="16"/>
      <c r="Q492" s="19"/>
      <c r="R492" s="10"/>
      <c r="S492" s="16"/>
      <c r="T492" s="0" t="str">
        <f aca="false">IF(OR($D492="",单元查询!$B$3=""),"",IF($D492&lt;&gt;单元查询!$B$3,"",IF(OR(单元查询!$D$3="",$E492&amp;""=单元查询!$D$3&amp;""),IF(ISNUMBER($B492),$B492*10000,0)+ROW(),"")))</f>
        <v/>
      </c>
      <c r="U492" s="0" t="str">
        <f aca="false">IF(OR($B492="",$L492="已完成"),"",IF(ISNUMBER($B492),IF(设置!$B$6&lt;$B492,"",(设置!$B$6-$B492)*100000+ROW()),""))</f>
        <v/>
      </c>
      <c r="V492" s="0" t="str">
        <f aca="false">IF(ISNUMBER($O492),IF($O492&gt;=2,IF(COUNTIFS($D492:$D$2006,$D492,$E492:$E$2006,$E492)=1,ROW(),""),""),"")</f>
        <v/>
      </c>
    </row>
    <row r="493" customFormat="false" ht="15" hidden="false" customHeight="true" outlineLevel="0" collapsed="false">
      <c r="A493" s="13" t="str">
        <f aca="false">IF(AND($B493="",$D493="",$E493="",$F493=""),"",IF(OR($B493="",$D493="",$E493=""),"待补",IF($D493="公共区域","公",IF($D493="商铺","S",SUBSTITUTE($D493,"栋","")))&amp;"-"&amp;$E493&amp;"-"&amp;TEXT(MONTH($B493),"00")&amp;TEXT(DAY($B493),"00")&amp;IF(ISNUMBER($O493),IF($O493&gt;1,"-"&amp;TEXT($O493,"00"),""),"")))</f>
        <v/>
      </c>
      <c r="B493" s="14"/>
      <c r="C493" s="10"/>
      <c r="D493" s="10"/>
      <c r="E493" s="10"/>
      <c r="F493" s="16"/>
      <c r="G493" s="10"/>
      <c r="H493" s="10"/>
      <c r="I493" s="10"/>
      <c r="J493" s="10"/>
      <c r="K493" s="10"/>
      <c r="L493" s="10"/>
      <c r="M493" s="14"/>
      <c r="N493" s="17" t="str">
        <f aca="false">IF($B493="","",IF($L493="已完成",IF($M493="","",$M493-$B493),IF(设置!$B$6&lt;$B493,"",IF((设置!$B$6-$B493)&gt;=设置!$B$5,"超期"&amp;(设置!$B$6-$B493)&amp;"天","已等"&amp;(设置!$B$6-$B493)&amp;"天"))))</f>
        <v/>
      </c>
      <c r="O493" s="18" t="str">
        <f aca="false">IF(OR($D493="",$E493=""),"",COUNTIFS($D$7:$D493,$D493,$E$7:$E493,$E493))</f>
        <v/>
      </c>
      <c r="P493" s="16"/>
      <c r="Q493" s="19"/>
      <c r="R493" s="10"/>
      <c r="S493" s="16"/>
      <c r="T493" s="0" t="str">
        <f aca="false">IF(OR($D493="",单元查询!$B$3=""),"",IF($D493&lt;&gt;单元查询!$B$3,"",IF(OR(单元查询!$D$3="",$E493&amp;""=单元查询!$D$3&amp;""),IF(ISNUMBER($B493),$B493*10000,0)+ROW(),"")))</f>
        <v/>
      </c>
      <c r="U493" s="0" t="str">
        <f aca="false">IF(OR($B493="",$L493="已完成"),"",IF(ISNUMBER($B493),IF(设置!$B$6&lt;$B493,"",(设置!$B$6-$B493)*100000+ROW()),""))</f>
        <v/>
      </c>
      <c r="V493" s="0" t="str">
        <f aca="false">IF(ISNUMBER($O493),IF($O493&gt;=2,IF(COUNTIFS($D493:$D$2006,$D493,$E493:$E$2006,$E493)=1,ROW(),""),""),"")</f>
        <v/>
      </c>
    </row>
    <row r="494" customFormat="false" ht="15" hidden="false" customHeight="true" outlineLevel="0" collapsed="false">
      <c r="A494" s="13" t="str">
        <f aca="false">IF(AND($B494="",$D494="",$E494="",$F494=""),"",IF(OR($B494="",$D494="",$E494=""),"待补",IF($D494="公共区域","公",IF($D494="商铺","S",SUBSTITUTE($D494,"栋","")))&amp;"-"&amp;$E494&amp;"-"&amp;TEXT(MONTH($B494),"00")&amp;TEXT(DAY($B494),"00")&amp;IF(ISNUMBER($O494),IF($O494&gt;1,"-"&amp;TEXT($O494,"00"),""),"")))</f>
        <v/>
      </c>
      <c r="B494" s="14"/>
      <c r="C494" s="10"/>
      <c r="D494" s="10"/>
      <c r="E494" s="10"/>
      <c r="F494" s="16"/>
      <c r="G494" s="10"/>
      <c r="H494" s="10"/>
      <c r="I494" s="10"/>
      <c r="J494" s="10"/>
      <c r="K494" s="10"/>
      <c r="L494" s="10"/>
      <c r="M494" s="14"/>
      <c r="N494" s="17" t="str">
        <f aca="false">IF($B494="","",IF($L494="已完成",IF($M494="","",$M494-$B494),IF(设置!$B$6&lt;$B494,"",IF((设置!$B$6-$B494)&gt;=设置!$B$5,"超期"&amp;(设置!$B$6-$B494)&amp;"天","已等"&amp;(设置!$B$6-$B494)&amp;"天"))))</f>
        <v/>
      </c>
      <c r="O494" s="18" t="str">
        <f aca="false">IF(OR($D494="",$E494=""),"",COUNTIFS($D$7:$D494,$D494,$E$7:$E494,$E494))</f>
        <v/>
      </c>
      <c r="P494" s="16"/>
      <c r="Q494" s="19"/>
      <c r="R494" s="10"/>
      <c r="S494" s="16"/>
      <c r="T494" s="0" t="str">
        <f aca="false">IF(OR($D494="",单元查询!$B$3=""),"",IF($D494&lt;&gt;单元查询!$B$3,"",IF(OR(单元查询!$D$3="",$E494&amp;""=单元查询!$D$3&amp;""),IF(ISNUMBER($B494),$B494*10000,0)+ROW(),"")))</f>
        <v/>
      </c>
      <c r="U494" s="0" t="str">
        <f aca="false">IF(OR($B494="",$L494="已完成"),"",IF(ISNUMBER($B494),IF(设置!$B$6&lt;$B494,"",(设置!$B$6-$B494)*100000+ROW()),""))</f>
        <v/>
      </c>
      <c r="V494" s="0" t="str">
        <f aca="false">IF(ISNUMBER($O494),IF($O494&gt;=2,IF(COUNTIFS($D494:$D$2006,$D494,$E494:$E$2006,$E494)=1,ROW(),""),""),"")</f>
        <v/>
      </c>
    </row>
    <row r="495" customFormat="false" ht="15" hidden="false" customHeight="true" outlineLevel="0" collapsed="false">
      <c r="A495" s="13" t="str">
        <f aca="false">IF(AND($B495="",$D495="",$E495="",$F495=""),"",IF(OR($B495="",$D495="",$E495=""),"待补",IF($D495="公共区域","公",IF($D495="商铺","S",SUBSTITUTE($D495,"栋","")))&amp;"-"&amp;$E495&amp;"-"&amp;TEXT(MONTH($B495),"00")&amp;TEXT(DAY($B495),"00")&amp;IF(ISNUMBER($O495),IF($O495&gt;1,"-"&amp;TEXT($O495,"00"),""),"")))</f>
        <v/>
      </c>
      <c r="B495" s="14"/>
      <c r="C495" s="10"/>
      <c r="D495" s="10"/>
      <c r="E495" s="10"/>
      <c r="F495" s="16"/>
      <c r="G495" s="10"/>
      <c r="H495" s="10"/>
      <c r="I495" s="10"/>
      <c r="J495" s="10"/>
      <c r="K495" s="10"/>
      <c r="L495" s="10"/>
      <c r="M495" s="14"/>
      <c r="N495" s="17" t="str">
        <f aca="false">IF($B495="","",IF($L495="已完成",IF($M495="","",$M495-$B495),IF(设置!$B$6&lt;$B495,"",IF((设置!$B$6-$B495)&gt;=设置!$B$5,"超期"&amp;(设置!$B$6-$B495)&amp;"天","已等"&amp;(设置!$B$6-$B495)&amp;"天"))))</f>
        <v/>
      </c>
      <c r="O495" s="18" t="str">
        <f aca="false">IF(OR($D495="",$E495=""),"",COUNTIFS($D$7:$D495,$D495,$E$7:$E495,$E495))</f>
        <v/>
      </c>
      <c r="P495" s="16"/>
      <c r="Q495" s="19"/>
      <c r="R495" s="10"/>
      <c r="S495" s="16"/>
      <c r="T495" s="0" t="str">
        <f aca="false">IF(OR($D495="",单元查询!$B$3=""),"",IF($D495&lt;&gt;单元查询!$B$3,"",IF(OR(单元查询!$D$3="",$E495&amp;""=单元查询!$D$3&amp;""),IF(ISNUMBER($B495),$B495*10000,0)+ROW(),"")))</f>
        <v/>
      </c>
      <c r="U495" s="0" t="str">
        <f aca="false">IF(OR($B495="",$L495="已完成"),"",IF(ISNUMBER($B495),IF(设置!$B$6&lt;$B495,"",(设置!$B$6-$B495)*100000+ROW()),""))</f>
        <v/>
      </c>
      <c r="V495" s="0" t="str">
        <f aca="false">IF(ISNUMBER($O495),IF($O495&gt;=2,IF(COUNTIFS($D495:$D$2006,$D495,$E495:$E$2006,$E495)=1,ROW(),""),""),"")</f>
        <v/>
      </c>
    </row>
    <row r="496" customFormat="false" ht="15" hidden="false" customHeight="true" outlineLevel="0" collapsed="false">
      <c r="A496" s="13" t="str">
        <f aca="false">IF(AND($B496="",$D496="",$E496="",$F496=""),"",IF(OR($B496="",$D496="",$E496=""),"待补",IF($D496="公共区域","公",IF($D496="商铺","S",SUBSTITUTE($D496,"栋","")))&amp;"-"&amp;$E496&amp;"-"&amp;TEXT(MONTH($B496),"00")&amp;TEXT(DAY($B496),"00")&amp;IF(ISNUMBER($O496),IF($O496&gt;1,"-"&amp;TEXT($O496,"00"),""),"")))</f>
        <v/>
      </c>
      <c r="B496" s="14"/>
      <c r="C496" s="10"/>
      <c r="D496" s="10"/>
      <c r="E496" s="10"/>
      <c r="F496" s="16"/>
      <c r="G496" s="10"/>
      <c r="H496" s="10"/>
      <c r="I496" s="10"/>
      <c r="J496" s="10"/>
      <c r="K496" s="10"/>
      <c r="L496" s="10"/>
      <c r="M496" s="14"/>
      <c r="N496" s="17" t="str">
        <f aca="false">IF($B496="","",IF($L496="已完成",IF($M496="","",$M496-$B496),IF(设置!$B$6&lt;$B496,"",IF((设置!$B$6-$B496)&gt;=设置!$B$5,"超期"&amp;(设置!$B$6-$B496)&amp;"天","已等"&amp;(设置!$B$6-$B496)&amp;"天"))))</f>
        <v/>
      </c>
      <c r="O496" s="18" t="str">
        <f aca="false">IF(OR($D496="",$E496=""),"",COUNTIFS($D$7:$D496,$D496,$E$7:$E496,$E496))</f>
        <v/>
      </c>
      <c r="P496" s="16"/>
      <c r="Q496" s="19"/>
      <c r="R496" s="10"/>
      <c r="S496" s="16"/>
      <c r="T496" s="0" t="str">
        <f aca="false">IF(OR($D496="",单元查询!$B$3=""),"",IF($D496&lt;&gt;单元查询!$B$3,"",IF(OR(单元查询!$D$3="",$E496&amp;""=单元查询!$D$3&amp;""),IF(ISNUMBER($B496),$B496*10000,0)+ROW(),"")))</f>
        <v/>
      </c>
      <c r="U496" s="0" t="str">
        <f aca="false">IF(OR($B496="",$L496="已完成"),"",IF(ISNUMBER($B496),IF(设置!$B$6&lt;$B496,"",(设置!$B$6-$B496)*100000+ROW()),""))</f>
        <v/>
      </c>
      <c r="V496" s="0" t="str">
        <f aca="false">IF(ISNUMBER($O496),IF($O496&gt;=2,IF(COUNTIFS($D496:$D$2006,$D496,$E496:$E$2006,$E496)=1,ROW(),""),""),"")</f>
        <v/>
      </c>
    </row>
    <row r="497" customFormat="false" ht="15" hidden="false" customHeight="true" outlineLevel="0" collapsed="false">
      <c r="A497" s="13" t="str">
        <f aca="false">IF(AND($B497="",$D497="",$E497="",$F497=""),"",IF(OR($B497="",$D497="",$E497=""),"待补",IF($D497="公共区域","公",IF($D497="商铺","S",SUBSTITUTE($D497,"栋","")))&amp;"-"&amp;$E497&amp;"-"&amp;TEXT(MONTH($B497),"00")&amp;TEXT(DAY($B497),"00")&amp;IF(ISNUMBER($O497),IF($O497&gt;1,"-"&amp;TEXT($O497,"00"),""),"")))</f>
        <v/>
      </c>
      <c r="B497" s="14"/>
      <c r="C497" s="10"/>
      <c r="D497" s="10"/>
      <c r="E497" s="10"/>
      <c r="F497" s="16"/>
      <c r="G497" s="10"/>
      <c r="H497" s="10"/>
      <c r="I497" s="10"/>
      <c r="J497" s="10"/>
      <c r="K497" s="10"/>
      <c r="L497" s="10"/>
      <c r="M497" s="14"/>
      <c r="N497" s="17" t="str">
        <f aca="false">IF($B497="","",IF($L497="已完成",IF($M497="","",$M497-$B497),IF(设置!$B$6&lt;$B497,"",IF((设置!$B$6-$B497)&gt;=设置!$B$5,"超期"&amp;(设置!$B$6-$B497)&amp;"天","已等"&amp;(设置!$B$6-$B497)&amp;"天"))))</f>
        <v/>
      </c>
      <c r="O497" s="18" t="str">
        <f aca="false">IF(OR($D497="",$E497=""),"",COUNTIFS($D$7:$D497,$D497,$E$7:$E497,$E497))</f>
        <v/>
      </c>
      <c r="P497" s="16"/>
      <c r="Q497" s="19"/>
      <c r="R497" s="10"/>
      <c r="S497" s="16"/>
      <c r="T497" s="0" t="str">
        <f aca="false">IF(OR($D497="",单元查询!$B$3=""),"",IF($D497&lt;&gt;单元查询!$B$3,"",IF(OR(单元查询!$D$3="",$E497&amp;""=单元查询!$D$3&amp;""),IF(ISNUMBER($B497),$B497*10000,0)+ROW(),"")))</f>
        <v/>
      </c>
      <c r="U497" s="0" t="str">
        <f aca="false">IF(OR($B497="",$L497="已完成"),"",IF(ISNUMBER($B497),IF(设置!$B$6&lt;$B497,"",(设置!$B$6-$B497)*100000+ROW()),""))</f>
        <v/>
      </c>
      <c r="V497" s="0" t="str">
        <f aca="false">IF(ISNUMBER($O497),IF($O497&gt;=2,IF(COUNTIFS($D497:$D$2006,$D497,$E497:$E$2006,$E497)=1,ROW(),""),""),"")</f>
        <v/>
      </c>
    </row>
    <row r="498" customFormat="false" ht="15" hidden="false" customHeight="true" outlineLevel="0" collapsed="false">
      <c r="A498" s="13" t="str">
        <f aca="false">IF(AND($B498="",$D498="",$E498="",$F498=""),"",IF(OR($B498="",$D498="",$E498=""),"待补",IF($D498="公共区域","公",IF($D498="商铺","S",SUBSTITUTE($D498,"栋","")))&amp;"-"&amp;$E498&amp;"-"&amp;TEXT(MONTH($B498),"00")&amp;TEXT(DAY($B498),"00")&amp;IF(ISNUMBER($O498),IF($O498&gt;1,"-"&amp;TEXT($O498,"00"),""),"")))</f>
        <v/>
      </c>
      <c r="B498" s="14"/>
      <c r="C498" s="10"/>
      <c r="D498" s="10"/>
      <c r="E498" s="10"/>
      <c r="F498" s="16"/>
      <c r="G498" s="10"/>
      <c r="H498" s="10"/>
      <c r="I498" s="10"/>
      <c r="J498" s="10"/>
      <c r="K498" s="10"/>
      <c r="L498" s="10"/>
      <c r="M498" s="14"/>
      <c r="N498" s="17" t="str">
        <f aca="false">IF($B498="","",IF($L498="已完成",IF($M498="","",$M498-$B498),IF(设置!$B$6&lt;$B498,"",IF((设置!$B$6-$B498)&gt;=设置!$B$5,"超期"&amp;(设置!$B$6-$B498)&amp;"天","已等"&amp;(设置!$B$6-$B498)&amp;"天"))))</f>
        <v/>
      </c>
      <c r="O498" s="18" t="str">
        <f aca="false">IF(OR($D498="",$E498=""),"",COUNTIFS($D$7:$D498,$D498,$E$7:$E498,$E498))</f>
        <v/>
      </c>
      <c r="P498" s="16"/>
      <c r="Q498" s="19"/>
      <c r="R498" s="10"/>
      <c r="S498" s="16"/>
      <c r="T498" s="0" t="str">
        <f aca="false">IF(OR($D498="",单元查询!$B$3=""),"",IF($D498&lt;&gt;单元查询!$B$3,"",IF(OR(单元查询!$D$3="",$E498&amp;""=单元查询!$D$3&amp;""),IF(ISNUMBER($B498),$B498*10000,0)+ROW(),"")))</f>
        <v/>
      </c>
      <c r="U498" s="0" t="str">
        <f aca="false">IF(OR($B498="",$L498="已完成"),"",IF(ISNUMBER($B498),IF(设置!$B$6&lt;$B498,"",(设置!$B$6-$B498)*100000+ROW()),""))</f>
        <v/>
      </c>
      <c r="V498" s="0" t="str">
        <f aca="false">IF(ISNUMBER($O498),IF($O498&gt;=2,IF(COUNTIFS($D498:$D$2006,$D498,$E498:$E$2006,$E498)=1,ROW(),""),""),"")</f>
        <v/>
      </c>
    </row>
    <row r="499" customFormat="false" ht="15" hidden="false" customHeight="true" outlineLevel="0" collapsed="false">
      <c r="A499" s="13" t="str">
        <f aca="false">IF(AND($B499="",$D499="",$E499="",$F499=""),"",IF(OR($B499="",$D499="",$E499=""),"待补",IF($D499="公共区域","公",IF($D499="商铺","S",SUBSTITUTE($D499,"栋","")))&amp;"-"&amp;$E499&amp;"-"&amp;TEXT(MONTH($B499),"00")&amp;TEXT(DAY($B499),"00")&amp;IF(ISNUMBER($O499),IF($O499&gt;1,"-"&amp;TEXT($O499,"00"),""),"")))</f>
        <v/>
      </c>
      <c r="B499" s="14"/>
      <c r="C499" s="10"/>
      <c r="D499" s="10"/>
      <c r="E499" s="10"/>
      <c r="F499" s="16"/>
      <c r="G499" s="10"/>
      <c r="H499" s="10"/>
      <c r="I499" s="10"/>
      <c r="J499" s="10"/>
      <c r="K499" s="10"/>
      <c r="L499" s="10"/>
      <c r="M499" s="14"/>
      <c r="N499" s="17" t="str">
        <f aca="false">IF($B499="","",IF($L499="已完成",IF($M499="","",$M499-$B499),IF(设置!$B$6&lt;$B499,"",IF((设置!$B$6-$B499)&gt;=设置!$B$5,"超期"&amp;(设置!$B$6-$B499)&amp;"天","已等"&amp;(设置!$B$6-$B499)&amp;"天"))))</f>
        <v/>
      </c>
      <c r="O499" s="18" t="str">
        <f aca="false">IF(OR($D499="",$E499=""),"",COUNTIFS($D$7:$D499,$D499,$E$7:$E499,$E499))</f>
        <v/>
      </c>
      <c r="P499" s="16"/>
      <c r="Q499" s="19"/>
      <c r="R499" s="10"/>
      <c r="S499" s="16"/>
      <c r="T499" s="0" t="str">
        <f aca="false">IF(OR($D499="",单元查询!$B$3=""),"",IF($D499&lt;&gt;单元查询!$B$3,"",IF(OR(单元查询!$D$3="",$E499&amp;""=单元查询!$D$3&amp;""),IF(ISNUMBER($B499),$B499*10000,0)+ROW(),"")))</f>
        <v/>
      </c>
      <c r="U499" s="0" t="str">
        <f aca="false">IF(OR($B499="",$L499="已完成"),"",IF(ISNUMBER($B499),IF(设置!$B$6&lt;$B499,"",(设置!$B$6-$B499)*100000+ROW()),""))</f>
        <v/>
      </c>
      <c r="V499" s="0" t="str">
        <f aca="false">IF(ISNUMBER($O499),IF($O499&gt;=2,IF(COUNTIFS($D499:$D$2006,$D499,$E499:$E$2006,$E499)=1,ROW(),""),""),"")</f>
        <v/>
      </c>
    </row>
    <row r="500" customFormat="false" ht="15" hidden="false" customHeight="true" outlineLevel="0" collapsed="false">
      <c r="A500" s="13" t="str">
        <f aca="false">IF(AND($B500="",$D500="",$E500="",$F500=""),"",IF(OR($B500="",$D500="",$E500=""),"待补",IF($D500="公共区域","公",IF($D500="商铺","S",SUBSTITUTE($D500,"栋","")))&amp;"-"&amp;$E500&amp;"-"&amp;TEXT(MONTH($B500),"00")&amp;TEXT(DAY($B500),"00")&amp;IF(ISNUMBER($O500),IF($O500&gt;1,"-"&amp;TEXT($O500,"00"),""),"")))</f>
        <v/>
      </c>
      <c r="B500" s="14"/>
      <c r="C500" s="10"/>
      <c r="D500" s="10"/>
      <c r="E500" s="10"/>
      <c r="F500" s="16"/>
      <c r="G500" s="10"/>
      <c r="H500" s="10"/>
      <c r="I500" s="10"/>
      <c r="J500" s="10"/>
      <c r="K500" s="10"/>
      <c r="L500" s="10"/>
      <c r="M500" s="14"/>
      <c r="N500" s="17" t="str">
        <f aca="false">IF($B500="","",IF($L500="已完成",IF($M500="","",$M500-$B500),IF(设置!$B$6&lt;$B500,"",IF((设置!$B$6-$B500)&gt;=设置!$B$5,"超期"&amp;(设置!$B$6-$B500)&amp;"天","已等"&amp;(设置!$B$6-$B500)&amp;"天"))))</f>
        <v/>
      </c>
      <c r="O500" s="18" t="str">
        <f aca="false">IF(OR($D500="",$E500=""),"",COUNTIFS($D$7:$D500,$D500,$E$7:$E500,$E500))</f>
        <v/>
      </c>
      <c r="P500" s="16"/>
      <c r="Q500" s="19"/>
      <c r="R500" s="10"/>
      <c r="S500" s="16"/>
      <c r="T500" s="0" t="str">
        <f aca="false">IF(OR($D500="",单元查询!$B$3=""),"",IF($D500&lt;&gt;单元查询!$B$3,"",IF(OR(单元查询!$D$3="",$E500&amp;""=单元查询!$D$3&amp;""),IF(ISNUMBER($B500),$B500*10000,0)+ROW(),"")))</f>
        <v/>
      </c>
      <c r="U500" s="0" t="str">
        <f aca="false">IF(OR($B500="",$L500="已完成"),"",IF(ISNUMBER($B500),IF(设置!$B$6&lt;$B500,"",(设置!$B$6-$B500)*100000+ROW()),""))</f>
        <v/>
      </c>
      <c r="V500" s="0" t="str">
        <f aca="false">IF(ISNUMBER($O500),IF($O500&gt;=2,IF(COUNTIFS($D500:$D$2006,$D500,$E500:$E$2006,$E500)=1,ROW(),""),""),"")</f>
        <v/>
      </c>
    </row>
    <row r="501" customFormat="false" ht="15" hidden="false" customHeight="true" outlineLevel="0" collapsed="false">
      <c r="A501" s="13" t="str">
        <f aca="false">IF(AND($B501="",$D501="",$E501="",$F501=""),"",IF(OR($B501="",$D501="",$E501=""),"待补",IF($D501="公共区域","公",IF($D501="商铺","S",SUBSTITUTE($D501,"栋","")))&amp;"-"&amp;$E501&amp;"-"&amp;TEXT(MONTH($B501),"00")&amp;TEXT(DAY($B501),"00")&amp;IF(ISNUMBER($O501),IF($O501&gt;1,"-"&amp;TEXT($O501,"00"),""),"")))</f>
        <v/>
      </c>
      <c r="B501" s="14"/>
      <c r="C501" s="10"/>
      <c r="D501" s="10"/>
      <c r="E501" s="10"/>
      <c r="F501" s="16"/>
      <c r="G501" s="10"/>
      <c r="H501" s="10"/>
      <c r="I501" s="10"/>
      <c r="J501" s="10"/>
      <c r="K501" s="10"/>
      <c r="L501" s="10"/>
      <c r="M501" s="14"/>
      <c r="N501" s="17" t="str">
        <f aca="false">IF($B501="","",IF($L501="已完成",IF($M501="","",$M501-$B501),IF(设置!$B$6&lt;$B501,"",IF((设置!$B$6-$B501)&gt;=设置!$B$5,"超期"&amp;(设置!$B$6-$B501)&amp;"天","已等"&amp;(设置!$B$6-$B501)&amp;"天"))))</f>
        <v/>
      </c>
      <c r="O501" s="18" t="str">
        <f aca="false">IF(OR($D501="",$E501=""),"",COUNTIFS($D$7:$D501,$D501,$E$7:$E501,$E501))</f>
        <v/>
      </c>
      <c r="P501" s="16"/>
      <c r="Q501" s="19"/>
      <c r="R501" s="10"/>
      <c r="S501" s="16"/>
      <c r="T501" s="0" t="str">
        <f aca="false">IF(OR($D501="",单元查询!$B$3=""),"",IF($D501&lt;&gt;单元查询!$B$3,"",IF(OR(单元查询!$D$3="",$E501&amp;""=单元查询!$D$3&amp;""),IF(ISNUMBER($B501),$B501*10000,0)+ROW(),"")))</f>
        <v/>
      </c>
      <c r="U501" s="0" t="str">
        <f aca="false">IF(OR($B501="",$L501="已完成"),"",IF(ISNUMBER($B501),IF(设置!$B$6&lt;$B501,"",(设置!$B$6-$B501)*100000+ROW()),""))</f>
        <v/>
      </c>
      <c r="V501" s="0" t="str">
        <f aca="false">IF(ISNUMBER($O501),IF($O501&gt;=2,IF(COUNTIFS($D501:$D$2006,$D501,$E501:$E$2006,$E501)=1,ROW(),""),""),"")</f>
        <v/>
      </c>
    </row>
    <row r="502" customFormat="false" ht="15" hidden="false" customHeight="true" outlineLevel="0" collapsed="false">
      <c r="A502" s="13" t="str">
        <f aca="false">IF(AND($B502="",$D502="",$E502="",$F502=""),"",IF(OR($B502="",$D502="",$E502=""),"待补",IF($D502="公共区域","公",IF($D502="商铺","S",SUBSTITUTE($D502,"栋","")))&amp;"-"&amp;$E502&amp;"-"&amp;TEXT(MONTH($B502),"00")&amp;TEXT(DAY($B502),"00")&amp;IF(ISNUMBER($O502),IF($O502&gt;1,"-"&amp;TEXT($O502,"00"),""),"")))</f>
        <v/>
      </c>
      <c r="B502" s="14"/>
      <c r="C502" s="10"/>
      <c r="D502" s="10"/>
      <c r="E502" s="10"/>
      <c r="F502" s="16"/>
      <c r="G502" s="10"/>
      <c r="H502" s="10"/>
      <c r="I502" s="10"/>
      <c r="J502" s="10"/>
      <c r="K502" s="10"/>
      <c r="L502" s="10"/>
      <c r="M502" s="14"/>
      <c r="N502" s="17" t="str">
        <f aca="false">IF($B502="","",IF($L502="已完成",IF($M502="","",$M502-$B502),IF(设置!$B$6&lt;$B502,"",IF((设置!$B$6-$B502)&gt;=设置!$B$5,"超期"&amp;(设置!$B$6-$B502)&amp;"天","已等"&amp;(设置!$B$6-$B502)&amp;"天"))))</f>
        <v/>
      </c>
      <c r="O502" s="18" t="str">
        <f aca="false">IF(OR($D502="",$E502=""),"",COUNTIFS($D$7:$D502,$D502,$E$7:$E502,$E502))</f>
        <v/>
      </c>
      <c r="P502" s="16"/>
      <c r="Q502" s="19"/>
      <c r="R502" s="10"/>
      <c r="S502" s="16"/>
      <c r="T502" s="0" t="str">
        <f aca="false">IF(OR($D502="",单元查询!$B$3=""),"",IF($D502&lt;&gt;单元查询!$B$3,"",IF(OR(单元查询!$D$3="",$E502&amp;""=单元查询!$D$3&amp;""),IF(ISNUMBER($B502),$B502*10000,0)+ROW(),"")))</f>
        <v/>
      </c>
      <c r="U502" s="0" t="str">
        <f aca="false">IF(OR($B502="",$L502="已完成"),"",IF(ISNUMBER($B502),IF(设置!$B$6&lt;$B502,"",(设置!$B$6-$B502)*100000+ROW()),""))</f>
        <v/>
      </c>
      <c r="V502" s="0" t="str">
        <f aca="false">IF(ISNUMBER($O502),IF($O502&gt;=2,IF(COUNTIFS($D502:$D$2006,$D502,$E502:$E$2006,$E502)=1,ROW(),""),""),"")</f>
        <v/>
      </c>
    </row>
    <row r="503" customFormat="false" ht="15" hidden="false" customHeight="true" outlineLevel="0" collapsed="false">
      <c r="A503" s="13" t="str">
        <f aca="false">IF(AND($B503="",$D503="",$E503="",$F503=""),"",IF(OR($B503="",$D503="",$E503=""),"待补",IF($D503="公共区域","公",IF($D503="商铺","S",SUBSTITUTE($D503,"栋","")))&amp;"-"&amp;$E503&amp;"-"&amp;TEXT(MONTH($B503),"00")&amp;TEXT(DAY($B503),"00")&amp;IF(ISNUMBER($O503),IF($O503&gt;1,"-"&amp;TEXT($O503,"00"),""),"")))</f>
        <v/>
      </c>
      <c r="B503" s="14"/>
      <c r="C503" s="10"/>
      <c r="D503" s="10"/>
      <c r="E503" s="10"/>
      <c r="F503" s="16"/>
      <c r="G503" s="10"/>
      <c r="H503" s="10"/>
      <c r="I503" s="10"/>
      <c r="J503" s="10"/>
      <c r="K503" s="10"/>
      <c r="L503" s="10"/>
      <c r="M503" s="14"/>
      <c r="N503" s="17" t="str">
        <f aca="false">IF($B503="","",IF($L503="已完成",IF($M503="","",$M503-$B503),IF(设置!$B$6&lt;$B503,"",IF((设置!$B$6-$B503)&gt;=设置!$B$5,"超期"&amp;(设置!$B$6-$B503)&amp;"天","已等"&amp;(设置!$B$6-$B503)&amp;"天"))))</f>
        <v/>
      </c>
      <c r="O503" s="18" t="str">
        <f aca="false">IF(OR($D503="",$E503=""),"",COUNTIFS($D$7:$D503,$D503,$E$7:$E503,$E503))</f>
        <v/>
      </c>
      <c r="P503" s="16"/>
      <c r="Q503" s="19"/>
      <c r="R503" s="10"/>
      <c r="S503" s="16"/>
      <c r="T503" s="0" t="str">
        <f aca="false">IF(OR($D503="",单元查询!$B$3=""),"",IF($D503&lt;&gt;单元查询!$B$3,"",IF(OR(单元查询!$D$3="",$E503&amp;""=单元查询!$D$3&amp;""),IF(ISNUMBER($B503),$B503*10000,0)+ROW(),"")))</f>
        <v/>
      </c>
      <c r="U503" s="0" t="str">
        <f aca="false">IF(OR($B503="",$L503="已完成"),"",IF(ISNUMBER($B503),IF(设置!$B$6&lt;$B503,"",(设置!$B$6-$B503)*100000+ROW()),""))</f>
        <v/>
      </c>
      <c r="V503" s="0" t="str">
        <f aca="false">IF(ISNUMBER($O503),IF($O503&gt;=2,IF(COUNTIFS($D503:$D$2006,$D503,$E503:$E$2006,$E503)=1,ROW(),""),""),"")</f>
        <v/>
      </c>
    </row>
    <row r="504" customFormat="false" ht="15" hidden="false" customHeight="true" outlineLevel="0" collapsed="false">
      <c r="A504" s="13" t="str">
        <f aca="false">IF(AND($B504="",$D504="",$E504="",$F504=""),"",IF(OR($B504="",$D504="",$E504=""),"待补",IF($D504="公共区域","公",IF($D504="商铺","S",SUBSTITUTE($D504,"栋","")))&amp;"-"&amp;$E504&amp;"-"&amp;TEXT(MONTH($B504),"00")&amp;TEXT(DAY($B504),"00")&amp;IF(ISNUMBER($O504),IF($O504&gt;1,"-"&amp;TEXT($O504,"00"),""),"")))</f>
        <v/>
      </c>
      <c r="B504" s="14"/>
      <c r="C504" s="10"/>
      <c r="D504" s="10"/>
      <c r="E504" s="10"/>
      <c r="F504" s="16"/>
      <c r="G504" s="10"/>
      <c r="H504" s="10"/>
      <c r="I504" s="10"/>
      <c r="J504" s="10"/>
      <c r="K504" s="10"/>
      <c r="L504" s="10"/>
      <c r="M504" s="14"/>
      <c r="N504" s="17" t="str">
        <f aca="false">IF($B504="","",IF($L504="已完成",IF($M504="","",$M504-$B504),IF(设置!$B$6&lt;$B504,"",IF((设置!$B$6-$B504)&gt;=设置!$B$5,"超期"&amp;(设置!$B$6-$B504)&amp;"天","已等"&amp;(设置!$B$6-$B504)&amp;"天"))))</f>
        <v/>
      </c>
      <c r="O504" s="18" t="str">
        <f aca="false">IF(OR($D504="",$E504=""),"",COUNTIFS($D$7:$D504,$D504,$E$7:$E504,$E504))</f>
        <v/>
      </c>
      <c r="P504" s="16"/>
      <c r="Q504" s="19"/>
      <c r="R504" s="10"/>
      <c r="S504" s="16"/>
      <c r="T504" s="0" t="str">
        <f aca="false">IF(OR($D504="",单元查询!$B$3=""),"",IF($D504&lt;&gt;单元查询!$B$3,"",IF(OR(单元查询!$D$3="",$E504&amp;""=单元查询!$D$3&amp;""),IF(ISNUMBER($B504),$B504*10000,0)+ROW(),"")))</f>
        <v/>
      </c>
      <c r="U504" s="0" t="str">
        <f aca="false">IF(OR($B504="",$L504="已完成"),"",IF(ISNUMBER($B504),IF(设置!$B$6&lt;$B504,"",(设置!$B$6-$B504)*100000+ROW()),""))</f>
        <v/>
      </c>
      <c r="V504" s="0" t="str">
        <f aca="false">IF(ISNUMBER($O504),IF($O504&gt;=2,IF(COUNTIFS($D504:$D$2006,$D504,$E504:$E$2006,$E504)=1,ROW(),""),""),"")</f>
        <v/>
      </c>
    </row>
    <row r="505" customFormat="false" ht="15" hidden="false" customHeight="true" outlineLevel="0" collapsed="false">
      <c r="A505" s="13" t="str">
        <f aca="false">IF(AND($B505="",$D505="",$E505="",$F505=""),"",IF(OR($B505="",$D505="",$E505=""),"待补",IF($D505="公共区域","公",IF($D505="商铺","S",SUBSTITUTE($D505,"栋","")))&amp;"-"&amp;$E505&amp;"-"&amp;TEXT(MONTH($B505),"00")&amp;TEXT(DAY($B505),"00")&amp;IF(ISNUMBER($O505),IF($O505&gt;1,"-"&amp;TEXT($O505,"00"),""),"")))</f>
        <v/>
      </c>
      <c r="B505" s="14"/>
      <c r="C505" s="10"/>
      <c r="D505" s="10"/>
      <c r="E505" s="10"/>
      <c r="F505" s="16"/>
      <c r="G505" s="10"/>
      <c r="H505" s="10"/>
      <c r="I505" s="10"/>
      <c r="J505" s="10"/>
      <c r="K505" s="10"/>
      <c r="L505" s="10"/>
      <c r="M505" s="14"/>
      <c r="N505" s="17" t="str">
        <f aca="false">IF($B505="","",IF($L505="已完成",IF($M505="","",$M505-$B505),IF(设置!$B$6&lt;$B505,"",IF((设置!$B$6-$B505)&gt;=设置!$B$5,"超期"&amp;(设置!$B$6-$B505)&amp;"天","已等"&amp;(设置!$B$6-$B505)&amp;"天"))))</f>
        <v/>
      </c>
      <c r="O505" s="18" t="str">
        <f aca="false">IF(OR($D505="",$E505=""),"",COUNTIFS($D$7:$D505,$D505,$E$7:$E505,$E505))</f>
        <v/>
      </c>
      <c r="P505" s="16"/>
      <c r="Q505" s="19"/>
      <c r="R505" s="10"/>
      <c r="S505" s="16"/>
      <c r="T505" s="0" t="str">
        <f aca="false">IF(OR($D505="",单元查询!$B$3=""),"",IF($D505&lt;&gt;单元查询!$B$3,"",IF(OR(单元查询!$D$3="",$E505&amp;""=单元查询!$D$3&amp;""),IF(ISNUMBER($B505),$B505*10000,0)+ROW(),"")))</f>
        <v/>
      </c>
      <c r="U505" s="0" t="str">
        <f aca="false">IF(OR($B505="",$L505="已完成"),"",IF(ISNUMBER($B505),IF(设置!$B$6&lt;$B505,"",(设置!$B$6-$B505)*100000+ROW()),""))</f>
        <v/>
      </c>
      <c r="V505" s="0" t="str">
        <f aca="false">IF(ISNUMBER($O505),IF($O505&gt;=2,IF(COUNTIFS($D505:$D$2006,$D505,$E505:$E$2006,$E505)=1,ROW(),""),""),"")</f>
        <v/>
      </c>
    </row>
    <row r="506" customFormat="false" ht="15" hidden="false" customHeight="true" outlineLevel="0" collapsed="false">
      <c r="A506" s="13" t="str">
        <f aca="false">IF(AND($B506="",$D506="",$E506="",$F506=""),"",IF(OR($B506="",$D506="",$E506=""),"待补",IF($D506="公共区域","公",IF($D506="商铺","S",SUBSTITUTE($D506,"栋","")))&amp;"-"&amp;$E506&amp;"-"&amp;TEXT(MONTH($B506),"00")&amp;TEXT(DAY($B506),"00")&amp;IF(ISNUMBER($O506),IF($O506&gt;1,"-"&amp;TEXT($O506,"00"),""),"")))</f>
        <v/>
      </c>
      <c r="B506" s="14"/>
      <c r="C506" s="10"/>
      <c r="D506" s="10"/>
      <c r="E506" s="10"/>
      <c r="F506" s="16"/>
      <c r="G506" s="10"/>
      <c r="H506" s="10"/>
      <c r="I506" s="10"/>
      <c r="J506" s="10"/>
      <c r="K506" s="10"/>
      <c r="L506" s="10"/>
      <c r="M506" s="14"/>
      <c r="N506" s="17" t="str">
        <f aca="false">IF($B506="","",IF($L506="已完成",IF($M506="","",$M506-$B506),IF(设置!$B$6&lt;$B506,"",IF((设置!$B$6-$B506)&gt;=设置!$B$5,"超期"&amp;(设置!$B$6-$B506)&amp;"天","已等"&amp;(设置!$B$6-$B506)&amp;"天"))))</f>
        <v/>
      </c>
      <c r="O506" s="18" t="str">
        <f aca="false">IF(OR($D506="",$E506=""),"",COUNTIFS($D$7:$D506,$D506,$E$7:$E506,$E506))</f>
        <v/>
      </c>
      <c r="P506" s="16"/>
      <c r="Q506" s="19"/>
      <c r="R506" s="10"/>
      <c r="S506" s="16"/>
      <c r="T506" s="0" t="str">
        <f aca="false">IF(OR($D506="",单元查询!$B$3=""),"",IF($D506&lt;&gt;单元查询!$B$3,"",IF(OR(单元查询!$D$3="",$E506&amp;""=单元查询!$D$3&amp;""),IF(ISNUMBER($B506),$B506*10000,0)+ROW(),"")))</f>
        <v/>
      </c>
      <c r="U506" s="0" t="str">
        <f aca="false">IF(OR($B506="",$L506="已完成"),"",IF(ISNUMBER($B506),IF(设置!$B$6&lt;$B506,"",(设置!$B$6-$B506)*100000+ROW()),""))</f>
        <v/>
      </c>
      <c r="V506" s="0" t="str">
        <f aca="false">IF(ISNUMBER($O506),IF($O506&gt;=2,IF(COUNTIFS($D506:$D$2006,$D506,$E506:$E$2006,$E506)=1,ROW(),""),""),"")</f>
        <v/>
      </c>
    </row>
    <row r="507" customFormat="false" ht="15" hidden="false" customHeight="true" outlineLevel="0" collapsed="false">
      <c r="A507" s="13" t="str">
        <f aca="false">IF(AND($B507="",$D507="",$E507="",$F507=""),"",IF(OR($B507="",$D507="",$E507=""),"待补",IF($D507="公共区域","公",IF($D507="商铺","S",SUBSTITUTE($D507,"栋","")))&amp;"-"&amp;$E507&amp;"-"&amp;TEXT(MONTH($B507),"00")&amp;TEXT(DAY($B507),"00")&amp;IF(ISNUMBER($O507),IF($O507&gt;1,"-"&amp;TEXT($O507,"00"),""),"")))</f>
        <v/>
      </c>
      <c r="B507" s="14"/>
      <c r="C507" s="10"/>
      <c r="D507" s="10"/>
      <c r="E507" s="10"/>
      <c r="F507" s="16"/>
      <c r="G507" s="10"/>
      <c r="H507" s="10"/>
      <c r="I507" s="10"/>
      <c r="J507" s="10"/>
      <c r="K507" s="10"/>
      <c r="L507" s="10"/>
      <c r="M507" s="14"/>
      <c r="N507" s="17" t="str">
        <f aca="false">IF($B507="","",IF($L507="已完成",IF($M507="","",$M507-$B507),IF(设置!$B$6&lt;$B507,"",IF((设置!$B$6-$B507)&gt;=设置!$B$5,"超期"&amp;(设置!$B$6-$B507)&amp;"天","已等"&amp;(设置!$B$6-$B507)&amp;"天"))))</f>
        <v/>
      </c>
      <c r="O507" s="18" t="str">
        <f aca="false">IF(OR($D507="",$E507=""),"",COUNTIFS($D$7:$D507,$D507,$E$7:$E507,$E507))</f>
        <v/>
      </c>
      <c r="P507" s="16"/>
      <c r="Q507" s="19"/>
      <c r="R507" s="10"/>
      <c r="S507" s="16"/>
      <c r="T507" s="0" t="str">
        <f aca="false">IF(OR($D507="",单元查询!$B$3=""),"",IF($D507&lt;&gt;单元查询!$B$3,"",IF(OR(单元查询!$D$3="",$E507&amp;""=单元查询!$D$3&amp;""),IF(ISNUMBER($B507),$B507*10000,0)+ROW(),"")))</f>
        <v/>
      </c>
      <c r="U507" s="0" t="str">
        <f aca="false">IF(OR($B507="",$L507="已完成"),"",IF(ISNUMBER($B507),IF(设置!$B$6&lt;$B507,"",(设置!$B$6-$B507)*100000+ROW()),""))</f>
        <v/>
      </c>
      <c r="V507" s="0" t="str">
        <f aca="false">IF(ISNUMBER($O507),IF($O507&gt;=2,IF(COUNTIFS($D507:$D$2006,$D507,$E507:$E$2006,$E507)=1,ROW(),""),""),"")</f>
        <v/>
      </c>
    </row>
    <row r="508" customFormat="false" ht="15" hidden="false" customHeight="true" outlineLevel="0" collapsed="false">
      <c r="A508" s="13" t="str">
        <f aca="false">IF(AND($B508="",$D508="",$E508="",$F508=""),"",IF(OR($B508="",$D508="",$E508=""),"待补",IF($D508="公共区域","公",IF($D508="商铺","S",SUBSTITUTE($D508,"栋","")))&amp;"-"&amp;$E508&amp;"-"&amp;TEXT(MONTH($B508),"00")&amp;TEXT(DAY($B508),"00")&amp;IF(ISNUMBER($O508),IF($O508&gt;1,"-"&amp;TEXT($O508,"00"),""),"")))</f>
        <v/>
      </c>
      <c r="B508" s="14"/>
      <c r="C508" s="10"/>
      <c r="D508" s="10"/>
      <c r="E508" s="10"/>
      <c r="F508" s="16"/>
      <c r="G508" s="10"/>
      <c r="H508" s="10"/>
      <c r="I508" s="10"/>
      <c r="J508" s="10"/>
      <c r="K508" s="10"/>
      <c r="L508" s="10"/>
      <c r="M508" s="14"/>
      <c r="N508" s="17" t="str">
        <f aca="false">IF($B508="","",IF($L508="已完成",IF($M508="","",$M508-$B508),IF(设置!$B$6&lt;$B508,"",IF((设置!$B$6-$B508)&gt;=设置!$B$5,"超期"&amp;(设置!$B$6-$B508)&amp;"天","已等"&amp;(设置!$B$6-$B508)&amp;"天"))))</f>
        <v/>
      </c>
      <c r="O508" s="18" t="str">
        <f aca="false">IF(OR($D508="",$E508=""),"",COUNTIFS($D$7:$D508,$D508,$E$7:$E508,$E508))</f>
        <v/>
      </c>
      <c r="P508" s="16"/>
      <c r="Q508" s="19"/>
      <c r="R508" s="10"/>
      <c r="S508" s="16"/>
      <c r="T508" s="0" t="str">
        <f aca="false">IF(OR($D508="",单元查询!$B$3=""),"",IF($D508&lt;&gt;单元查询!$B$3,"",IF(OR(单元查询!$D$3="",$E508&amp;""=单元查询!$D$3&amp;""),IF(ISNUMBER($B508),$B508*10000,0)+ROW(),"")))</f>
        <v/>
      </c>
      <c r="U508" s="0" t="str">
        <f aca="false">IF(OR($B508="",$L508="已完成"),"",IF(ISNUMBER($B508),IF(设置!$B$6&lt;$B508,"",(设置!$B$6-$B508)*100000+ROW()),""))</f>
        <v/>
      </c>
      <c r="V508" s="0" t="str">
        <f aca="false">IF(ISNUMBER($O508),IF($O508&gt;=2,IF(COUNTIFS($D508:$D$2006,$D508,$E508:$E$2006,$E508)=1,ROW(),""),""),"")</f>
        <v/>
      </c>
    </row>
    <row r="509" customFormat="false" ht="15" hidden="false" customHeight="true" outlineLevel="0" collapsed="false">
      <c r="A509" s="13" t="str">
        <f aca="false">IF(AND($B509="",$D509="",$E509="",$F509=""),"",IF(OR($B509="",$D509="",$E509=""),"待补",IF($D509="公共区域","公",IF($D509="商铺","S",SUBSTITUTE($D509,"栋","")))&amp;"-"&amp;$E509&amp;"-"&amp;TEXT(MONTH($B509),"00")&amp;TEXT(DAY($B509),"00")&amp;IF(ISNUMBER($O509),IF($O509&gt;1,"-"&amp;TEXT($O509,"00"),""),"")))</f>
        <v/>
      </c>
      <c r="B509" s="14"/>
      <c r="C509" s="10"/>
      <c r="D509" s="10"/>
      <c r="E509" s="10"/>
      <c r="F509" s="16"/>
      <c r="G509" s="10"/>
      <c r="H509" s="10"/>
      <c r="I509" s="10"/>
      <c r="J509" s="10"/>
      <c r="K509" s="10"/>
      <c r="L509" s="10"/>
      <c r="M509" s="14"/>
      <c r="N509" s="17" t="str">
        <f aca="false">IF($B509="","",IF($L509="已完成",IF($M509="","",$M509-$B509),IF(设置!$B$6&lt;$B509,"",IF((设置!$B$6-$B509)&gt;=设置!$B$5,"超期"&amp;(设置!$B$6-$B509)&amp;"天","已等"&amp;(设置!$B$6-$B509)&amp;"天"))))</f>
        <v/>
      </c>
      <c r="O509" s="18" t="str">
        <f aca="false">IF(OR($D509="",$E509=""),"",COUNTIFS($D$7:$D509,$D509,$E$7:$E509,$E509))</f>
        <v/>
      </c>
      <c r="P509" s="16"/>
      <c r="Q509" s="19"/>
      <c r="R509" s="10"/>
      <c r="S509" s="16"/>
      <c r="T509" s="0" t="str">
        <f aca="false">IF(OR($D509="",单元查询!$B$3=""),"",IF($D509&lt;&gt;单元查询!$B$3,"",IF(OR(单元查询!$D$3="",$E509&amp;""=单元查询!$D$3&amp;""),IF(ISNUMBER($B509),$B509*10000,0)+ROW(),"")))</f>
        <v/>
      </c>
      <c r="U509" s="0" t="str">
        <f aca="false">IF(OR($B509="",$L509="已完成"),"",IF(ISNUMBER($B509),IF(设置!$B$6&lt;$B509,"",(设置!$B$6-$B509)*100000+ROW()),""))</f>
        <v/>
      </c>
      <c r="V509" s="0" t="str">
        <f aca="false">IF(ISNUMBER($O509),IF($O509&gt;=2,IF(COUNTIFS($D509:$D$2006,$D509,$E509:$E$2006,$E509)=1,ROW(),""),""),"")</f>
        <v/>
      </c>
    </row>
    <row r="510" customFormat="false" ht="15" hidden="false" customHeight="true" outlineLevel="0" collapsed="false">
      <c r="A510" s="13" t="str">
        <f aca="false">IF(AND($B510="",$D510="",$E510="",$F510=""),"",IF(OR($B510="",$D510="",$E510=""),"待补",IF($D510="公共区域","公",IF($D510="商铺","S",SUBSTITUTE($D510,"栋","")))&amp;"-"&amp;$E510&amp;"-"&amp;TEXT(MONTH($B510),"00")&amp;TEXT(DAY($B510),"00")&amp;IF(ISNUMBER($O510),IF($O510&gt;1,"-"&amp;TEXT($O510,"00"),""),"")))</f>
        <v/>
      </c>
      <c r="B510" s="14"/>
      <c r="C510" s="10"/>
      <c r="D510" s="10"/>
      <c r="E510" s="10"/>
      <c r="F510" s="16"/>
      <c r="G510" s="10"/>
      <c r="H510" s="10"/>
      <c r="I510" s="10"/>
      <c r="J510" s="10"/>
      <c r="K510" s="10"/>
      <c r="L510" s="10"/>
      <c r="M510" s="14"/>
      <c r="N510" s="17" t="str">
        <f aca="false">IF($B510="","",IF($L510="已完成",IF($M510="","",$M510-$B510),IF(设置!$B$6&lt;$B510,"",IF((设置!$B$6-$B510)&gt;=设置!$B$5,"超期"&amp;(设置!$B$6-$B510)&amp;"天","已等"&amp;(设置!$B$6-$B510)&amp;"天"))))</f>
        <v/>
      </c>
      <c r="O510" s="18" t="str">
        <f aca="false">IF(OR($D510="",$E510=""),"",COUNTIFS($D$7:$D510,$D510,$E$7:$E510,$E510))</f>
        <v/>
      </c>
      <c r="P510" s="16"/>
      <c r="Q510" s="19"/>
      <c r="R510" s="10"/>
      <c r="S510" s="16"/>
      <c r="T510" s="0" t="str">
        <f aca="false">IF(OR($D510="",单元查询!$B$3=""),"",IF($D510&lt;&gt;单元查询!$B$3,"",IF(OR(单元查询!$D$3="",$E510&amp;""=单元查询!$D$3&amp;""),IF(ISNUMBER($B510),$B510*10000,0)+ROW(),"")))</f>
        <v/>
      </c>
      <c r="U510" s="0" t="str">
        <f aca="false">IF(OR($B510="",$L510="已完成"),"",IF(ISNUMBER($B510),IF(设置!$B$6&lt;$B510,"",(设置!$B$6-$B510)*100000+ROW()),""))</f>
        <v/>
      </c>
      <c r="V510" s="0" t="str">
        <f aca="false">IF(ISNUMBER($O510),IF($O510&gt;=2,IF(COUNTIFS($D510:$D$2006,$D510,$E510:$E$2006,$E510)=1,ROW(),""),""),"")</f>
        <v/>
      </c>
    </row>
    <row r="511" customFormat="false" ht="15" hidden="false" customHeight="true" outlineLevel="0" collapsed="false">
      <c r="A511" s="13" t="str">
        <f aca="false">IF(AND($B511="",$D511="",$E511="",$F511=""),"",IF(OR($B511="",$D511="",$E511=""),"待补",IF($D511="公共区域","公",IF($D511="商铺","S",SUBSTITUTE($D511,"栋","")))&amp;"-"&amp;$E511&amp;"-"&amp;TEXT(MONTH($B511),"00")&amp;TEXT(DAY($B511),"00")&amp;IF(ISNUMBER($O511),IF($O511&gt;1,"-"&amp;TEXT($O511,"00"),""),"")))</f>
        <v/>
      </c>
      <c r="B511" s="14"/>
      <c r="C511" s="10"/>
      <c r="D511" s="10"/>
      <c r="E511" s="10"/>
      <c r="F511" s="16"/>
      <c r="G511" s="10"/>
      <c r="H511" s="10"/>
      <c r="I511" s="10"/>
      <c r="J511" s="10"/>
      <c r="K511" s="10"/>
      <c r="L511" s="10"/>
      <c r="M511" s="14"/>
      <c r="N511" s="17" t="str">
        <f aca="false">IF($B511="","",IF($L511="已完成",IF($M511="","",$M511-$B511),IF(设置!$B$6&lt;$B511,"",IF((设置!$B$6-$B511)&gt;=设置!$B$5,"超期"&amp;(设置!$B$6-$B511)&amp;"天","已等"&amp;(设置!$B$6-$B511)&amp;"天"))))</f>
        <v/>
      </c>
      <c r="O511" s="18" t="str">
        <f aca="false">IF(OR($D511="",$E511=""),"",COUNTIFS($D$7:$D511,$D511,$E$7:$E511,$E511))</f>
        <v/>
      </c>
      <c r="P511" s="16"/>
      <c r="Q511" s="19"/>
      <c r="R511" s="10"/>
      <c r="S511" s="16"/>
      <c r="T511" s="0" t="str">
        <f aca="false">IF(OR($D511="",单元查询!$B$3=""),"",IF($D511&lt;&gt;单元查询!$B$3,"",IF(OR(单元查询!$D$3="",$E511&amp;""=单元查询!$D$3&amp;""),IF(ISNUMBER($B511),$B511*10000,0)+ROW(),"")))</f>
        <v/>
      </c>
      <c r="U511" s="0" t="str">
        <f aca="false">IF(OR($B511="",$L511="已完成"),"",IF(ISNUMBER($B511),IF(设置!$B$6&lt;$B511,"",(设置!$B$6-$B511)*100000+ROW()),""))</f>
        <v/>
      </c>
      <c r="V511" s="0" t="str">
        <f aca="false">IF(ISNUMBER($O511),IF($O511&gt;=2,IF(COUNTIFS($D511:$D$2006,$D511,$E511:$E$2006,$E511)=1,ROW(),""),""),"")</f>
        <v/>
      </c>
    </row>
    <row r="512" customFormat="false" ht="15" hidden="false" customHeight="true" outlineLevel="0" collapsed="false">
      <c r="A512" s="13" t="str">
        <f aca="false">IF(AND($B512="",$D512="",$E512="",$F512=""),"",IF(OR($B512="",$D512="",$E512=""),"待补",IF($D512="公共区域","公",IF($D512="商铺","S",SUBSTITUTE($D512,"栋","")))&amp;"-"&amp;$E512&amp;"-"&amp;TEXT(MONTH($B512),"00")&amp;TEXT(DAY($B512),"00")&amp;IF(ISNUMBER($O512),IF($O512&gt;1,"-"&amp;TEXT($O512,"00"),""),"")))</f>
        <v/>
      </c>
      <c r="B512" s="14"/>
      <c r="C512" s="10"/>
      <c r="D512" s="10"/>
      <c r="E512" s="10"/>
      <c r="F512" s="16"/>
      <c r="G512" s="10"/>
      <c r="H512" s="10"/>
      <c r="I512" s="10"/>
      <c r="J512" s="10"/>
      <c r="K512" s="10"/>
      <c r="L512" s="10"/>
      <c r="M512" s="14"/>
      <c r="N512" s="17" t="str">
        <f aca="false">IF($B512="","",IF($L512="已完成",IF($M512="","",$M512-$B512),IF(设置!$B$6&lt;$B512,"",IF((设置!$B$6-$B512)&gt;=设置!$B$5,"超期"&amp;(设置!$B$6-$B512)&amp;"天","已等"&amp;(设置!$B$6-$B512)&amp;"天"))))</f>
        <v/>
      </c>
      <c r="O512" s="18" t="str">
        <f aca="false">IF(OR($D512="",$E512=""),"",COUNTIFS($D$7:$D512,$D512,$E$7:$E512,$E512))</f>
        <v/>
      </c>
      <c r="P512" s="16"/>
      <c r="Q512" s="19"/>
      <c r="R512" s="10"/>
      <c r="S512" s="16"/>
      <c r="T512" s="0" t="str">
        <f aca="false">IF(OR($D512="",单元查询!$B$3=""),"",IF($D512&lt;&gt;单元查询!$B$3,"",IF(OR(单元查询!$D$3="",$E512&amp;""=单元查询!$D$3&amp;""),IF(ISNUMBER($B512),$B512*10000,0)+ROW(),"")))</f>
        <v/>
      </c>
      <c r="U512" s="0" t="str">
        <f aca="false">IF(OR($B512="",$L512="已完成"),"",IF(ISNUMBER($B512),IF(设置!$B$6&lt;$B512,"",(设置!$B$6-$B512)*100000+ROW()),""))</f>
        <v/>
      </c>
      <c r="V512" s="0" t="str">
        <f aca="false">IF(ISNUMBER($O512),IF($O512&gt;=2,IF(COUNTIFS($D512:$D$2006,$D512,$E512:$E$2006,$E512)=1,ROW(),""),""),"")</f>
        <v/>
      </c>
    </row>
    <row r="513" customFormat="false" ht="15" hidden="false" customHeight="true" outlineLevel="0" collapsed="false">
      <c r="A513" s="13" t="str">
        <f aca="false">IF(AND($B513="",$D513="",$E513="",$F513=""),"",IF(OR($B513="",$D513="",$E513=""),"待补",IF($D513="公共区域","公",IF($D513="商铺","S",SUBSTITUTE($D513,"栋","")))&amp;"-"&amp;$E513&amp;"-"&amp;TEXT(MONTH($B513),"00")&amp;TEXT(DAY($B513),"00")&amp;IF(ISNUMBER($O513),IF($O513&gt;1,"-"&amp;TEXT($O513,"00"),""),"")))</f>
        <v/>
      </c>
      <c r="B513" s="14"/>
      <c r="C513" s="10"/>
      <c r="D513" s="10"/>
      <c r="E513" s="10"/>
      <c r="F513" s="16"/>
      <c r="G513" s="10"/>
      <c r="H513" s="10"/>
      <c r="I513" s="10"/>
      <c r="J513" s="10"/>
      <c r="K513" s="10"/>
      <c r="L513" s="10"/>
      <c r="M513" s="14"/>
      <c r="N513" s="17" t="str">
        <f aca="false">IF($B513="","",IF($L513="已完成",IF($M513="","",$M513-$B513),IF(设置!$B$6&lt;$B513,"",IF((设置!$B$6-$B513)&gt;=设置!$B$5,"超期"&amp;(设置!$B$6-$B513)&amp;"天","已等"&amp;(设置!$B$6-$B513)&amp;"天"))))</f>
        <v/>
      </c>
      <c r="O513" s="18" t="str">
        <f aca="false">IF(OR($D513="",$E513=""),"",COUNTIFS($D$7:$D513,$D513,$E$7:$E513,$E513))</f>
        <v/>
      </c>
      <c r="P513" s="16"/>
      <c r="Q513" s="19"/>
      <c r="R513" s="10"/>
      <c r="S513" s="16"/>
      <c r="T513" s="0" t="str">
        <f aca="false">IF(OR($D513="",单元查询!$B$3=""),"",IF($D513&lt;&gt;单元查询!$B$3,"",IF(OR(单元查询!$D$3="",$E513&amp;""=单元查询!$D$3&amp;""),IF(ISNUMBER($B513),$B513*10000,0)+ROW(),"")))</f>
        <v/>
      </c>
      <c r="U513" s="0" t="str">
        <f aca="false">IF(OR($B513="",$L513="已完成"),"",IF(ISNUMBER($B513),IF(设置!$B$6&lt;$B513,"",(设置!$B$6-$B513)*100000+ROW()),""))</f>
        <v/>
      </c>
      <c r="V513" s="0" t="str">
        <f aca="false">IF(ISNUMBER($O513),IF($O513&gt;=2,IF(COUNTIFS($D513:$D$2006,$D513,$E513:$E$2006,$E513)=1,ROW(),""),""),"")</f>
        <v/>
      </c>
    </row>
    <row r="514" customFormat="false" ht="15" hidden="false" customHeight="true" outlineLevel="0" collapsed="false">
      <c r="A514" s="13" t="str">
        <f aca="false">IF(AND($B514="",$D514="",$E514="",$F514=""),"",IF(OR($B514="",$D514="",$E514=""),"待补",IF($D514="公共区域","公",IF($D514="商铺","S",SUBSTITUTE($D514,"栋","")))&amp;"-"&amp;$E514&amp;"-"&amp;TEXT(MONTH($B514),"00")&amp;TEXT(DAY($B514),"00")&amp;IF(ISNUMBER($O514),IF($O514&gt;1,"-"&amp;TEXT($O514,"00"),""),"")))</f>
        <v/>
      </c>
      <c r="B514" s="14"/>
      <c r="C514" s="10"/>
      <c r="D514" s="10"/>
      <c r="E514" s="10"/>
      <c r="F514" s="16"/>
      <c r="G514" s="10"/>
      <c r="H514" s="10"/>
      <c r="I514" s="10"/>
      <c r="J514" s="10"/>
      <c r="K514" s="10"/>
      <c r="L514" s="10"/>
      <c r="M514" s="14"/>
      <c r="N514" s="17" t="str">
        <f aca="false">IF($B514="","",IF($L514="已完成",IF($M514="","",$M514-$B514),IF(设置!$B$6&lt;$B514,"",IF((设置!$B$6-$B514)&gt;=设置!$B$5,"超期"&amp;(设置!$B$6-$B514)&amp;"天","已等"&amp;(设置!$B$6-$B514)&amp;"天"))))</f>
        <v/>
      </c>
      <c r="O514" s="18" t="str">
        <f aca="false">IF(OR($D514="",$E514=""),"",COUNTIFS($D$7:$D514,$D514,$E$7:$E514,$E514))</f>
        <v/>
      </c>
      <c r="P514" s="16"/>
      <c r="Q514" s="19"/>
      <c r="R514" s="10"/>
      <c r="S514" s="16"/>
      <c r="T514" s="0" t="str">
        <f aca="false">IF(OR($D514="",单元查询!$B$3=""),"",IF($D514&lt;&gt;单元查询!$B$3,"",IF(OR(单元查询!$D$3="",$E514&amp;""=单元查询!$D$3&amp;""),IF(ISNUMBER($B514),$B514*10000,0)+ROW(),"")))</f>
        <v/>
      </c>
      <c r="U514" s="0" t="str">
        <f aca="false">IF(OR($B514="",$L514="已完成"),"",IF(ISNUMBER($B514),IF(设置!$B$6&lt;$B514,"",(设置!$B$6-$B514)*100000+ROW()),""))</f>
        <v/>
      </c>
      <c r="V514" s="0" t="str">
        <f aca="false">IF(ISNUMBER($O514),IF($O514&gt;=2,IF(COUNTIFS($D514:$D$2006,$D514,$E514:$E$2006,$E514)=1,ROW(),""),""),"")</f>
        <v/>
      </c>
    </row>
    <row r="515" customFormat="false" ht="15" hidden="false" customHeight="true" outlineLevel="0" collapsed="false">
      <c r="A515" s="13" t="str">
        <f aca="false">IF(AND($B515="",$D515="",$E515="",$F515=""),"",IF(OR($B515="",$D515="",$E515=""),"待补",IF($D515="公共区域","公",IF($D515="商铺","S",SUBSTITUTE($D515,"栋","")))&amp;"-"&amp;$E515&amp;"-"&amp;TEXT(MONTH($B515),"00")&amp;TEXT(DAY($B515),"00")&amp;IF(ISNUMBER($O515),IF($O515&gt;1,"-"&amp;TEXT($O515,"00"),""),"")))</f>
        <v/>
      </c>
      <c r="B515" s="14"/>
      <c r="C515" s="10"/>
      <c r="D515" s="10"/>
      <c r="E515" s="10"/>
      <c r="F515" s="16"/>
      <c r="G515" s="10"/>
      <c r="H515" s="10"/>
      <c r="I515" s="10"/>
      <c r="J515" s="10"/>
      <c r="K515" s="10"/>
      <c r="L515" s="10"/>
      <c r="M515" s="14"/>
      <c r="N515" s="17" t="str">
        <f aca="false">IF($B515="","",IF($L515="已完成",IF($M515="","",$M515-$B515),IF(设置!$B$6&lt;$B515,"",IF((设置!$B$6-$B515)&gt;=设置!$B$5,"超期"&amp;(设置!$B$6-$B515)&amp;"天","已等"&amp;(设置!$B$6-$B515)&amp;"天"))))</f>
        <v/>
      </c>
      <c r="O515" s="18" t="str">
        <f aca="false">IF(OR($D515="",$E515=""),"",COUNTIFS($D$7:$D515,$D515,$E$7:$E515,$E515))</f>
        <v/>
      </c>
      <c r="P515" s="16"/>
      <c r="Q515" s="19"/>
      <c r="R515" s="10"/>
      <c r="S515" s="16"/>
      <c r="T515" s="0" t="str">
        <f aca="false">IF(OR($D515="",单元查询!$B$3=""),"",IF($D515&lt;&gt;单元查询!$B$3,"",IF(OR(单元查询!$D$3="",$E515&amp;""=单元查询!$D$3&amp;""),IF(ISNUMBER($B515),$B515*10000,0)+ROW(),"")))</f>
        <v/>
      </c>
      <c r="U515" s="0" t="str">
        <f aca="false">IF(OR($B515="",$L515="已完成"),"",IF(ISNUMBER($B515),IF(设置!$B$6&lt;$B515,"",(设置!$B$6-$B515)*100000+ROW()),""))</f>
        <v/>
      </c>
      <c r="V515" s="0" t="str">
        <f aca="false">IF(ISNUMBER($O515),IF($O515&gt;=2,IF(COUNTIFS($D515:$D$2006,$D515,$E515:$E$2006,$E515)=1,ROW(),""),""),"")</f>
        <v/>
      </c>
    </row>
    <row r="516" customFormat="false" ht="15" hidden="false" customHeight="true" outlineLevel="0" collapsed="false">
      <c r="A516" s="13" t="str">
        <f aca="false">IF(AND($B516="",$D516="",$E516="",$F516=""),"",IF(OR($B516="",$D516="",$E516=""),"待补",IF($D516="公共区域","公",IF($D516="商铺","S",SUBSTITUTE($D516,"栋","")))&amp;"-"&amp;$E516&amp;"-"&amp;TEXT(MONTH($B516),"00")&amp;TEXT(DAY($B516),"00")&amp;IF(ISNUMBER($O516),IF($O516&gt;1,"-"&amp;TEXT($O516,"00"),""),"")))</f>
        <v/>
      </c>
      <c r="B516" s="14"/>
      <c r="C516" s="10"/>
      <c r="D516" s="10"/>
      <c r="E516" s="10"/>
      <c r="F516" s="16"/>
      <c r="G516" s="10"/>
      <c r="H516" s="10"/>
      <c r="I516" s="10"/>
      <c r="J516" s="10"/>
      <c r="K516" s="10"/>
      <c r="L516" s="10"/>
      <c r="M516" s="14"/>
      <c r="N516" s="17" t="str">
        <f aca="false">IF($B516="","",IF($L516="已完成",IF($M516="","",$M516-$B516),IF(设置!$B$6&lt;$B516,"",IF((设置!$B$6-$B516)&gt;=设置!$B$5,"超期"&amp;(设置!$B$6-$B516)&amp;"天","已等"&amp;(设置!$B$6-$B516)&amp;"天"))))</f>
        <v/>
      </c>
      <c r="O516" s="18" t="str">
        <f aca="false">IF(OR($D516="",$E516=""),"",COUNTIFS($D$7:$D516,$D516,$E$7:$E516,$E516))</f>
        <v/>
      </c>
      <c r="P516" s="16"/>
      <c r="Q516" s="19"/>
      <c r="R516" s="10"/>
      <c r="S516" s="16"/>
      <c r="T516" s="0" t="str">
        <f aca="false">IF(OR($D516="",单元查询!$B$3=""),"",IF($D516&lt;&gt;单元查询!$B$3,"",IF(OR(单元查询!$D$3="",$E516&amp;""=单元查询!$D$3&amp;""),IF(ISNUMBER($B516),$B516*10000,0)+ROW(),"")))</f>
        <v/>
      </c>
      <c r="U516" s="0" t="str">
        <f aca="false">IF(OR($B516="",$L516="已完成"),"",IF(ISNUMBER($B516),IF(设置!$B$6&lt;$B516,"",(设置!$B$6-$B516)*100000+ROW()),""))</f>
        <v/>
      </c>
      <c r="V516" s="0" t="str">
        <f aca="false">IF(ISNUMBER($O516),IF($O516&gt;=2,IF(COUNTIFS($D516:$D$2006,$D516,$E516:$E$2006,$E516)=1,ROW(),""),""),"")</f>
        <v/>
      </c>
    </row>
    <row r="517" customFormat="false" ht="15" hidden="false" customHeight="true" outlineLevel="0" collapsed="false">
      <c r="A517" s="13" t="str">
        <f aca="false">IF(AND($B517="",$D517="",$E517="",$F517=""),"",IF(OR($B517="",$D517="",$E517=""),"待补",IF($D517="公共区域","公",IF($D517="商铺","S",SUBSTITUTE($D517,"栋","")))&amp;"-"&amp;$E517&amp;"-"&amp;TEXT(MONTH($B517),"00")&amp;TEXT(DAY($B517),"00")&amp;IF(ISNUMBER($O517),IF($O517&gt;1,"-"&amp;TEXT($O517,"00"),""),"")))</f>
        <v/>
      </c>
      <c r="B517" s="14"/>
      <c r="C517" s="10"/>
      <c r="D517" s="10"/>
      <c r="E517" s="10"/>
      <c r="F517" s="16"/>
      <c r="G517" s="10"/>
      <c r="H517" s="10"/>
      <c r="I517" s="10"/>
      <c r="J517" s="10"/>
      <c r="K517" s="10"/>
      <c r="L517" s="10"/>
      <c r="M517" s="14"/>
      <c r="N517" s="17" t="str">
        <f aca="false">IF($B517="","",IF($L517="已完成",IF($M517="","",$M517-$B517),IF(设置!$B$6&lt;$B517,"",IF((设置!$B$6-$B517)&gt;=设置!$B$5,"超期"&amp;(设置!$B$6-$B517)&amp;"天","已等"&amp;(设置!$B$6-$B517)&amp;"天"))))</f>
        <v/>
      </c>
      <c r="O517" s="18" t="str">
        <f aca="false">IF(OR($D517="",$E517=""),"",COUNTIFS($D$7:$D517,$D517,$E$7:$E517,$E517))</f>
        <v/>
      </c>
      <c r="P517" s="16"/>
      <c r="Q517" s="19"/>
      <c r="R517" s="10"/>
      <c r="S517" s="16"/>
      <c r="T517" s="0" t="str">
        <f aca="false">IF(OR($D517="",单元查询!$B$3=""),"",IF($D517&lt;&gt;单元查询!$B$3,"",IF(OR(单元查询!$D$3="",$E517&amp;""=单元查询!$D$3&amp;""),IF(ISNUMBER($B517),$B517*10000,0)+ROW(),"")))</f>
        <v/>
      </c>
      <c r="U517" s="0" t="str">
        <f aca="false">IF(OR($B517="",$L517="已完成"),"",IF(ISNUMBER($B517),IF(设置!$B$6&lt;$B517,"",(设置!$B$6-$B517)*100000+ROW()),""))</f>
        <v/>
      </c>
      <c r="V517" s="0" t="str">
        <f aca="false">IF(ISNUMBER($O517),IF($O517&gt;=2,IF(COUNTIFS($D517:$D$2006,$D517,$E517:$E$2006,$E517)=1,ROW(),""),""),"")</f>
        <v/>
      </c>
    </row>
    <row r="518" customFormat="false" ht="15" hidden="false" customHeight="true" outlineLevel="0" collapsed="false">
      <c r="A518" s="13" t="str">
        <f aca="false">IF(AND($B518="",$D518="",$E518="",$F518=""),"",IF(OR($B518="",$D518="",$E518=""),"待补",IF($D518="公共区域","公",IF($D518="商铺","S",SUBSTITUTE($D518,"栋","")))&amp;"-"&amp;$E518&amp;"-"&amp;TEXT(MONTH($B518),"00")&amp;TEXT(DAY($B518),"00")&amp;IF(ISNUMBER($O518),IF($O518&gt;1,"-"&amp;TEXT($O518,"00"),""),"")))</f>
        <v/>
      </c>
      <c r="B518" s="14"/>
      <c r="C518" s="10"/>
      <c r="D518" s="10"/>
      <c r="E518" s="10"/>
      <c r="F518" s="16"/>
      <c r="G518" s="10"/>
      <c r="H518" s="10"/>
      <c r="I518" s="10"/>
      <c r="J518" s="10"/>
      <c r="K518" s="10"/>
      <c r="L518" s="10"/>
      <c r="M518" s="14"/>
      <c r="N518" s="17" t="str">
        <f aca="false">IF($B518="","",IF($L518="已完成",IF($M518="","",$M518-$B518),IF(设置!$B$6&lt;$B518,"",IF((设置!$B$6-$B518)&gt;=设置!$B$5,"超期"&amp;(设置!$B$6-$B518)&amp;"天","已等"&amp;(设置!$B$6-$B518)&amp;"天"))))</f>
        <v/>
      </c>
      <c r="O518" s="18" t="str">
        <f aca="false">IF(OR($D518="",$E518=""),"",COUNTIFS($D$7:$D518,$D518,$E$7:$E518,$E518))</f>
        <v/>
      </c>
      <c r="P518" s="16"/>
      <c r="Q518" s="19"/>
      <c r="R518" s="10"/>
      <c r="S518" s="16"/>
      <c r="T518" s="0" t="str">
        <f aca="false">IF(OR($D518="",单元查询!$B$3=""),"",IF($D518&lt;&gt;单元查询!$B$3,"",IF(OR(单元查询!$D$3="",$E518&amp;""=单元查询!$D$3&amp;""),IF(ISNUMBER($B518),$B518*10000,0)+ROW(),"")))</f>
        <v/>
      </c>
      <c r="U518" s="0" t="str">
        <f aca="false">IF(OR($B518="",$L518="已完成"),"",IF(ISNUMBER($B518),IF(设置!$B$6&lt;$B518,"",(设置!$B$6-$B518)*100000+ROW()),""))</f>
        <v/>
      </c>
      <c r="V518" s="0" t="str">
        <f aca="false">IF(ISNUMBER($O518),IF($O518&gt;=2,IF(COUNTIFS($D518:$D$2006,$D518,$E518:$E$2006,$E518)=1,ROW(),""),""),"")</f>
        <v/>
      </c>
    </row>
    <row r="519" customFormat="false" ht="15" hidden="false" customHeight="true" outlineLevel="0" collapsed="false">
      <c r="A519" s="13" t="str">
        <f aca="false">IF(AND($B519="",$D519="",$E519="",$F519=""),"",IF(OR($B519="",$D519="",$E519=""),"待补",IF($D519="公共区域","公",IF($D519="商铺","S",SUBSTITUTE($D519,"栋","")))&amp;"-"&amp;$E519&amp;"-"&amp;TEXT(MONTH($B519),"00")&amp;TEXT(DAY($B519),"00")&amp;IF(ISNUMBER($O519),IF($O519&gt;1,"-"&amp;TEXT($O519,"00"),""),"")))</f>
        <v/>
      </c>
      <c r="B519" s="14"/>
      <c r="C519" s="10"/>
      <c r="D519" s="10"/>
      <c r="E519" s="10"/>
      <c r="F519" s="16"/>
      <c r="G519" s="10"/>
      <c r="H519" s="10"/>
      <c r="I519" s="10"/>
      <c r="J519" s="10"/>
      <c r="K519" s="10"/>
      <c r="L519" s="10"/>
      <c r="M519" s="14"/>
      <c r="N519" s="17" t="str">
        <f aca="false">IF($B519="","",IF($L519="已完成",IF($M519="","",$M519-$B519),IF(设置!$B$6&lt;$B519,"",IF((设置!$B$6-$B519)&gt;=设置!$B$5,"超期"&amp;(设置!$B$6-$B519)&amp;"天","已等"&amp;(设置!$B$6-$B519)&amp;"天"))))</f>
        <v/>
      </c>
      <c r="O519" s="18" t="str">
        <f aca="false">IF(OR($D519="",$E519=""),"",COUNTIFS($D$7:$D519,$D519,$E$7:$E519,$E519))</f>
        <v/>
      </c>
      <c r="P519" s="16"/>
      <c r="Q519" s="19"/>
      <c r="R519" s="10"/>
      <c r="S519" s="16"/>
      <c r="T519" s="0" t="str">
        <f aca="false">IF(OR($D519="",单元查询!$B$3=""),"",IF($D519&lt;&gt;单元查询!$B$3,"",IF(OR(单元查询!$D$3="",$E519&amp;""=单元查询!$D$3&amp;""),IF(ISNUMBER($B519),$B519*10000,0)+ROW(),"")))</f>
        <v/>
      </c>
      <c r="U519" s="0" t="str">
        <f aca="false">IF(OR($B519="",$L519="已完成"),"",IF(ISNUMBER($B519),IF(设置!$B$6&lt;$B519,"",(设置!$B$6-$B519)*100000+ROW()),""))</f>
        <v/>
      </c>
      <c r="V519" s="0" t="str">
        <f aca="false">IF(ISNUMBER($O519),IF($O519&gt;=2,IF(COUNTIFS($D519:$D$2006,$D519,$E519:$E$2006,$E519)=1,ROW(),""),""),"")</f>
        <v/>
      </c>
    </row>
    <row r="520" customFormat="false" ht="15" hidden="false" customHeight="true" outlineLevel="0" collapsed="false">
      <c r="A520" s="13" t="str">
        <f aca="false">IF(AND($B520="",$D520="",$E520="",$F520=""),"",IF(OR($B520="",$D520="",$E520=""),"待补",IF($D520="公共区域","公",IF($D520="商铺","S",SUBSTITUTE($D520,"栋","")))&amp;"-"&amp;$E520&amp;"-"&amp;TEXT(MONTH($B520),"00")&amp;TEXT(DAY($B520),"00")&amp;IF(ISNUMBER($O520),IF($O520&gt;1,"-"&amp;TEXT($O520,"00"),""),"")))</f>
        <v/>
      </c>
      <c r="B520" s="14"/>
      <c r="C520" s="10"/>
      <c r="D520" s="10"/>
      <c r="E520" s="10"/>
      <c r="F520" s="16"/>
      <c r="G520" s="10"/>
      <c r="H520" s="10"/>
      <c r="I520" s="10"/>
      <c r="J520" s="10"/>
      <c r="K520" s="10"/>
      <c r="L520" s="10"/>
      <c r="M520" s="14"/>
      <c r="N520" s="17" t="str">
        <f aca="false">IF($B520="","",IF($L520="已完成",IF($M520="","",$M520-$B520),IF(设置!$B$6&lt;$B520,"",IF((设置!$B$6-$B520)&gt;=设置!$B$5,"超期"&amp;(设置!$B$6-$B520)&amp;"天","已等"&amp;(设置!$B$6-$B520)&amp;"天"))))</f>
        <v/>
      </c>
      <c r="O520" s="18" t="str">
        <f aca="false">IF(OR($D520="",$E520=""),"",COUNTIFS($D$7:$D520,$D520,$E$7:$E520,$E520))</f>
        <v/>
      </c>
      <c r="P520" s="16"/>
      <c r="Q520" s="19"/>
      <c r="R520" s="10"/>
      <c r="S520" s="16"/>
      <c r="T520" s="0" t="str">
        <f aca="false">IF(OR($D520="",单元查询!$B$3=""),"",IF($D520&lt;&gt;单元查询!$B$3,"",IF(OR(单元查询!$D$3="",$E520&amp;""=单元查询!$D$3&amp;""),IF(ISNUMBER($B520),$B520*10000,0)+ROW(),"")))</f>
        <v/>
      </c>
      <c r="U520" s="0" t="str">
        <f aca="false">IF(OR($B520="",$L520="已完成"),"",IF(ISNUMBER($B520),IF(设置!$B$6&lt;$B520,"",(设置!$B$6-$B520)*100000+ROW()),""))</f>
        <v/>
      </c>
      <c r="V520" s="0" t="str">
        <f aca="false">IF(ISNUMBER($O520),IF($O520&gt;=2,IF(COUNTIFS($D520:$D$2006,$D520,$E520:$E$2006,$E520)=1,ROW(),""),""),"")</f>
        <v/>
      </c>
    </row>
    <row r="521" customFormat="false" ht="15" hidden="false" customHeight="true" outlineLevel="0" collapsed="false">
      <c r="A521" s="13" t="str">
        <f aca="false">IF(AND($B521="",$D521="",$E521="",$F521=""),"",IF(OR($B521="",$D521="",$E521=""),"待补",IF($D521="公共区域","公",IF($D521="商铺","S",SUBSTITUTE($D521,"栋","")))&amp;"-"&amp;$E521&amp;"-"&amp;TEXT(MONTH($B521),"00")&amp;TEXT(DAY($B521),"00")&amp;IF(ISNUMBER($O521),IF($O521&gt;1,"-"&amp;TEXT($O521,"00"),""),"")))</f>
        <v/>
      </c>
      <c r="B521" s="14"/>
      <c r="C521" s="10"/>
      <c r="D521" s="10"/>
      <c r="E521" s="10"/>
      <c r="F521" s="16"/>
      <c r="G521" s="10"/>
      <c r="H521" s="10"/>
      <c r="I521" s="10"/>
      <c r="J521" s="10"/>
      <c r="K521" s="10"/>
      <c r="L521" s="10"/>
      <c r="M521" s="14"/>
      <c r="N521" s="17" t="str">
        <f aca="false">IF($B521="","",IF($L521="已完成",IF($M521="","",$M521-$B521),IF(设置!$B$6&lt;$B521,"",IF((设置!$B$6-$B521)&gt;=设置!$B$5,"超期"&amp;(设置!$B$6-$B521)&amp;"天","已等"&amp;(设置!$B$6-$B521)&amp;"天"))))</f>
        <v/>
      </c>
      <c r="O521" s="18" t="str">
        <f aca="false">IF(OR($D521="",$E521=""),"",COUNTIFS($D$7:$D521,$D521,$E$7:$E521,$E521))</f>
        <v/>
      </c>
      <c r="P521" s="16"/>
      <c r="Q521" s="19"/>
      <c r="R521" s="10"/>
      <c r="S521" s="16"/>
      <c r="T521" s="0" t="str">
        <f aca="false">IF(OR($D521="",单元查询!$B$3=""),"",IF($D521&lt;&gt;单元查询!$B$3,"",IF(OR(单元查询!$D$3="",$E521&amp;""=单元查询!$D$3&amp;""),IF(ISNUMBER($B521),$B521*10000,0)+ROW(),"")))</f>
        <v/>
      </c>
      <c r="U521" s="0" t="str">
        <f aca="false">IF(OR($B521="",$L521="已完成"),"",IF(ISNUMBER($B521),IF(设置!$B$6&lt;$B521,"",(设置!$B$6-$B521)*100000+ROW()),""))</f>
        <v/>
      </c>
      <c r="V521" s="0" t="str">
        <f aca="false">IF(ISNUMBER($O521),IF($O521&gt;=2,IF(COUNTIFS($D521:$D$2006,$D521,$E521:$E$2006,$E521)=1,ROW(),""),""),"")</f>
        <v/>
      </c>
    </row>
    <row r="522" customFormat="false" ht="15" hidden="false" customHeight="true" outlineLevel="0" collapsed="false">
      <c r="A522" s="13" t="str">
        <f aca="false">IF(AND($B522="",$D522="",$E522="",$F522=""),"",IF(OR($B522="",$D522="",$E522=""),"待补",IF($D522="公共区域","公",IF($D522="商铺","S",SUBSTITUTE($D522,"栋","")))&amp;"-"&amp;$E522&amp;"-"&amp;TEXT(MONTH($B522),"00")&amp;TEXT(DAY($B522),"00")&amp;IF(ISNUMBER($O522),IF($O522&gt;1,"-"&amp;TEXT($O522,"00"),""),"")))</f>
        <v/>
      </c>
      <c r="B522" s="14"/>
      <c r="C522" s="10"/>
      <c r="D522" s="10"/>
      <c r="E522" s="10"/>
      <c r="F522" s="16"/>
      <c r="G522" s="10"/>
      <c r="H522" s="10"/>
      <c r="I522" s="10"/>
      <c r="J522" s="10"/>
      <c r="K522" s="10"/>
      <c r="L522" s="10"/>
      <c r="M522" s="14"/>
      <c r="N522" s="17" t="str">
        <f aca="false">IF($B522="","",IF($L522="已完成",IF($M522="","",$M522-$B522),IF(设置!$B$6&lt;$B522,"",IF((设置!$B$6-$B522)&gt;=设置!$B$5,"超期"&amp;(设置!$B$6-$B522)&amp;"天","已等"&amp;(设置!$B$6-$B522)&amp;"天"))))</f>
        <v/>
      </c>
      <c r="O522" s="18" t="str">
        <f aca="false">IF(OR($D522="",$E522=""),"",COUNTIFS($D$7:$D522,$D522,$E$7:$E522,$E522))</f>
        <v/>
      </c>
      <c r="P522" s="16"/>
      <c r="Q522" s="19"/>
      <c r="R522" s="10"/>
      <c r="S522" s="16"/>
      <c r="T522" s="0" t="str">
        <f aca="false">IF(OR($D522="",单元查询!$B$3=""),"",IF($D522&lt;&gt;单元查询!$B$3,"",IF(OR(单元查询!$D$3="",$E522&amp;""=单元查询!$D$3&amp;""),IF(ISNUMBER($B522),$B522*10000,0)+ROW(),"")))</f>
        <v/>
      </c>
      <c r="U522" s="0" t="str">
        <f aca="false">IF(OR($B522="",$L522="已完成"),"",IF(ISNUMBER($B522),IF(设置!$B$6&lt;$B522,"",(设置!$B$6-$B522)*100000+ROW()),""))</f>
        <v/>
      </c>
      <c r="V522" s="0" t="str">
        <f aca="false">IF(ISNUMBER($O522),IF($O522&gt;=2,IF(COUNTIFS($D522:$D$2006,$D522,$E522:$E$2006,$E522)=1,ROW(),""),""),"")</f>
        <v/>
      </c>
    </row>
    <row r="523" customFormat="false" ht="15" hidden="false" customHeight="true" outlineLevel="0" collapsed="false">
      <c r="A523" s="13" t="str">
        <f aca="false">IF(AND($B523="",$D523="",$E523="",$F523=""),"",IF(OR($B523="",$D523="",$E523=""),"待补",IF($D523="公共区域","公",IF($D523="商铺","S",SUBSTITUTE($D523,"栋","")))&amp;"-"&amp;$E523&amp;"-"&amp;TEXT(MONTH($B523),"00")&amp;TEXT(DAY($B523),"00")&amp;IF(ISNUMBER($O523),IF($O523&gt;1,"-"&amp;TEXT($O523,"00"),""),"")))</f>
        <v/>
      </c>
      <c r="B523" s="14"/>
      <c r="C523" s="10"/>
      <c r="D523" s="10"/>
      <c r="E523" s="10"/>
      <c r="F523" s="16"/>
      <c r="G523" s="10"/>
      <c r="H523" s="10"/>
      <c r="I523" s="10"/>
      <c r="J523" s="10"/>
      <c r="K523" s="10"/>
      <c r="L523" s="10"/>
      <c r="M523" s="14"/>
      <c r="N523" s="17" t="str">
        <f aca="false">IF($B523="","",IF($L523="已完成",IF($M523="","",$M523-$B523),IF(设置!$B$6&lt;$B523,"",IF((设置!$B$6-$B523)&gt;=设置!$B$5,"超期"&amp;(设置!$B$6-$B523)&amp;"天","已等"&amp;(设置!$B$6-$B523)&amp;"天"))))</f>
        <v/>
      </c>
      <c r="O523" s="18" t="str">
        <f aca="false">IF(OR($D523="",$E523=""),"",COUNTIFS($D$7:$D523,$D523,$E$7:$E523,$E523))</f>
        <v/>
      </c>
      <c r="P523" s="16"/>
      <c r="Q523" s="19"/>
      <c r="R523" s="10"/>
      <c r="S523" s="16"/>
      <c r="T523" s="0" t="str">
        <f aca="false">IF(OR($D523="",单元查询!$B$3=""),"",IF($D523&lt;&gt;单元查询!$B$3,"",IF(OR(单元查询!$D$3="",$E523&amp;""=单元查询!$D$3&amp;""),IF(ISNUMBER($B523),$B523*10000,0)+ROW(),"")))</f>
        <v/>
      </c>
      <c r="U523" s="0" t="str">
        <f aca="false">IF(OR($B523="",$L523="已完成"),"",IF(ISNUMBER($B523),IF(设置!$B$6&lt;$B523,"",(设置!$B$6-$B523)*100000+ROW()),""))</f>
        <v/>
      </c>
      <c r="V523" s="0" t="str">
        <f aca="false">IF(ISNUMBER($O523),IF($O523&gt;=2,IF(COUNTIFS($D523:$D$2006,$D523,$E523:$E$2006,$E523)=1,ROW(),""),""),"")</f>
        <v/>
      </c>
    </row>
    <row r="524" customFormat="false" ht="15" hidden="false" customHeight="true" outlineLevel="0" collapsed="false">
      <c r="A524" s="13" t="str">
        <f aca="false">IF(AND($B524="",$D524="",$E524="",$F524=""),"",IF(OR($B524="",$D524="",$E524=""),"待补",IF($D524="公共区域","公",IF($D524="商铺","S",SUBSTITUTE($D524,"栋","")))&amp;"-"&amp;$E524&amp;"-"&amp;TEXT(MONTH($B524),"00")&amp;TEXT(DAY($B524),"00")&amp;IF(ISNUMBER($O524),IF($O524&gt;1,"-"&amp;TEXT($O524,"00"),""),"")))</f>
        <v/>
      </c>
      <c r="B524" s="14"/>
      <c r="C524" s="10"/>
      <c r="D524" s="10"/>
      <c r="E524" s="10"/>
      <c r="F524" s="16"/>
      <c r="G524" s="10"/>
      <c r="H524" s="10"/>
      <c r="I524" s="10"/>
      <c r="J524" s="10"/>
      <c r="K524" s="10"/>
      <c r="L524" s="10"/>
      <c r="M524" s="14"/>
      <c r="N524" s="17" t="str">
        <f aca="false">IF($B524="","",IF($L524="已完成",IF($M524="","",$M524-$B524),IF(设置!$B$6&lt;$B524,"",IF((设置!$B$6-$B524)&gt;=设置!$B$5,"超期"&amp;(设置!$B$6-$B524)&amp;"天","已等"&amp;(设置!$B$6-$B524)&amp;"天"))))</f>
        <v/>
      </c>
      <c r="O524" s="18" t="str">
        <f aca="false">IF(OR($D524="",$E524=""),"",COUNTIFS($D$7:$D524,$D524,$E$7:$E524,$E524))</f>
        <v/>
      </c>
      <c r="P524" s="16"/>
      <c r="Q524" s="19"/>
      <c r="R524" s="10"/>
      <c r="S524" s="16"/>
      <c r="T524" s="0" t="str">
        <f aca="false">IF(OR($D524="",单元查询!$B$3=""),"",IF($D524&lt;&gt;单元查询!$B$3,"",IF(OR(单元查询!$D$3="",$E524&amp;""=单元查询!$D$3&amp;""),IF(ISNUMBER($B524),$B524*10000,0)+ROW(),"")))</f>
        <v/>
      </c>
      <c r="U524" s="0" t="str">
        <f aca="false">IF(OR($B524="",$L524="已完成"),"",IF(ISNUMBER($B524),IF(设置!$B$6&lt;$B524,"",(设置!$B$6-$B524)*100000+ROW()),""))</f>
        <v/>
      </c>
      <c r="V524" s="0" t="str">
        <f aca="false">IF(ISNUMBER($O524),IF($O524&gt;=2,IF(COUNTIFS($D524:$D$2006,$D524,$E524:$E$2006,$E524)=1,ROW(),""),""),"")</f>
        <v/>
      </c>
    </row>
    <row r="525" customFormat="false" ht="15" hidden="false" customHeight="true" outlineLevel="0" collapsed="false">
      <c r="A525" s="13" t="str">
        <f aca="false">IF(AND($B525="",$D525="",$E525="",$F525=""),"",IF(OR($B525="",$D525="",$E525=""),"待补",IF($D525="公共区域","公",IF($D525="商铺","S",SUBSTITUTE($D525,"栋","")))&amp;"-"&amp;$E525&amp;"-"&amp;TEXT(MONTH($B525),"00")&amp;TEXT(DAY($B525),"00")&amp;IF(ISNUMBER($O525),IF($O525&gt;1,"-"&amp;TEXT($O525,"00"),""),"")))</f>
        <v/>
      </c>
      <c r="B525" s="14"/>
      <c r="C525" s="10"/>
      <c r="D525" s="10"/>
      <c r="E525" s="10"/>
      <c r="F525" s="16"/>
      <c r="G525" s="10"/>
      <c r="H525" s="10"/>
      <c r="I525" s="10"/>
      <c r="J525" s="10"/>
      <c r="K525" s="10"/>
      <c r="L525" s="10"/>
      <c r="M525" s="14"/>
      <c r="N525" s="17" t="str">
        <f aca="false">IF($B525="","",IF($L525="已完成",IF($M525="","",$M525-$B525),IF(设置!$B$6&lt;$B525,"",IF((设置!$B$6-$B525)&gt;=设置!$B$5,"超期"&amp;(设置!$B$6-$B525)&amp;"天","已等"&amp;(设置!$B$6-$B525)&amp;"天"))))</f>
        <v/>
      </c>
      <c r="O525" s="18" t="str">
        <f aca="false">IF(OR($D525="",$E525=""),"",COUNTIFS($D$7:$D525,$D525,$E$7:$E525,$E525))</f>
        <v/>
      </c>
      <c r="P525" s="16"/>
      <c r="Q525" s="19"/>
      <c r="R525" s="10"/>
      <c r="S525" s="16"/>
      <c r="T525" s="0" t="str">
        <f aca="false">IF(OR($D525="",单元查询!$B$3=""),"",IF($D525&lt;&gt;单元查询!$B$3,"",IF(OR(单元查询!$D$3="",$E525&amp;""=单元查询!$D$3&amp;""),IF(ISNUMBER($B525),$B525*10000,0)+ROW(),"")))</f>
        <v/>
      </c>
      <c r="U525" s="0" t="str">
        <f aca="false">IF(OR($B525="",$L525="已完成"),"",IF(ISNUMBER($B525),IF(设置!$B$6&lt;$B525,"",(设置!$B$6-$B525)*100000+ROW()),""))</f>
        <v/>
      </c>
      <c r="V525" s="0" t="str">
        <f aca="false">IF(ISNUMBER($O525),IF($O525&gt;=2,IF(COUNTIFS($D525:$D$2006,$D525,$E525:$E$2006,$E525)=1,ROW(),""),""),"")</f>
        <v/>
      </c>
    </row>
    <row r="526" customFormat="false" ht="15" hidden="false" customHeight="true" outlineLevel="0" collapsed="false">
      <c r="A526" s="13" t="str">
        <f aca="false">IF(AND($B526="",$D526="",$E526="",$F526=""),"",IF(OR($B526="",$D526="",$E526=""),"待补",IF($D526="公共区域","公",IF($D526="商铺","S",SUBSTITUTE($D526,"栋","")))&amp;"-"&amp;$E526&amp;"-"&amp;TEXT(MONTH($B526),"00")&amp;TEXT(DAY($B526),"00")&amp;IF(ISNUMBER($O526),IF($O526&gt;1,"-"&amp;TEXT($O526,"00"),""),"")))</f>
        <v/>
      </c>
      <c r="B526" s="14"/>
      <c r="C526" s="10"/>
      <c r="D526" s="10"/>
      <c r="E526" s="10"/>
      <c r="F526" s="16"/>
      <c r="G526" s="10"/>
      <c r="H526" s="10"/>
      <c r="I526" s="10"/>
      <c r="J526" s="10"/>
      <c r="K526" s="10"/>
      <c r="L526" s="10"/>
      <c r="M526" s="14"/>
      <c r="N526" s="17" t="str">
        <f aca="false">IF($B526="","",IF($L526="已完成",IF($M526="","",$M526-$B526),IF(设置!$B$6&lt;$B526,"",IF((设置!$B$6-$B526)&gt;=设置!$B$5,"超期"&amp;(设置!$B$6-$B526)&amp;"天","已等"&amp;(设置!$B$6-$B526)&amp;"天"))))</f>
        <v/>
      </c>
      <c r="O526" s="18" t="str">
        <f aca="false">IF(OR($D526="",$E526=""),"",COUNTIFS($D$7:$D526,$D526,$E$7:$E526,$E526))</f>
        <v/>
      </c>
      <c r="P526" s="16"/>
      <c r="Q526" s="19"/>
      <c r="R526" s="10"/>
      <c r="S526" s="16"/>
      <c r="T526" s="0" t="str">
        <f aca="false">IF(OR($D526="",单元查询!$B$3=""),"",IF($D526&lt;&gt;单元查询!$B$3,"",IF(OR(单元查询!$D$3="",$E526&amp;""=单元查询!$D$3&amp;""),IF(ISNUMBER($B526),$B526*10000,0)+ROW(),"")))</f>
        <v/>
      </c>
      <c r="U526" s="0" t="str">
        <f aca="false">IF(OR($B526="",$L526="已完成"),"",IF(ISNUMBER($B526),IF(设置!$B$6&lt;$B526,"",(设置!$B$6-$B526)*100000+ROW()),""))</f>
        <v/>
      </c>
      <c r="V526" s="0" t="str">
        <f aca="false">IF(ISNUMBER($O526),IF($O526&gt;=2,IF(COUNTIFS($D526:$D$2006,$D526,$E526:$E$2006,$E526)=1,ROW(),""),""),"")</f>
        <v/>
      </c>
    </row>
    <row r="527" customFormat="false" ht="15" hidden="false" customHeight="true" outlineLevel="0" collapsed="false">
      <c r="A527" s="13" t="str">
        <f aca="false">IF(AND($B527="",$D527="",$E527="",$F527=""),"",IF(OR($B527="",$D527="",$E527=""),"待补",IF($D527="公共区域","公",IF($D527="商铺","S",SUBSTITUTE($D527,"栋","")))&amp;"-"&amp;$E527&amp;"-"&amp;TEXT(MONTH($B527),"00")&amp;TEXT(DAY($B527),"00")&amp;IF(ISNUMBER($O527),IF($O527&gt;1,"-"&amp;TEXT($O527,"00"),""),"")))</f>
        <v/>
      </c>
      <c r="B527" s="14"/>
      <c r="C527" s="10"/>
      <c r="D527" s="10"/>
      <c r="E527" s="10"/>
      <c r="F527" s="16"/>
      <c r="G527" s="10"/>
      <c r="H527" s="10"/>
      <c r="I527" s="10"/>
      <c r="J527" s="10"/>
      <c r="K527" s="10"/>
      <c r="L527" s="10"/>
      <c r="M527" s="14"/>
      <c r="N527" s="17" t="str">
        <f aca="false">IF($B527="","",IF($L527="已完成",IF($M527="","",$M527-$B527),IF(设置!$B$6&lt;$B527,"",IF((设置!$B$6-$B527)&gt;=设置!$B$5,"超期"&amp;(设置!$B$6-$B527)&amp;"天","已等"&amp;(设置!$B$6-$B527)&amp;"天"))))</f>
        <v/>
      </c>
      <c r="O527" s="18" t="str">
        <f aca="false">IF(OR($D527="",$E527=""),"",COUNTIFS($D$7:$D527,$D527,$E$7:$E527,$E527))</f>
        <v/>
      </c>
      <c r="P527" s="16"/>
      <c r="Q527" s="19"/>
      <c r="R527" s="10"/>
      <c r="S527" s="16"/>
      <c r="T527" s="0" t="str">
        <f aca="false">IF(OR($D527="",单元查询!$B$3=""),"",IF($D527&lt;&gt;单元查询!$B$3,"",IF(OR(单元查询!$D$3="",$E527&amp;""=单元查询!$D$3&amp;""),IF(ISNUMBER($B527),$B527*10000,0)+ROW(),"")))</f>
        <v/>
      </c>
      <c r="U527" s="0" t="str">
        <f aca="false">IF(OR($B527="",$L527="已完成"),"",IF(ISNUMBER($B527),IF(设置!$B$6&lt;$B527,"",(设置!$B$6-$B527)*100000+ROW()),""))</f>
        <v/>
      </c>
      <c r="V527" s="0" t="str">
        <f aca="false">IF(ISNUMBER($O527),IF($O527&gt;=2,IF(COUNTIFS($D527:$D$2006,$D527,$E527:$E$2006,$E527)=1,ROW(),""),""),"")</f>
        <v/>
      </c>
    </row>
    <row r="528" customFormat="false" ht="15" hidden="false" customHeight="true" outlineLevel="0" collapsed="false">
      <c r="A528" s="13" t="str">
        <f aca="false">IF(AND($B528="",$D528="",$E528="",$F528=""),"",IF(OR($B528="",$D528="",$E528=""),"待补",IF($D528="公共区域","公",IF($D528="商铺","S",SUBSTITUTE($D528,"栋","")))&amp;"-"&amp;$E528&amp;"-"&amp;TEXT(MONTH($B528),"00")&amp;TEXT(DAY($B528),"00")&amp;IF(ISNUMBER($O528),IF($O528&gt;1,"-"&amp;TEXT($O528,"00"),""),"")))</f>
        <v/>
      </c>
      <c r="B528" s="14"/>
      <c r="C528" s="10"/>
      <c r="D528" s="10"/>
      <c r="E528" s="10"/>
      <c r="F528" s="16"/>
      <c r="G528" s="10"/>
      <c r="H528" s="10"/>
      <c r="I528" s="10"/>
      <c r="J528" s="10"/>
      <c r="K528" s="10"/>
      <c r="L528" s="10"/>
      <c r="M528" s="14"/>
      <c r="N528" s="17" t="str">
        <f aca="false">IF($B528="","",IF($L528="已完成",IF($M528="","",$M528-$B528),IF(设置!$B$6&lt;$B528,"",IF((设置!$B$6-$B528)&gt;=设置!$B$5,"超期"&amp;(设置!$B$6-$B528)&amp;"天","已等"&amp;(设置!$B$6-$B528)&amp;"天"))))</f>
        <v/>
      </c>
      <c r="O528" s="18" t="str">
        <f aca="false">IF(OR($D528="",$E528=""),"",COUNTIFS($D$7:$D528,$D528,$E$7:$E528,$E528))</f>
        <v/>
      </c>
      <c r="P528" s="16"/>
      <c r="Q528" s="19"/>
      <c r="R528" s="10"/>
      <c r="S528" s="16"/>
      <c r="T528" s="0" t="str">
        <f aca="false">IF(OR($D528="",单元查询!$B$3=""),"",IF($D528&lt;&gt;单元查询!$B$3,"",IF(OR(单元查询!$D$3="",$E528&amp;""=单元查询!$D$3&amp;""),IF(ISNUMBER($B528),$B528*10000,0)+ROW(),"")))</f>
        <v/>
      </c>
      <c r="U528" s="0" t="str">
        <f aca="false">IF(OR($B528="",$L528="已完成"),"",IF(ISNUMBER($B528),IF(设置!$B$6&lt;$B528,"",(设置!$B$6-$B528)*100000+ROW()),""))</f>
        <v/>
      </c>
      <c r="V528" s="0" t="str">
        <f aca="false">IF(ISNUMBER($O528),IF($O528&gt;=2,IF(COUNTIFS($D528:$D$2006,$D528,$E528:$E$2006,$E528)=1,ROW(),""),""),"")</f>
        <v/>
      </c>
    </row>
    <row r="529" customFormat="false" ht="15" hidden="false" customHeight="true" outlineLevel="0" collapsed="false">
      <c r="A529" s="13" t="str">
        <f aca="false">IF(AND($B529="",$D529="",$E529="",$F529=""),"",IF(OR($B529="",$D529="",$E529=""),"待补",IF($D529="公共区域","公",IF($D529="商铺","S",SUBSTITUTE($D529,"栋","")))&amp;"-"&amp;$E529&amp;"-"&amp;TEXT(MONTH($B529),"00")&amp;TEXT(DAY($B529),"00")&amp;IF(ISNUMBER($O529),IF($O529&gt;1,"-"&amp;TEXT($O529,"00"),""),"")))</f>
        <v/>
      </c>
      <c r="B529" s="14"/>
      <c r="C529" s="10"/>
      <c r="D529" s="10"/>
      <c r="E529" s="10"/>
      <c r="F529" s="16"/>
      <c r="G529" s="10"/>
      <c r="H529" s="10"/>
      <c r="I529" s="10"/>
      <c r="J529" s="10"/>
      <c r="K529" s="10"/>
      <c r="L529" s="10"/>
      <c r="M529" s="14"/>
      <c r="N529" s="17" t="str">
        <f aca="false">IF($B529="","",IF($L529="已完成",IF($M529="","",$M529-$B529),IF(设置!$B$6&lt;$B529,"",IF((设置!$B$6-$B529)&gt;=设置!$B$5,"超期"&amp;(设置!$B$6-$B529)&amp;"天","已等"&amp;(设置!$B$6-$B529)&amp;"天"))))</f>
        <v/>
      </c>
      <c r="O529" s="18" t="str">
        <f aca="false">IF(OR($D529="",$E529=""),"",COUNTIFS($D$7:$D529,$D529,$E$7:$E529,$E529))</f>
        <v/>
      </c>
      <c r="P529" s="16"/>
      <c r="Q529" s="19"/>
      <c r="R529" s="10"/>
      <c r="S529" s="16"/>
      <c r="T529" s="0" t="str">
        <f aca="false">IF(OR($D529="",单元查询!$B$3=""),"",IF($D529&lt;&gt;单元查询!$B$3,"",IF(OR(单元查询!$D$3="",$E529&amp;""=单元查询!$D$3&amp;""),IF(ISNUMBER($B529),$B529*10000,0)+ROW(),"")))</f>
        <v/>
      </c>
      <c r="U529" s="0" t="str">
        <f aca="false">IF(OR($B529="",$L529="已完成"),"",IF(ISNUMBER($B529),IF(设置!$B$6&lt;$B529,"",(设置!$B$6-$B529)*100000+ROW()),""))</f>
        <v/>
      </c>
      <c r="V529" s="0" t="str">
        <f aca="false">IF(ISNUMBER($O529),IF($O529&gt;=2,IF(COUNTIFS($D529:$D$2006,$D529,$E529:$E$2006,$E529)=1,ROW(),""),""),"")</f>
        <v/>
      </c>
    </row>
    <row r="530" customFormat="false" ht="15" hidden="false" customHeight="true" outlineLevel="0" collapsed="false">
      <c r="A530" s="13" t="str">
        <f aca="false">IF(AND($B530="",$D530="",$E530="",$F530=""),"",IF(OR($B530="",$D530="",$E530=""),"待补",IF($D530="公共区域","公",IF($D530="商铺","S",SUBSTITUTE($D530,"栋","")))&amp;"-"&amp;$E530&amp;"-"&amp;TEXT(MONTH($B530),"00")&amp;TEXT(DAY($B530),"00")&amp;IF(ISNUMBER($O530),IF($O530&gt;1,"-"&amp;TEXT($O530,"00"),""),"")))</f>
        <v/>
      </c>
      <c r="B530" s="14"/>
      <c r="C530" s="10"/>
      <c r="D530" s="10"/>
      <c r="E530" s="10"/>
      <c r="F530" s="16"/>
      <c r="G530" s="10"/>
      <c r="H530" s="10"/>
      <c r="I530" s="10"/>
      <c r="J530" s="10"/>
      <c r="K530" s="10"/>
      <c r="L530" s="10"/>
      <c r="M530" s="14"/>
      <c r="N530" s="17" t="str">
        <f aca="false">IF($B530="","",IF($L530="已完成",IF($M530="","",$M530-$B530),IF(设置!$B$6&lt;$B530,"",IF((设置!$B$6-$B530)&gt;=设置!$B$5,"超期"&amp;(设置!$B$6-$B530)&amp;"天","已等"&amp;(设置!$B$6-$B530)&amp;"天"))))</f>
        <v/>
      </c>
      <c r="O530" s="18" t="str">
        <f aca="false">IF(OR($D530="",$E530=""),"",COUNTIFS($D$7:$D530,$D530,$E$7:$E530,$E530))</f>
        <v/>
      </c>
      <c r="P530" s="16"/>
      <c r="Q530" s="19"/>
      <c r="R530" s="10"/>
      <c r="S530" s="16"/>
      <c r="T530" s="0" t="str">
        <f aca="false">IF(OR($D530="",单元查询!$B$3=""),"",IF($D530&lt;&gt;单元查询!$B$3,"",IF(OR(单元查询!$D$3="",$E530&amp;""=单元查询!$D$3&amp;""),IF(ISNUMBER($B530),$B530*10000,0)+ROW(),"")))</f>
        <v/>
      </c>
      <c r="U530" s="0" t="str">
        <f aca="false">IF(OR($B530="",$L530="已完成"),"",IF(ISNUMBER($B530),IF(设置!$B$6&lt;$B530,"",(设置!$B$6-$B530)*100000+ROW()),""))</f>
        <v/>
      </c>
      <c r="V530" s="0" t="str">
        <f aca="false">IF(ISNUMBER($O530),IF($O530&gt;=2,IF(COUNTIFS($D530:$D$2006,$D530,$E530:$E$2006,$E530)=1,ROW(),""),""),"")</f>
        <v/>
      </c>
    </row>
    <row r="531" customFormat="false" ht="15" hidden="false" customHeight="true" outlineLevel="0" collapsed="false">
      <c r="A531" s="13" t="str">
        <f aca="false">IF(AND($B531="",$D531="",$E531="",$F531=""),"",IF(OR($B531="",$D531="",$E531=""),"待补",IF($D531="公共区域","公",IF($D531="商铺","S",SUBSTITUTE($D531,"栋","")))&amp;"-"&amp;$E531&amp;"-"&amp;TEXT(MONTH($B531),"00")&amp;TEXT(DAY($B531),"00")&amp;IF(ISNUMBER($O531),IF($O531&gt;1,"-"&amp;TEXT($O531,"00"),""),"")))</f>
        <v/>
      </c>
      <c r="B531" s="14"/>
      <c r="C531" s="10"/>
      <c r="D531" s="10"/>
      <c r="E531" s="10"/>
      <c r="F531" s="16"/>
      <c r="G531" s="10"/>
      <c r="H531" s="10"/>
      <c r="I531" s="10"/>
      <c r="J531" s="10"/>
      <c r="K531" s="10"/>
      <c r="L531" s="10"/>
      <c r="M531" s="14"/>
      <c r="N531" s="17" t="str">
        <f aca="false">IF($B531="","",IF($L531="已完成",IF($M531="","",$M531-$B531),IF(设置!$B$6&lt;$B531,"",IF((设置!$B$6-$B531)&gt;=设置!$B$5,"超期"&amp;(设置!$B$6-$B531)&amp;"天","已等"&amp;(设置!$B$6-$B531)&amp;"天"))))</f>
        <v/>
      </c>
      <c r="O531" s="18" t="str">
        <f aca="false">IF(OR($D531="",$E531=""),"",COUNTIFS($D$7:$D531,$D531,$E$7:$E531,$E531))</f>
        <v/>
      </c>
      <c r="P531" s="16"/>
      <c r="Q531" s="19"/>
      <c r="R531" s="10"/>
      <c r="S531" s="16"/>
      <c r="T531" s="0" t="str">
        <f aca="false">IF(OR($D531="",单元查询!$B$3=""),"",IF($D531&lt;&gt;单元查询!$B$3,"",IF(OR(单元查询!$D$3="",$E531&amp;""=单元查询!$D$3&amp;""),IF(ISNUMBER($B531),$B531*10000,0)+ROW(),"")))</f>
        <v/>
      </c>
      <c r="U531" s="0" t="str">
        <f aca="false">IF(OR($B531="",$L531="已完成"),"",IF(ISNUMBER($B531),IF(设置!$B$6&lt;$B531,"",(设置!$B$6-$B531)*100000+ROW()),""))</f>
        <v/>
      </c>
      <c r="V531" s="0" t="str">
        <f aca="false">IF(ISNUMBER($O531),IF($O531&gt;=2,IF(COUNTIFS($D531:$D$2006,$D531,$E531:$E$2006,$E531)=1,ROW(),""),""),"")</f>
        <v/>
      </c>
    </row>
    <row r="532" customFormat="false" ht="15" hidden="false" customHeight="true" outlineLevel="0" collapsed="false">
      <c r="A532" s="13" t="str">
        <f aca="false">IF(AND($B532="",$D532="",$E532="",$F532=""),"",IF(OR($B532="",$D532="",$E532=""),"待补",IF($D532="公共区域","公",IF($D532="商铺","S",SUBSTITUTE($D532,"栋","")))&amp;"-"&amp;$E532&amp;"-"&amp;TEXT(MONTH($B532),"00")&amp;TEXT(DAY($B532),"00")&amp;IF(ISNUMBER($O532),IF($O532&gt;1,"-"&amp;TEXT($O532,"00"),""),"")))</f>
        <v/>
      </c>
      <c r="B532" s="14"/>
      <c r="C532" s="10"/>
      <c r="D532" s="10"/>
      <c r="E532" s="10"/>
      <c r="F532" s="16"/>
      <c r="G532" s="10"/>
      <c r="H532" s="10"/>
      <c r="I532" s="10"/>
      <c r="J532" s="10"/>
      <c r="K532" s="10"/>
      <c r="L532" s="10"/>
      <c r="M532" s="14"/>
      <c r="N532" s="17" t="str">
        <f aca="false">IF($B532="","",IF($L532="已完成",IF($M532="","",$M532-$B532),IF(设置!$B$6&lt;$B532,"",IF((设置!$B$6-$B532)&gt;=设置!$B$5,"超期"&amp;(设置!$B$6-$B532)&amp;"天","已等"&amp;(设置!$B$6-$B532)&amp;"天"))))</f>
        <v/>
      </c>
      <c r="O532" s="18" t="str">
        <f aca="false">IF(OR($D532="",$E532=""),"",COUNTIFS($D$7:$D532,$D532,$E$7:$E532,$E532))</f>
        <v/>
      </c>
      <c r="P532" s="16"/>
      <c r="Q532" s="19"/>
      <c r="R532" s="10"/>
      <c r="S532" s="16"/>
      <c r="T532" s="0" t="str">
        <f aca="false">IF(OR($D532="",单元查询!$B$3=""),"",IF($D532&lt;&gt;单元查询!$B$3,"",IF(OR(单元查询!$D$3="",$E532&amp;""=单元查询!$D$3&amp;""),IF(ISNUMBER($B532),$B532*10000,0)+ROW(),"")))</f>
        <v/>
      </c>
      <c r="U532" s="0" t="str">
        <f aca="false">IF(OR($B532="",$L532="已完成"),"",IF(ISNUMBER($B532),IF(设置!$B$6&lt;$B532,"",(设置!$B$6-$B532)*100000+ROW()),""))</f>
        <v/>
      </c>
      <c r="V532" s="0" t="str">
        <f aca="false">IF(ISNUMBER($O532),IF($O532&gt;=2,IF(COUNTIFS($D532:$D$2006,$D532,$E532:$E$2006,$E532)=1,ROW(),""),""),"")</f>
        <v/>
      </c>
    </row>
    <row r="533" customFormat="false" ht="15" hidden="false" customHeight="true" outlineLevel="0" collapsed="false">
      <c r="A533" s="13" t="str">
        <f aca="false">IF(AND($B533="",$D533="",$E533="",$F533=""),"",IF(OR($B533="",$D533="",$E533=""),"待补",IF($D533="公共区域","公",IF($D533="商铺","S",SUBSTITUTE($D533,"栋","")))&amp;"-"&amp;$E533&amp;"-"&amp;TEXT(MONTH($B533),"00")&amp;TEXT(DAY($B533),"00")&amp;IF(ISNUMBER($O533),IF($O533&gt;1,"-"&amp;TEXT($O533,"00"),""),"")))</f>
        <v/>
      </c>
      <c r="B533" s="14"/>
      <c r="C533" s="10"/>
      <c r="D533" s="10"/>
      <c r="E533" s="10"/>
      <c r="F533" s="16"/>
      <c r="G533" s="10"/>
      <c r="H533" s="10"/>
      <c r="I533" s="10"/>
      <c r="J533" s="10"/>
      <c r="K533" s="10"/>
      <c r="L533" s="10"/>
      <c r="M533" s="14"/>
      <c r="N533" s="17" t="str">
        <f aca="false">IF($B533="","",IF($L533="已完成",IF($M533="","",$M533-$B533),IF(设置!$B$6&lt;$B533,"",IF((设置!$B$6-$B533)&gt;=设置!$B$5,"超期"&amp;(设置!$B$6-$B533)&amp;"天","已等"&amp;(设置!$B$6-$B533)&amp;"天"))))</f>
        <v/>
      </c>
      <c r="O533" s="18" t="str">
        <f aca="false">IF(OR($D533="",$E533=""),"",COUNTIFS($D$7:$D533,$D533,$E$7:$E533,$E533))</f>
        <v/>
      </c>
      <c r="P533" s="16"/>
      <c r="Q533" s="19"/>
      <c r="R533" s="10"/>
      <c r="S533" s="16"/>
      <c r="T533" s="0" t="str">
        <f aca="false">IF(OR($D533="",单元查询!$B$3=""),"",IF($D533&lt;&gt;单元查询!$B$3,"",IF(OR(单元查询!$D$3="",$E533&amp;""=单元查询!$D$3&amp;""),IF(ISNUMBER($B533),$B533*10000,0)+ROW(),"")))</f>
        <v/>
      </c>
      <c r="U533" s="0" t="str">
        <f aca="false">IF(OR($B533="",$L533="已完成"),"",IF(ISNUMBER($B533),IF(设置!$B$6&lt;$B533,"",(设置!$B$6-$B533)*100000+ROW()),""))</f>
        <v/>
      </c>
      <c r="V533" s="0" t="str">
        <f aca="false">IF(ISNUMBER($O533),IF($O533&gt;=2,IF(COUNTIFS($D533:$D$2006,$D533,$E533:$E$2006,$E533)=1,ROW(),""),""),"")</f>
        <v/>
      </c>
    </row>
    <row r="534" customFormat="false" ht="15" hidden="false" customHeight="true" outlineLevel="0" collapsed="false">
      <c r="A534" s="13" t="str">
        <f aca="false">IF(AND($B534="",$D534="",$E534="",$F534=""),"",IF(OR($B534="",$D534="",$E534=""),"待补",IF($D534="公共区域","公",IF($D534="商铺","S",SUBSTITUTE($D534,"栋","")))&amp;"-"&amp;$E534&amp;"-"&amp;TEXT(MONTH($B534),"00")&amp;TEXT(DAY($B534),"00")&amp;IF(ISNUMBER($O534),IF($O534&gt;1,"-"&amp;TEXT($O534,"00"),""),"")))</f>
        <v/>
      </c>
      <c r="B534" s="14"/>
      <c r="C534" s="10"/>
      <c r="D534" s="10"/>
      <c r="E534" s="10"/>
      <c r="F534" s="16"/>
      <c r="G534" s="10"/>
      <c r="H534" s="10"/>
      <c r="I534" s="10"/>
      <c r="J534" s="10"/>
      <c r="K534" s="10"/>
      <c r="L534" s="10"/>
      <c r="M534" s="14"/>
      <c r="N534" s="17" t="str">
        <f aca="false">IF($B534="","",IF($L534="已完成",IF($M534="","",$M534-$B534),IF(设置!$B$6&lt;$B534,"",IF((设置!$B$6-$B534)&gt;=设置!$B$5,"超期"&amp;(设置!$B$6-$B534)&amp;"天","已等"&amp;(设置!$B$6-$B534)&amp;"天"))))</f>
        <v/>
      </c>
      <c r="O534" s="18" t="str">
        <f aca="false">IF(OR($D534="",$E534=""),"",COUNTIFS($D$7:$D534,$D534,$E$7:$E534,$E534))</f>
        <v/>
      </c>
      <c r="P534" s="16"/>
      <c r="Q534" s="19"/>
      <c r="R534" s="10"/>
      <c r="S534" s="16"/>
      <c r="T534" s="0" t="str">
        <f aca="false">IF(OR($D534="",单元查询!$B$3=""),"",IF($D534&lt;&gt;单元查询!$B$3,"",IF(OR(单元查询!$D$3="",$E534&amp;""=单元查询!$D$3&amp;""),IF(ISNUMBER($B534),$B534*10000,0)+ROW(),"")))</f>
        <v/>
      </c>
      <c r="U534" s="0" t="str">
        <f aca="false">IF(OR($B534="",$L534="已完成"),"",IF(ISNUMBER($B534),IF(设置!$B$6&lt;$B534,"",(设置!$B$6-$B534)*100000+ROW()),""))</f>
        <v/>
      </c>
      <c r="V534" s="0" t="str">
        <f aca="false">IF(ISNUMBER($O534),IF($O534&gt;=2,IF(COUNTIFS($D534:$D$2006,$D534,$E534:$E$2006,$E534)=1,ROW(),""),""),"")</f>
        <v/>
      </c>
    </row>
    <row r="535" customFormat="false" ht="15" hidden="false" customHeight="true" outlineLevel="0" collapsed="false">
      <c r="A535" s="13" t="str">
        <f aca="false">IF(AND($B535="",$D535="",$E535="",$F535=""),"",IF(OR($B535="",$D535="",$E535=""),"待补",IF($D535="公共区域","公",IF($D535="商铺","S",SUBSTITUTE($D535,"栋","")))&amp;"-"&amp;$E535&amp;"-"&amp;TEXT(MONTH($B535),"00")&amp;TEXT(DAY($B535),"00")&amp;IF(ISNUMBER($O535),IF($O535&gt;1,"-"&amp;TEXT($O535,"00"),""),"")))</f>
        <v/>
      </c>
      <c r="B535" s="14"/>
      <c r="C535" s="10"/>
      <c r="D535" s="10"/>
      <c r="E535" s="10"/>
      <c r="F535" s="16"/>
      <c r="G535" s="10"/>
      <c r="H535" s="10"/>
      <c r="I535" s="10"/>
      <c r="J535" s="10"/>
      <c r="K535" s="10"/>
      <c r="L535" s="10"/>
      <c r="M535" s="14"/>
      <c r="N535" s="17" t="str">
        <f aca="false">IF($B535="","",IF($L535="已完成",IF($M535="","",$M535-$B535),IF(设置!$B$6&lt;$B535,"",IF((设置!$B$6-$B535)&gt;=设置!$B$5,"超期"&amp;(设置!$B$6-$B535)&amp;"天","已等"&amp;(设置!$B$6-$B535)&amp;"天"))))</f>
        <v/>
      </c>
      <c r="O535" s="18" t="str">
        <f aca="false">IF(OR($D535="",$E535=""),"",COUNTIFS($D$7:$D535,$D535,$E$7:$E535,$E535))</f>
        <v/>
      </c>
      <c r="P535" s="16"/>
      <c r="Q535" s="19"/>
      <c r="R535" s="10"/>
      <c r="S535" s="16"/>
      <c r="T535" s="0" t="str">
        <f aca="false">IF(OR($D535="",单元查询!$B$3=""),"",IF($D535&lt;&gt;单元查询!$B$3,"",IF(OR(单元查询!$D$3="",$E535&amp;""=单元查询!$D$3&amp;""),IF(ISNUMBER($B535),$B535*10000,0)+ROW(),"")))</f>
        <v/>
      </c>
      <c r="U535" s="0" t="str">
        <f aca="false">IF(OR($B535="",$L535="已完成"),"",IF(ISNUMBER($B535),IF(设置!$B$6&lt;$B535,"",(设置!$B$6-$B535)*100000+ROW()),""))</f>
        <v/>
      </c>
      <c r="V535" s="0" t="str">
        <f aca="false">IF(ISNUMBER($O535),IF($O535&gt;=2,IF(COUNTIFS($D535:$D$2006,$D535,$E535:$E$2006,$E535)=1,ROW(),""),""),"")</f>
        <v/>
      </c>
    </row>
    <row r="536" customFormat="false" ht="15" hidden="false" customHeight="true" outlineLevel="0" collapsed="false">
      <c r="A536" s="13" t="str">
        <f aca="false">IF(AND($B536="",$D536="",$E536="",$F536=""),"",IF(OR($B536="",$D536="",$E536=""),"待补",IF($D536="公共区域","公",IF($D536="商铺","S",SUBSTITUTE($D536,"栋","")))&amp;"-"&amp;$E536&amp;"-"&amp;TEXT(MONTH($B536),"00")&amp;TEXT(DAY($B536),"00")&amp;IF(ISNUMBER($O536),IF($O536&gt;1,"-"&amp;TEXT($O536,"00"),""),"")))</f>
        <v/>
      </c>
      <c r="B536" s="14"/>
      <c r="C536" s="10"/>
      <c r="D536" s="10"/>
      <c r="E536" s="10"/>
      <c r="F536" s="16"/>
      <c r="G536" s="10"/>
      <c r="H536" s="10"/>
      <c r="I536" s="10"/>
      <c r="J536" s="10"/>
      <c r="K536" s="10"/>
      <c r="L536" s="10"/>
      <c r="M536" s="14"/>
      <c r="N536" s="17" t="str">
        <f aca="false">IF($B536="","",IF($L536="已完成",IF($M536="","",$M536-$B536),IF(设置!$B$6&lt;$B536,"",IF((设置!$B$6-$B536)&gt;=设置!$B$5,"超期"&amp;(设置!$B$6-$B536)&amp;"天","已等"&amp;(设置!$B$6-$B536)&amp;"天"))))</f>
        <v/>
      </c>
      <c r="O536" s="18" t="str">
        <f aca="false">IF(OR($D536="",$E536=""),"",COUNTIFS($D$7:$D536,$D536,$E$7:$E536,$E536))</f>
        <v/>
      </c>
      <c r="P536" s="16"/>
      <c r="Q536" s="19"/>
      <c r="R536" s="10"/>
      <c r="S536" s="16"/>
      <c r="T536" s="0" t="str">
        <f aca="false">IF(OR($D536="",单元查询!$B$3=""),"",IF($D536&lt;&gt;单元查询!$B$3,"",IF(OR(单元查询!$D$3="",$E536&amp;""=单元查询!$D$3&amp;""),IF(ISNUMBER($B536),$B536*10000,0)+ROW(),"")))</f>
        <v/>
      </c>
      <c r="U536" s="0" t="str">
        <f aca="false">IF(OR($B536="",$L536="已完成"),"",IF(ISNUMBER($B536),IF(设置!$B$6&lt;$B536,"",(设置!$B$6-$B536)*100000+ROW()),""))</f>
        <v/>
      </c>
      <c r="V536" s="0" t="str">
        <f aca="false">IF(ISNUMBER($O536),IF($O536&gt;=2,IF(COUNTIFS($D536:$D$2006,$D536,$E536:$E$2006,$E536)=1,ROW(),""),""),"")</f>
        <v/>
      </c>
    </row>
    <row r="537" customFormat="false" ht="15" hidden="false" customHeight="true" outlineLevel="0" collapsed="false">
      <c r="A537" s="13" t="str">
        <f aca="false">IF(AND($B537="",$D537="",$E537="",$F537=""),"",IF(OR($B537="",$D537="",$E537=""),"待补",IF($D537="公共区域","公",IF($D537="商铺","S",SUBSTITUTE($D537,"栋","")))&amp;"-"&amp;$E537&amp;"-"&amp;TEXT(MONTH($B537),"00")&amp;TEXT(DAY($B537),"00")&amp;IF(ISNUMBER($O537),IF($O537&gt;1,"-"&amp;TEXT($O537,"00"),""),"")))</f>
        <v/>
      </c>
      <c r="B537" s="14"/>
      <c r="C537" s="10"/>
      <c r="D537" s="10"/>
      <c r="E537" s="10"/>
      <c r="F537" s="16"/>
      <c r="G537" s="10"/>
      <c r="H537" s="10"/>
      <c r="I537" s="10"/>
      <c r="J537" s="10"/>
      <c r="K537" s="10"/>
      <c r="L537" s="10"/>
      <c r="M537" s="14"/>
      <c r="N537" s="17" t="str">
        <f aca="false">IF($B537="","",IF($L537="已完成",IF($M537="","",$M537-$B537),IF(设置!$B$6&lt;$B537,"",IF((设置!$B$6-$B537)&gt;=设置!$B$5,"超期"&amp;(设置!$B$6-$B537)&amp;"天","已等"&amp;(设置!$B$6-$B537)&amp;"天"))))</f>
        <v/>
      </c>
      <c r="O537" s="18" t="str">
        <f aca="false">IF(OR($D537="",$E537=""),"",COUNTIFS($D$7:$D537,$D537,$E$7:$E537,$E537))</f>
        <v/>
      </c>
      <c r="P537" s="16"/>
      <c r="Q537" s="19"/>
      <c r="R537" s="10"/>
      <c r="S537" s="16"/>
      <c r="T537" s="0" t="str">
        <f aca="false">IF(OR($D537="",单元查询!$B$3=""),"",IF($D537&lt;&gt;单元查询!$B$3,"",IF(OR(单元查询!$D$3="",$E537&amp;""=单元查询!$D$3&amp;""),IF(ISNUMBER($B537),$B537*10000,0)+ROW(),"")))</f>
        <v/>
      </c>
      <c r="U537" s="0" t="str">
        <f aca="false">IF(OR($B537="",$L537="已完成"),"",IF(ISNUMBER($B537),IF(设置!$B$6&lt;$B537,"",(设置!$B$6-$B537)*100000+ROW()),""))</f>
        <v/>
      </c>
      <c r="V537" s="0" t="str">
        <f aca="false">IF(ISNUMBER($O537),IF($O537&gt;=2,IF(COUNTIFS($D537:$D$2006,$D537,$E537:$E$2006,$E537)=1,ROW(),""),""),"")</f>
        <v/>
      </c>
    </row>
    <row r="538" customFormat="false" ht="15" hidden="false" customHeight="true" outlineLevel="0" collapsed="false">
      <c r="A538" s="13" t="str">
        <f aca="false">IF(AND($B538="",$D538="",$E538="",$F538=""),"",IF(OR($B538="",$D538="",$E538=""),"待补",IF($D538="公共区域","公",IF($D538="商铺","S",SUBSTITUTE($D538,"栋","")))&amp;"-"&amp;$E538&amp;"-"&amp;TEXT(MONTH($B538),"00")&amp;TEXT(DAY($B538),"00")&amp;IF(ISNUMBER($O538),IF($O538&gt;1,"-"&amp;TEXT($O538,"00"),""),"")))</f>
        <v/>
      </c>
      <c r="B538" s="14"/>
      <c r="C538" s="10"/>
      <c r="D538" s="10"/>
      <c r="E538" s="10"/>
      <c r="F538" s="16"/>
      <c r="G538" s="10"/>
      <c r="H538" s="10"/>
      <c r="I538" s="10"/>
      <c r="J538" s="10"/>
      <c r="K538" s="10"/>
      <c r="L538" s="10"/>
      <c r="M538" s="14"/>
      <c r="N538" s="17" t="str">
        <f aca="false">IF($B538="","",IF($L538="已完成",IF($M538="","",$M538-$B538),IF(设置!$B$6&lt;$B538,"",IF((设置!$B$6-$B538)&gt;=设置!$B$5,"超期"&amp;(设置!$B$6-$B538)&amp;"天","已等"&amp;(设置!$B$6-$B538)&amp;"天"))))</f>
        <v/>
      </c>
      <c r="O538" s="18" t="str">
        <f aca="false">IF(OR($D538="",$E538=""),"",COUNTIFS($D$7:$D538,$D538,$E$7:$E538,$E538))</f>
        <v/>
      </c>
      <c r="P538" s="16"/>
      <c r="Q538" s="19"/>
      <c r="R538" s="10"/>
      <c r="S538" s="16"/>
      <c r="T538" s="0" t="str">
        <f aca="false">IF(OR($D538="",单元查询!$B$3=""),"",IF($D538&lt;&gt;单元查询!$B$3,"",IF(OR(单元查询!$D$3="",$E538&amp;""=单元查询!$D$3&amp;""),IF(ISNUMBER($B538),$B538*10000,0)+ROW(),"")))</f>
        <v/>
      </c>
      <c r="U538" s="0" t="str">
        <f aca="false">IF(OR($B538="",$L538="已完成"),"",IF(ISNUMBER($B538),IF(设置!$B$6&lt;$B538,"",(设置!$B$6-$B538)*100000+ROW()),""))</f>
        <v/>
      </c>
      <c r="V538" s="0" t="str">
        <f aca="false">IF(ISNUMBER($O538),IF($O538&gt;=2,IF(COUNTIFS($D538:$D$2006,$D538,$E538:$E$2006,$E538)=1,ROW(),""),""),"")</f>
        <v/>
      </c>
    </row>
    <row r="539" customFormat="false" ht="15" hidden="false" customHeight="true" outlineLevel="0" collapsed="false">
      <c r="A539" s="13" t="str">
        <f aca="false">IF(AND($B539="",$D539="",$E539="",$F539=""),"",IF(OR($B539="",$D539="",$E539=""),"待补",IF($D539="公共区域","公",IF($D539="商铺","S",SUBSTITUTE($D539,"栋","")))&amp;"-"&amp;$E539&amp;"-"&amp;TEXT(MONTH($B539),"00")&amp;TEXT(DAY($B539),"00")&amp;IF(ISNUMBER($O539),IF($O539&gt;1,"-"&amp;TEXT($O539,"00"),""),"")))</f>
        <v/>
      </c>
      <c r="B539" s="14"/>
      <c r="C539" s="10"/>
      <c r="D539" s="10"/>
      <c r="E539" s="10"/>
      <c r="F539" s="16"/>
      <c r="G539" s="10"/>
      <c r="H539" s="10"/>
      <c r="I539" s="10"/>
      <c r="J539" s="10"/>
      <c r="K539" s="10"/>
      <c r="L539" s="10"/>
      <c r="M539" s="14"/>
      <c r="N539" s="17" t="str">
        <f aca="false">IF($B539="","",IF($L539="已完成",IF($M539="","",$M539-$B539),IF(设置!$B$6&lt;$B539,"",IF((设置!$B$6-$B539)&gt;=设置!$B$5,"超期"&amp;(设置!$B$6-$B539)&amp;"天","已等"&amp;(设置!$B$6-$B539)&amp;"天"))))</f>
        <v/>
      </c>
      <c r="O539" s="18" t="str">
        <f aca="false">IF(OR($D539="",$E539=""),"",COUNTIFS($D$7:$D539,$D539,$E$7:$E539,$E539))</f>
        <v/>
      </c>
      <c r="P539" s="16"/>
      <c r="Q539" s="19"/>
      <c r="R539" s="10"/>
      <c r="S539" s="16"/>
      <c r="T539" s="0" t="str">
        <f aca="false">IF(OR($D539="",单元查询!$B$3=""),"",IF($D539&lt;&gt;单元查询!$B$3,"",IF(OR(单元查询!$D$3="",$E539&amp;""=单元查询!$D$3&amp;""),IF(ISNUMBER($B539),$B539*10000,0)+ROW(),"")))</f>
        <v/>
      </c>
      <c r="U539" s="0" t="str">
        <f aca="false">IF(OR($B539="",$L539="已完成"),"",IF(ISNUMBER($B539),IF(设置!$B$6&lt;$B539,"",(设置!$B$6-$B539)*100000+ROW()),""))</f>
        <v/>
      </c>
      <c r="V539" s="0" t="str">
        <f aca="false">IF(ISNUMBER($O539),IF($O539&gt;=2,IF(COUNTIFS($D539:$D$2006,$D539,$E539:$E$2006,$E539)=1,ROW(),""),""),"")</f>
        <v/>
      </c>
    </row>
    <row r="540" customFormat="false" ht="15" hidden="false" customHeight="true" outlineLevel="0" collapsed="false">
      <c r="A540" s="13" t="str">
        <f aca="false">IF(AND($B540="",$D540="",$E540="",$F540=""),"",IF(OR($B540="",$D540="",$E540=""),"待补",IF($D540="公共区域","公",IF($D540="商铺","S",SUBSTITUTE($D540,"栋","")))&amp;"-"&amp;$E540&amp;"-"&amp;TEXT(MONTH($B540),"00")&amp;TEXT(DAY($B540),"00")&amp;IF(ISNUMBER($O540),IF($O540&gt;1,"-"&amp;TEXT($O540,"00"),""),"")))</f>
        <v/>
      </c>
      <c r="B540" s="14"/>
      <c r="C540" s="10"/>
      <c r="D540" s="10"/>
      <c r="E540" s="10"/>
      <c r="F540" s="16"/>
      <c r="G540" s="10"/>
      <c r="H540" s="10"/>
      <c r="I540" s="10"/>
      <c r="J540" s="10"/>
      <c r="K540" s="10"/>
      <c r="L540" s="10"/>
      <c r="M540" s="14"/>
      <c r="N540" s="17" t="str">
        <f aca="false">IF($B540="","",IF($L540="已完成",IF($M540="","",$M540-$B540),IF(设置!$B$6&lt;$B540,"",IF((设置!$B$6-$B540)&gt;=设置!$B$5,"超期"&amp;(设置!$B$6-$B540)&amp;"天","已等"&amp;(设置!$B$6-$B540)&amp;"天"))))</f>
        <v/>
      </c>
      <c r="O540" s="18" t="str">
        <f aca="false">IF(OR($D540="",$E540=""),"",COUNTIFS($D$7:$D540,$D540,$E$7:$E540,$E540))</f>
        <v/>
      </c>
      <c r="P540" s="16"/>
      <c r="Q540" s="19"/>
      <c r="R540" s="10"/>
      <c r="S540" s="16"/>
      <c r="T540" s="0" t="str">
        <f aca="false">IF(OR($D540="",单元查询!$B$3=""),"",IF($D540&lt;&gt;单元查询!$B$3,"",IF(OR(单元查询!$D$3="",$E540&amp;""=单元查询!$D$3&amp;""),IF(ISNUMBER($B540),$B540*10000,0)+ROW(),"")))</f>
        <v/>
      </c>
      <c r="U540" s="0" t="str">
        <f aca="false">IF(OR($B540="",$L540="已完成"),"",IF(ISNUMBER($B540),IF(设置!$B$6&lt;$B540,"",(设置!$B$6-$B540)*100000+ROW()),""))</f>
        <v/>
      </c>
      <c r="V540" s="0" t="str">
        <f aca="false">IF(ISNUMBER($O540),IF($O540&gt;=2,IF(COUNTIFS($D540:$D$2006,$D540,$E540:$E$2006,$E540)=1,ROW(),""),""),"")</f>
        <v/>
      </c>
    </row>
    <row r="541" customFormat="false" ht="15" hidden="false" customHeight="true" outlineLevel="0" collapsed="false">
      <c r="A541" s="13" t="str">
        <f aca="false">IF(AND($B541="",$D541="",$E541="",$F541=""),"",IF(OR($B541="",$D541="",$E541=""),"待补",IF($D541="公共区域","公",IF($D541="商铺","S",SUBSTITUTE($D541,"栋","")))&amp;"-"&amp;$E541&amp;"-"&amp;TEXT(MONTH($B541),"00")&amp;TEXT(DAY($B541),"00")&amp;IF(ISNUMBER($O541),IF($O541&gt;1,"-"&amp;TEXT($O541,"00"),""),"")))</f>
        <v/>
      </c>
      <c r="B541" s="14"/>
      <c r="C541" s="10"/>
      <c r="D541" s="10"/>
      <c r="E541" s="10"/>
      <c r="F541" s="16"/>
      <c r="G541" s="10"/>
      <c r="H541" s="10"/>
      <c r="I541" s="10"/>
      <c r="J541" s="10"/>
      <c r="K541" s="10"/>
      <c r="L541" s="10"/>
      <c r="M541" s="14"/>
      <c r="N541" s="17" t="str">
        <f aca="false">IF($B541="","",IF($L541="已完成",IF($M541="","",$M541-$B541),IF(设置!$B$6&lt;$B541,"",IF((设置!$B$6-$B541)&gt;=设置!$B$5,"超期"&amp;(设置!$B$6-$B541)&amp;"天","已等"&amp;(设置!$B$6-$B541)&amp;"天"))))</f>
        <v/>
      </c>
      <c r="O541" s="18" t="str">
        <f aca="false">IF(OR($D541="",$E541=""),"",COUNTIFS($D$7:$D541,$D541,$E$7:$E541,$E541))</f>
        <v/>
      </c>
      <c r="P541" s="16"/>
      <c r="Q541" s="19"/>
      <c r="R541" s="10"/>
      <c r="S541" s="16"/>
      <c r="T541" s="0" t="str">
        <f aca="false">IF(OR($D541="",单元查询!$B$3=""),"",IF($D541&lt;&gt;单元查询!$B$3,"",IF(OR(单元查询!$D$3="",$E541&amp;""=单元查询!$D$3&amp;""),IF(ISNUMBER($B541),$B541*10000,0)+ROW(),"")))</f>
        <v/>
      </c>
      <c r="U541" s="0" t="str">
        <f aca="false">IF(OR($B541="",$L541="已完成"),"",IF(ISNUMBER($B541),IF(设置!$B$6&lt;$B541,"",(设置!$B$6-$B541)*100000+ROW()),""))</f>
        <v/>
      </c>
      <c r="V541" s="0" t="str">
        <f aca="false">IF(ISNUMBER($O541),IF($O541&gt;=2,IF(COUNTIFS($D541:$D$2006,$D541,$E541:$E$2006,$E541)=1,ROW(),""),""),"")</f>
        <v/>
      </c>
    </row>
    <row r="542" customFormat="false" ht="15" hidden="false" customHeight="true" outlineLevel="0" collapsed="false">
      <c r="A542" s="13" t="str">
        <f aca="false">IF(AND($B542="",$D542="",$E542="",$F542=""),"",IF(OR($B542="",$D542="",$E542=""),"待补",IF($D542="公共区域","公",IF($D542="商铺","S",SUBSTITUTE($D542,"栋","")))&amp;"-"&amp;$E542&amp;"-"&amp;TEXT(MONTH($B542),"00")&amp;TEXT(DAY($B542),"00")&amp;IF(ISNUMBER($O542),IF($O542&gt;1,"-"&amp;TEXT($O542,"00"),""),"")))</f>
        <v/>
      </c>
      <c r="B542" s="14"/>
      <c r="C542" s="10"/>
      <c r="D542" s="10"/>
      <c r="E542" s="10"/>
      <c r="F542" s="16"/>
      <c r="G542" s="10"/>
      <c r="H542" s="10"/>
      <c r="I542" s="10"/>
      <c r="J542" s="10"/>
      <c r="K542" s="10"/>
      <c r="L542" s="10"/>
      <c r="M542" s="14"/>
      <c r="N542" s="17" t="str">
        <f aca="false">IF($B542="","",IF($L542="已完成",IF($M542="","",$M542-$B542),IF(设置!$B$6&lt;$B542,"",IF((设置!$B$6-$B542)&gt;=设置!$B$5,"超期"&amp;(设置!$B$6-$B542)&amp;"天","已等"&amp;(设置!$B$6-$B542)&amp;"天"))))</f>
        <v/>
      </c>
      <c r="O542" s="18" t="str">
        <f aca="false">IF(OR($D542="",$E542=""),"",COUNTIFS($D$7:$D542,$D542,$E$7:$E542,$E542))</f>
        <v/>
      </c>
      <c r="P542" s="16"/>
      <c r="Q542" s="19"/>
      <c r="R542" s="10"/>
      <c r="S542" s="16"/>
      <c r="T542" s="0" t="str">
        <f aca="false">IF(OR($D542="",单元查询!$B$3=""),"",IF($D542&lt;&gt;单元查询!$B$3,"",IF(OR(单元查询!$D$3="",$E542&amp;""=单元查询!$D$3&amp;""),IF(ISNUMBER($B542),$B542*10000,0)+ROW(),"")))</f>
        <v/>
      </c>
      <c r="U542" s="0" t="str">
        <f aca="false">IF(OR($B542="",$L542="已完成"),"",IF(ISNUMBER($B542),IF(设置!$B$6&lt;$B542,"",(设置!$B$6-$B542)*100000+ROW()),""))</f>
        <v/>
      </c>
      <c r="V542" s="0" t="str">
        <f aca="false">IF(ISNUMBER($O542),IF($O542&gt;=2,IF(COUNTIFS($D542:$D$2006,$D542,$E542:$E$2006,$E542)=1,ROW(),""),""),"")</f>
        <v/>
      </c>
    </row>
    <row r="543" customFormat="false" ht="15" hidden="false" customHeight="true" outlineLevel="0" collapsed="false">
      <c r="A543" s="13" t="str">
        <f aca="false">IF(AND($B543="",$D543="",$E543="",$F543=""),"",IF(OR($B543="",$D543="",$E543=""),"待补",IF($D543="公共区域","公",IF($D543="商铺","S",SUBSTITUTE($D543,"栋","")))&amp;"-"&amp;$E543&amp;"-"&amp;TEXT(MONTH($B543),"00")&amp;TEXT(DAY($B543),"00")&amp;IF(ISNUMBER($O543),IF($O543&gt;1,"-"&amp;TEXT($O543,"00"),""),"")))</f>
        <v/>
      </c>
      <c r="B543" s="14"/>
      <c r="C543" s="10"/>
      <c r="D543" s="10"/>
      <c r="E543" s="10"/>
      <c r="F543" s="16"/>
      <c r="G543" s="10"/>
      <c r="H543" s="10"/>
      <c r="I543" s="10"/>
      <c r="J543" s="10"/>
      <c r="K543" s="10"/>
      <c r="L543" s="10"/>
      <c r="M543" s="14"/>
      <c r="N543" s="17" t="str">
        <f aca="false">IF($B543="","",IF($L543="已完成",IF($M543="","",$M543-$B543),IF(设置!$B$6&lt;$B543,"",IF((设置!$B$6-$B543)&gt;=设置!$B$5,"超期"&amp;(设置!$B$6-$B543)&amp;"天","已等"&amp;(设置!$B$6-$B543)&amp;"天"))))</f>
        <v/>
      </c>
      <c r="O543" s="18" t="str">
        <f aca="false">IF(OR($D543="",$E543=""),"",COUNTIFS($D$7:$D543,$D543,$E$7:$E543,$E543))</f>
        <v/>
      </c>
      <c r="P543" s="16"/>
      <c r="Q543" s="19"/>
      <c r="R543" s="10"/>
      <c r="S543" s="16"/>
      <c r="T543" s="0" t="str">
        <f aca="false">IF(OR($D543="",单元查询!$B$3=""),"",IF($D543&lt;&gt;单元查询!$B$3,"",IF(OR(单元查询!$D$3="",$E543&amp;""=单元查询!$D$3&amp;""),IF(ISNUMBER($B543),$B543*10000,0)+ROW(),"")))</f>
        <v/>
      </c>
      <c r="U543" s="0" t="str">
        <f aca="false">IF(OR($B543="",$L543="已完成"),"",IF(ISNUMBER($B543),IF(设置!$B$6&lt;$B543,"",(设置!$B$6-$B543)*100000+ROW()),""))</f>
        <v/>
      </c>
      <c r="V543" s="0" t="str">
        <f aca="false">IF(ISNUMBER($O543),IF($O543&gt;=2,IF(COUNTIFS($D543:$D$2006,$D543,$E543:$E$2006,$E543)=1,ROW(),""),""),"")</f>
        <v/>
      </c>
    </row>
    <row r="544" customFormat="false" ht="15" hidden="false" customHeight="true" outlineLevel="0" collapsed="false">
      <c r="A544" s="13" t="str">
        <f aca="false">IF(AND($B544="",$D544="",$E544="",$F544=""),"",IF(OR($B544="",$D544="",$E544=""),"待补",IF($D544="公共区域","公",IF($D544="商铺","S",SUBSTITUTE($D544,"栋","")))&amp;"-"&amp;$E544&amp;"-"&amp;TEXT(MONTH($B544),"00")&amp;TEXT(DAY($B544),"00")&amp;IF(ISNUMBER($O544),IF($O544&gt;1,"-"&amp;TEXT($O544,"00"),""),"")))</f>
        <v/>
      </c>
      <c r="B544" s="14"/>
      <c r="C544" s="10"/>
      <c r="D544" s="10"/>
      <c r="E544" s="10"/>
      <c r="F544" s="16"/>
      <c r="G544" s="10"/>
      <c r="H544" s="10"/>
      <c r="I544" s="10"/>
      <c r="J544" s="10"/>
      <c r="K544" s="10"/>
      <c r="L544" s="10"/>
      <c r="M544" s="14"/>
      <c r="N544" s="17" t="str">
        <f aca="false">IF($B544="","",IF($L544="已完成",IF($M544="","",$M544-$B544),IF(设置!$B$6&lt;$B544,"",IF((设置!$B$6-$B544)&gt;=设置!$B$5,"超期"&amp;(设置!$B$6-$B544)&amp;"天","已等"&amp;(设置!$B$6-$B544)&amp;"天"))))</f>
        <v/>
      </c>
      <c r="O544" s="18" t="str">
        <f aca="false">IF(OR($D544="",$E544=""),"",COUNTIFS($D$7:$D544,$D544,$E$7:$E544,$E544))</f>
        <v/>
      </c>
      <c r="P544" s="16"/>
      <c r="Q544" s="19"/>
      <c r="R544" s="10"/>
      <c r="S544" s="16"/>
      <c r="T544" s="0" t="str">
        <f aca="false">IF(OR($D544="",单元查询!$B$3=""),"",IF($D544&lt;&gt;单元查询!$B$3,"",IF(OR(单元查询!$D$3="",$E544&amp;""=单元查询!$D$3&amp;""),IF(ISNUMBER($B544),$B544*10000,0)+ROW(),"")))</f>
        <v/>
      </c>
      <c r="U544" s="0" t="str">
        <f aca="false">IF(OR($B544="",$L544="已完成"),"",IF(ISNUMBER($B544),IF(设置!$B$6&lt;$B544,"",(设置!$B$6-$B544)*100000+ROW()),""))</f>
        <v/>
      </c>
      <c r="V544" s="0" t="str">
        <f aca="false">IF(ISNUMBER($O544),IF($O544&gt;=2,IF(COUNTIFS($D544:$D$2006,$D544,$E544:$E$2006,$E544)=1,ROW(),""),""),"")</f>
        <v/>
      </c>
    </row>
    <row r="545" customFormat="false" ht="15" hidden="false" customHeight="true" outlineLevel="0" collapsed="false">
      <c r="A545" s="13" t="str">
        <f aca="false">IF(AND($B545="",$D545="",$E545="",$F545=""),"",IF(OR($B545="",$D545="",$E545=""),"待补",IF($D545="公共区域","公",IF($D545="商铺","S",SUBSTITUTE($D545,"栋","")))&amp;"-"&amp;$E545&amp;"-"&amp;TEXT(MONTH($B545),"00")&amp;TEXT(DAY($B545),"00")&amp;IF(ISNUMBER($O545),IF($O545&gt;1,"-"&amp;TEXT($O545,"00"),""),"")))</f>
        <v/>
      </c>
      <c r="B545" s="14"/>
      <c r="C545" s="10"/>
      <c r="D545" s="10"/>
      <c r="E545" s="10"/>
      <c r="F545" s="16"/>
      <c r="G545" s="10"/>
      <c r="H545" s="10"/>
      <c r="I545" s="10"/>
      <c r="J545" s="10"/>
      <c r="K545" s="10"/>
      <c r="L545" s="10"/>
      <c r="M545" s="14"/>
      <c r="N545" s="17" t="str">
        <f aca="false">IF($B545="","",IF($L545="已完成",IF($M545="","",$M545-$B545),IF(设置!$B$6&lt;$B545,"",IF((设置!$B$6-$B545)&gt;=设置!$B$5,"超期"&amp;(设置!$B$6-$B545)&amp;"天","已等"&amp;(设置!$B$6-$B545)&amp;"天"))))</f>
        <v/>
      </c>
      <c r="O545" s="18" t="str">
        <f aca="false">IF(OR($D545="",$E545=""),"",COUNTIFS($D$7:$D545,$D545,$E$7:$E545,$E545))</f>
        <v/>
      </c>
      <c r="P545" s="16"/>
      <c r="Q545" s="19"/>
      <c r="R545" s="10"/>
      <c r="S545" s="16"/>
      <c r="T545" s="0" t="str">
        <f aca="false">IF(OR($D545="",单元查询!$B$3=""),"",IF($D545&lt;&gt;单元查询!$B$3,"",IF(OR(单元查询!$D$3="",$E545&amp;""=单元查询!$D$3&amp;""),IF(ISNUMBER($B545),$B545*10000,0)+ROW(),"")))</f>
        <v/>
      </c>
      <c r="U545" s="0" t="str">
        <f aca="false">IF(OR($B545="",$L545="已完成"),"",IF(ISNUMBER($B545),IF(设置!$B$6&lt;$B545,"",(设置!$B$6-$B545)*100000+ROW()),""))</f>
        <v/>
      </c>
      <c r="V545" s="0" t="str">
        <f aca="false">IF(ISNUMBER($O545),IF($O545&gt;=2,IF(COUNTIFS($D545:$D$2006,$D545,$E545:$E$2006,$E545)=1,ROW(),""),""),"")</f>
        <v/>
      </c>
    </row>
    <row r="546" customFormat="false" ht="15" hidden="false" customHeight="true" outlineLevel="0" collapsed="false">
      <c r="A546" s="13" t="str">
        <f aca="false">IF(AND($B546="",$D546="",$E546="",$F546=""),"",IF(OR($B546="",$D546="",$E546=""),"待补",IF($D546="公共区域","公",IF($D546="商铺","S",SUBSTITUTE($D546,"栋","")))&amp;"-"&amp;$E546&amp;"-"&amp;TEXT(MONTH($B546),"00")&amp;TEXT(DAY($B546),"00")&amp;IF(ISNUMBER($O546),IF($O546&gt;1,"-"&amp;TEXT($O546,"00"),""),"")))</f>
        <v/>
      </c>
      <c r="B546" s="14"/>
      <c r="C546" s="10"/>
      <c r="D546" s="10"/>
      <c r="E546" s="10"/>
      <c r="F546" s="16"/>
      <c r="G546" s="10"/>
      <c r="H546" s="10"/>
      <c r="I546" s="10"/>
      <c r="J546" s="10"/>
      <c r="K546" s="10"/>
      <c r="L546" s="10"/>
      <c r="M546" s="14"/>
      <c r="N546" s="17" t="str">
        <f aca="false">IF($B546="","",IF($L546="已完成",IF($M546="","",$M546-$B546),IF(设置!$B$6&lt;$B546,"",IF((设置!$B$6-$B546)&gt;=设置!$B$5,"超期"&amp;(设置!$B$6-$B546)&amp;"天","已等"&amp;(设置!$B$6-$B546)&amp;"天"))))</f>
        <v/>
      </c>
      <c r="O546" s="18" t="str">
        <f aca="false">IF(OR($D546="",$E546=""),"",COUNTIFS($D$7:$D546,$D546,$E$7:$E546,$E546))</f>
        <v/>
      </c>
      <c r="P546" s="16"/>
      <c r="Q546" s="19"/>
      <c r="R546" s="10"/>
      <c r="S546" s="16"/>
      <c r="T546" s="0" t="str">
        <f aca="false">IF(OR($D546="",单元查询!$B$3=""),"",IF($D546&lt;&gt;单元查询!$B$3,"",IF(OR(单元查询!$D$3="",$E546&amp;""=单元查询!$D$3&amp;""),IF(ISNUMBER($B546),$B546*10000,0)+ROW(),"")))</f>
        <v/>
      </c>
      <c r="U546" s="0" t="str">
        <f aca="false">IF(OR($B546="",$L546="已完成"),"",IF(ISNUMBER($B546),IF(设置!$B$6&lt;$B546,"",(设置!$B$6-$B546)*100000+ROW()),""))</f>
        <v/>
      </c>
      <c r="V546" s="0" t="str">
        <f aca="false">IF(ISNUMBER($O546),IF($O546&gt;=2,IF(COUNTIFS($D546:$D$2006,$D546,$E546:$E$2006,$E546)=1,ROW(),""),""),"")</f>
        <v/>
      </c>
    </row>
    <row r="547" customFormat="false" ht="15" hidden="false" customHeight="true" outlineLevel="0" collapsed="false">
      <c r="A547" s="13" t="str">
        <f aca="false">IF(AND($B547="",$D547="",$E547="",$F547=""),"",IF(OR($B547="",$D547="",$E547=""),"待补",IF($D547="公共区域","公",IF($D547="商铺","S",SUBSTITUTE($D547,"栋","")))&amp;"-"&amp;$E547&amp;"-"&amp;TEXT(MONTH($B547),"00")&amp;TEXT(DAY($B547),"00")&amp;IF(ISNUMBER($O547),IF($O547&gt;1,"-"&amp;TEXT($O547,"00"),""),"")))</f>
        <v/>
      </c>
      <c r="B547" s="14"/>
      <c r="C547" s="10"/>
      <c r="D547" s="10"/>
      <c r="E547" s="10"/>
      <c r="F547" s="16"/>
      <c r="G547" s="10"/>
      <c r="H547" s="10"/>
      <c r="I547" s="10"/>
      <c r="J547" s="10"/>
      <c r="K547" s="10"/>
      <c r="L547" s="10"/>
      <c r="M547" s="14"/>
      <c r="N547" s="17" t="str">
        <f aca="false">IF($B547="","",IF($L547="已完成",IF($M547="","",$M547-$B547),IF(设置!$B$6&lt;$B547,"",IF((设置!$B$6-$B547)&gt;=设置!$B$5,"超期"&amp;(设置!$B$6-$B547)&amp;"天","已等"&amp;(设置!$B$6-$B547)&amp;"天"))))</f>
        <v/>
      </c>
      <c r="O547" s="18" t="str">
        <f aca="false">IF(OR($D547="",$E547=""),"",COUNTIFS($D$7:$D547,$D547,$E$7:$E547,$E547))</f>
        <v/>
      </c>
      <c r="P547" s="16"/>
      <c r="Q547" s="19"/>
      <c r="R547" s="10"/>
      <c r="S547" s="16"/>
      <c r="T547" s="0" t="str">
        <f aca="false">IF(OR($D547="",单元查询!$B$3=""),"",IF($D547&lt;&gt;单元查询!$B$3,"",IF(OR(单元查询!$D$3="",$E547&amp;""=单元查询!$D$3&amp;""),IF(ISNUMBER($B547),$B547*10000,0)+ROW(),"")))</f>
        <v/>
      </c>
      <c r="U547" s="0" t="str">
        <f aca="false">IF(OR($B547="",$L547="已完成"),"",IF(ISNUMBER($B547),IF(设置!$B$6&lt;$B547,"",(设置!$B$6-$B547)*100000+ROW()),""))</f>
        <v/>
      </c>
      <c r="V547" s="0" t="str">
        <f aca="false">IF(ISNUMBER($O547),IF($O547&gt;=2,IF(COUNTIFS($D547:$D$2006,$D547,$E547:$E$2006,$E547)=1,ROW(),""),""),"")</f>
        <v/>
      </c>
    </row>
    <row r="548" customFormat="false" ht="15" hidden="false" customHeight="true" outlineLevel="0" collapsed="false">
      <c r="A548" s="13" t="str">
        <f aca="false">IF(AND($B548="",$D548="",$E548="",$F548=""),"",IF(OR($B548="",$D548="",$E548=""),"待补",IF($D548="公共区域","公",IF($D548="商铺","S",SUBSTITUTE($D548,"栋","")))&amp;"-"&amp;$E548&amp;"-"&amp;TEXT(MONTH($B548),"00")&amp;TEXT(DAY($B548),"00")&amp;IF(ISNUMBER($O548),IF($O548&gt;1,"-"&amp;TEXT($O548,"00"),""),"")))</f>
        <v/>
      </c>
      <c r="B548" s="14"/>
      <c r="C548" s="10"/>
      <c r="D548" s="10"/>
      <c r="E548" s="10"/>
      <c r="F548" s="16"/>
      <c r="G548" s="10"/>
      <c r="H548" s="10"/>
      <c r="I548" s="10"/>
      <c r="J548" s="10"/>
      <c r="K548" s="10"/>
      <c r="L548" s="10"/>
      <c r="M548" s="14"/>
      <c r="N548" s="17" t="str">
        <f aca="false">IF($B548="","",IF($L548="已完成",IF($M548="","",$M548-$B548),IF(设置!$B$6&lt;$B548,"",IF((设置!$B$6-$B548)&gt;=设置!$B$5,"超期"&amp;(设置!$B$6-$B548)&amp;"天","已等"&amp;(设置!$B$6-$B548)&amp;"天"))))</f>
        <v/>
      </c>
      <c r="O548" s="18" t="str">
        <f aca="false">IF(OR($D548="",$E548=""),"",COUNTIFS($D$7:$D548,$D548,$E$7:$E548,$E548))</f>
        <v/>
      </c>
      <c r="P548" s="16"/>
      <c r="Q548" s="19"/>
      <c r="R548" s="10"/>
      <c r="S548" s="16"/>
      <c r="T548" s="0" t="str">
        <f aca="false">IF(OR($D548="",单元查询!$B$3=""),"",IF($D548&lt;&gt;单元查询!$B$3,"",IF(OR(单元查询!$D$3="",$E548&amp;""=单元查询!$D$3&amp;""),IF(ISNUMBER($B548),$B548*10000,0)+ROW(),"")))</f>
        <v/>
      </c>
      <c r="U548" s="0" t="str">
        <f aca="false">IF(OR($B548="",$L548="已完成"),"",IF(ISNUMBER($B548),IF(设置!$B$6&lt;$B548,"",(设置!$B$6-$B548)*100000+ROW()),""))</f>
        <v/>
      </c>
      <c r="V548" s="0" t="str">
        <f aca="false">IF(ISNUMBER($O548),IF($O548&gt;=2,IF(COUNTIFS($D548:$D$2006,$D548,$E548:$E$2006,$E548)=1,ROW(),""),""),"")</f>
        <v/>
      </c>
    </row>
    <row r="549" customFormat="false" ht="15" hidden="false" customHeight="true" outlineLevel="0" collapsed="false">
      <c r="A549" s="13" t="str">
        <f aca="false">IF(AND($B549="",$D549="",$E549="",$F549=""),"",IF(OR($B549="",$D549="",$E549=""),"待补",IF($D549="公共区域","公",IF($D549="商铺","S",SUBSTITUTE($D549,"栋","")))&amp;"-"&amp;$E549&amp;"-"&amp;TEXT(MONTH($B549),"00")&amp;TEXT(DAY($B549),"00")&amp;IF(ISNUMBER($O549),IF($O549&gt;1,"-"&amp;TEXT($O549,"00"),""),"")))</f>
        <v/>
      </c>
      <c r="B549" s="14"/>
      <c r="C549" s="10"/>
      <c r="D549" s="10"/>
      <c r="E549" s="10"/>
      <c r="F549" s="16"/>
      <c r="G549" s="10"/>
      <c r="H549" s="10"/>
      <c r="I549" s="10"/>
      <c r="J549" s="10"/>
      <c r="K549" s="10"/>
      <c r="L549" s="10"/>
      <c r="M549" s="14"/>
      <c r="N549" s="17" t="str">
        <f aca="false">IF($B549="","",IF($L549="已完成",IF($M549="","",$M549-$B549),IF(设置!$B$6&lt;$B549,"",IF((设置!$B$6-$B549)&gt;=设置!$B$5,"超期"&amp;(设置!$B$6-$B549)&amp;"天","已等"&amp;(设置!$B$6-$B549)&amp;"天"))))</f>
        <v/>
      </c>
      <c r="O549" s="18" t="str">
        <f aca="false">IF(OR($D549="",$E549=""),"",COUNTIFS($D$7:$D549,$D549,$E$7:$E549,$E549))</f>
        <v/>
      </c>
      <c r="P549" s="16"/>
      <c r="Q549" s="19"/>
      <c r="R549" s="10"/>
      <c r="S549" s="16"/>
      <c r="T549" s="0" t="str">
        <f aca="false">IF(OR($D549="",单元查询!$B$3=""),"",IF($D549&lt;&gt;单元查询!$B$3,"",IF(OR(单元查询!$D$3="",$E549&amp;""=单元查询!$D$3&amp;""),IF(ISNUMBER($B549),$B549*10000,0)+ROW(),"")))</f>
        <v/>
      </c>
      <c r="U549" s="0" t="str">
        <f aca="false">IF(OR($B549="",$L549="已完成"),"",IF(ISNUMBER($B549),IF(设置!$B$6&lt;$B549,"",(设置!$B$6-$B549)*100000+ROW()),""))</f>
        <v/>
      </c>
      <c r="V549" s="0" t="str">
        <f aca="false">IF(ISNUMBER($O549),IF($O549&gt;=2,IF(COUNTIFS($D549:$D$2006,$D549,$E549:$E$2006,$E549)=1,ROW(),""),""),"")</f>
        <v/>
      </c>
    </row>
    <row r="550" customFormat="false" ht="15" hidden="false" customHeight="true" outlineLevel="0" collapsed="false">
      <c r="A550" s="13" t="str">
        <f aca="false">IF(AND($B550="",$D550="",$E550="",$F550=""),"",IF(OR($B550="",$D550="",$E550=""),"待补",IF($D550="公共区域","公",IF($D550="商铺","S",SUBSTITUTE($D550,"栋","")))&amp;"-"&amp;$E550&amp;"-"&amp;TEXT(MONTH($B550),"00")&amp;TEXT(DAY($B550),"00")&amp;IF(ISNUMBER($O550),IF($O550&gt;1,"-"&amp;TEXT($O550,"00"),""),"")))</f>
        <v/>
      </c>
      <c r="B550" s="14"/>
      <c r="C550" s="10"/>
      <c r="D550" s="10"/>
      <c r="E550" s="10"/>
      <c r="F550" s="16"/>
      <c r="G550" s="10"/>
      <c r="H550" s="10"/>
      <c r="I550" s="10"/>
      <c r="J550" s="10"/>
      <c r="K550" s="10"/>
      <c r="L550" s="10"/>
      <c r="M550" s="14"/>
      <c r="N550" s="17" t="str">
        <f aca="false">IF($B550="","",IF($L550="已完成",IF($M550="","",$M550-$B550),IF(设置!$B$6&lt;$B550,"",IF((设置!$B$6-$B550)&gt;=设置!$B$5,"超期"&amp;(设置!$B$6-$B550)&amp;"天","已等"&amp;(设置!$B$6-$B550)&amp;"天"))))</f>
        <v/>
      </c>
      <c r="O550" s="18" t="str">
        <f aca="false">IF(OR($D550="",$E550=""),"",COUNTIFS($D$7:$D550,$D550,$E$7:$E550,$E550))</f>
        <v/>
      </c>
      <c r="P550" s="16"/>
      <c r="Q550" s="19"/>
      <c r="R550" s="10"/>
      <c r="S550" s="16"/>
      <c r="T550" s="0" t="str">
        <f aca="false">IF(OR($D550="",单元查询!$B$3=""),"",IF($D550&lt;&gt;单元查询!$B$3,"",IF(OR(单元查询!$D$3="",$E550&amp;""=单元查询!$D$3&amp;""),IF(ISNUMBER($B550),$B550*10000,0)+ROW(),"")))</f>
        <v/>
      </c>
      <c r="U550" s="0" t="str">
        <f aca="false">IF(OR($B550="",$L550="已完成"),"",IF(ISNUMBER($B550),IF(设置!$B$6&lt;$B550,"",(设置!$B$6-$B550)*100000+ROW()),""))</f>
        <v/>
      </c>
      <c r="V550" s="0" t="str">
        <f aca="false">IF(ISNUMBER($O550),IF($O550&gt;=2,IF(COUNTIFS($D550:$D$2006,$D550,$E550:$E$2006,$E550)=1,ROW(),""),""),"")</f>
        <v/>
      </c>
    </row>
    <row r="551" customFormat="false" ht="15" hidden="false" customHeight="true" outlineLevel="0" collapsed="false">
      <c r="A551" s="13" t="str">
        <f aca="false">IF(AND($B551="",$D551="",$E551="",$F551=""),"",IF(OR($B551="",$D551="",$E551=""),"待补",IF($D551="公共区域","公",IF($D551="商铺","S",SUBSTITUTE($D551,"栋","")))&amp;"-"&amp;$E551&amp;"-"&amp;TEXT(MONTH($B551),"00")&amp;TEXT(DAY($B551),"00")&amp;IF(ISNUMBER($O551),IF($O551&gt;1,"-"&amp;TEXT($O551,"00"),""),"")))</f>
        <v/>
      </c>
      <c r="B551" s="14"/>
      <c r="C551" s="10"/>
      <c r="D551" s="10"/>
      <c r="E551" s="10"/>
      <c r="F551" s="16"/>
      <c r="G551" s="10"/>
      <c r="H551" s="10"/>
      <c r="I551" s="10"/>
      <c r="J551" s="10"/>
      <c r="K551" s="10"/>
      <c r="L551" s="10"/>
      <c r="M551" s="14"/>
      <c r="N551" s="17" t="str">
        <f aca="false">IF($B551="","",IF($L551="已完成",IF($M551="","",$M551-$B551),IF(设置!$B$6&lt;$B551,"",IF((设置!$B$6-$B551)&gt;=设置!$B$5,"超期"&amp;(设置!$B$6-$B551)&amp;"天","已等"&amp;(设置!$B$6-$B551)&amp;"天"))))</f>
        <v/>
      </c>
      <c r="O551" s="18" t="str">
        <f aca="false">IF(OR($D551="",$E551=""),"",COUNTIFS($D$7:$D551,$D551,$E$7:$E551,$E551))</f>
        <v/>
      </c>
      <c r="P551" s="16"/>
      <c r="Q551" s="19"/>
      <c r="R551" s="10"/>
      <c r="S551" s="16"/>
      <c r="T551" s="0" t="str">
        <f aca="false">IF(OR($D551="",单元查询!$B$3=""),"",IF($D551&lt;&gt;单元查询!$B$3,"",IF(OR(单元查询!$D$3="",$E551&amp;""=单元查询!$D$3&amp;""),IF(ISNUMBER($B551),$B551*10000,0)+ROW(),"")))</f>
        <v/>
      </c>
      <c r="U551" s="0" t="str">
        <f aca="false">IF(OR($B551="",$L551="已完成"),"",IF(ISNUMBER($B551),IF(设置!$B$6&lt;$B551,"",(设置!$B$6-$B551)*100000+ROW()),""))</f>
        <v/>
      </c>
      <c r="V551" s="0" t="str">
        <f aca="false">IF(ISNUMBER($O551),IF($O551&gt;=2,IF(COUNTIFS($D551:$D$2006,$D551,$E551:$E$2006,$E551)=1,ROW(),""),""),"")</f>
        <v/>
      </c>
    </row>
    <row r="552" customFormat="false" ht="15" hidden="false" customHeight="true" outlineLevel="0" collapsed="false">
      <c r="A552" s="13" t="str">
        <f aca="false">IF(AND($B552="",$D552="",$E552="",$F552=""),"",IF(OR($B552="",$D552="",$E552=""),"待补",IF($D552="公共区域","公",IF($D552="商铺","S",SUBSTITUTE($D552,"栋","")))&amp;"-"&amp;$E552&amp;"-"&amp;TEXT(MONTH($B552),"00")&amp;TEXT(DAY($B552),"00")&amp;IF(ISNUMBER($O552),IF($O552&gt;1,"-"&amp;TEXT($O552,"00"),""),"")))</f>
        <v/>
      </c>
      <c r="B552" s="14"/>
      <c r="C552" s="10"/>
      <c r="D552" s="10"/>
      <c r="E552" s="10"/>
      <c r="F552" s="16"/>
      <c r="G552" s="10"/>
      <c r="H552" s="10"/>
      <c r="I552" s="10"/>
      <c r="J552" s="10"/>
      <c r="K552" s="10"/>
      <c r="L552" s="10"/>
      <c r="M552" s="14"/>
      <c r="N552" s="17" t="str">
        <f aca="false">IF($B552="","",IF($L552="已完成",IF($M552="","",$M552-$B552),IF(设置!$B$6&lt;$B552,"",IF((设置!$B$6-$B552)&gt;=设置!$B$5,"超期"&amp;(设置!$B$6-$B552)&amp;"天","已等"&amp;(设置!$B$6-$B552)&amp;"天"))))</f>
        <v/>
      </c>
      <c r="O552" s="18" t="str">
        <f aca="false">IF(OR($D552="",$E552=""),"",COUNTIFS($D$7:$D552,$D552,$E$7:$E552,$E552))</f>
        <v/>
      </c>
      <c r="P552" s="16"/>
      <c r="Q552" s="19"/>
      <c r="R552" s="10"/>
      <c r="S552" s="16"/>
      <c r="T552" s="0" t="str">
        <f aca="false">IF(OR($D552="",单元查询!$B$3=""),"",IF($D552&lt;&gt;单元查询!$B$3,"",IF(OR(单元查询!$D$3="",$E552&amp;""=单元查询!$D$3&amp;""),IF(ISNUMBER($B552),$B552*10000,0)+ROW(),"")))</f>
        <v/>
      </c>
      <c r="U552" s="0" t="str">
        <f aca="false">IF(OR($B552="",$L552="已完成"),"",IF(ISNUMBER($B552),IF(设置!$B$6&lt;$B552,"",(设置!$B$6-$B552)*100000+ROW()),""))</f>
        <v/>
      </c>
      <c r="V552" s="0" t="str">
        <f aca="false">IF(ISNUMBER($O552),IF($O552&gt;=2,IF(COUNTIFS($D552:$D$2006,$D552,$E552:$E$2006,$E552)=1,ROW(),""),""),"")</f>
        <v/>
      </c>
    </row>
    <row r="553" customFormat="false" ht="15" hidden="false" customHeight="true" outlineLevel="0" collapsed="false">
      <c r="A553" s="13" t="str">
        <f aca="false">IF(AND($B553="",$D553="",$E553="",$F553=""),"",IF(OR($B553="",$D553="",$E553=""),"待补",IF($D553="公共区域","公",IF($D553="商铺","S",SUBSTITUTE($D553,"栋","")))&amp;"-"&amp;$E553&amp;"-"&amp;TEXT(MONTH($B553),"00")&amp;TEXT(DAY($B553),"00")&amp;IF(ISNUMBER($O553),IF($O553&gt;1,"-"&amp;TEXT($O553,"00"),""),"")))</f>
        <v/>
      </c>
      <c r="B553" s="14"/>
      <c r="C553" s="10"/>
      <c r="D553" s="10"/>
      <c r="E553" s="10"/>
      <c r="F553" s="16"/>
      <c r="G553" s="10"/>
      <c r="H553" s="10"/>
      <c r="I553" s="10"/>
      <c r="J553" s="10"/>
      <c r="K553" s="10"/>
      <c r="L553" s="10"/>
      <c r="M553" s="14"/>
      <c r="N553" s="17" t="str">
        <f aca="false">IF($B553="","",IF($L553="已完成",IF($M553="","",$M553-$B553),IF(设置!$B$6&lt;$B553,"",IF((设置!$B$6-$B553)&gt;=设置!$B$5,"超期"&amp;(设置!$B$6-$B553)&amp;"天","已等"&amp;(设置!$B$6-$B553)&amp;"天"))))</f>
        <v/>
      </c>
      <c r="O553" s="18" t="str">
        <f aca="false">IF(OR($D553="",$E553=""),"",COUNTIFS($D$7:$D553,$D553,$E$7:$E553,$E553))</f>
        <v/>
      </c>
      <c r="P553" s="16"/>
      <c r="Q553" s="19"/>
      <c r="R553" s="10"/>
      <c r="S553" s="16"/>
      <c r="T553" s="0" t="str">
        <f aca="false">IF(OR($D553="",单元查询!$B$3=""),"",IF($D553&lt;&gt;单元查询!$B$3,"",IF(OR(单元查询!$D$3="",$E553&amp;""=单元查询!$D$3&amp;""),IF(ISNUMBER($B553),$B553*10000,0)+ROW(),"")))</f>
        <v/>
      </c>
      <c r="U553" s="0" t="str">
        <f aca="false">IF(OR($B553="",$L553="已完成"),"",IF(ISNUMBER($B553),IF(设置!$B$6&lt;$B553,"",(设置!$B$6-$B553)*100000+ROW()),""))</f>
        <v/>
      </c>
      <c r="V553" s="0" t="str">
        <f aca="false">IF(ISNUMBER($O553),IF($O553&gt;=2,IF(COUNTIFS($D553:$D$2006,$D553,$E553:$E$2006,$E553)=1,ROW(),""),""),"")</f>
        <v/>
      </c>
    </row>
    <row r="554" customFormat="false" ht="15" hidden="false" customHeight="true" outlineLevel="0" collapsed="false">
      <c r="A554" s="13" t="str">
        <f aca="false">IF(AND($B554="",$D554="",$E554="",$F554=""),"",IF(OR($B554="",$D554="",$E554=""),"待补",IF($D554="公共区域","公",IF($D554="商铺","S",SUBSTITUTE($D554,"栋","")))&amp;"-"&amp;$E554&amp;"-"&amp;TEXT(MONTH($B554),"00")&amp;TEXT(DAY($B554),"00")&amp;IF(ISNUMBER($O554),IF($O554&gt;1,"-"&amp;TEXT($O554,"00"),""),"")))</f>
        <v/>
      </c>
      <c r="B554" s="14"/>
      <c r="C554" s="10"/>
      <c r="D554" s="10"/>
      <c r="E554" s="10"/>
      <c r="F554" s="16"/>
      <c r="G554" s="10"/>
      <c r="H554" s="10"/>
      <c r="I554" s="10"/>
      <c r="J554" s="10"/>
      <c r="K554" s="10"/>
      <c r="L554" s="10"/>
      <c r="M554" s="14"/>
      <c r="N554" s="17" t="str">
        <f aca="false">IF($B554="","",IF($L554="已完成",IF($M554="","",$M554-$B554),IF(设置!$B$6&lt;$B554,"",IF((设置!$B$6-$B554)&gt;=设置!$B$5,"超期"&amp;(设置!$B$6-$B554)&amp;"天","已等"&amp;(设置!$B$6-$B554)&amp;"天"))))</f>
        <v/>
      </c>
      <c r="O554" s="18" t="str">
        <f aca="false">IF(OR($D554="",$E554=""),"",COUNTIFS($D$7:$D554,$D554,$E$7:$E554,$E554))</f>
        <v/>
      </c>
      <c r="P554" s="16"/>
      <c r="Q554" s="19"/>
      <c r="R554" s="10"/>
      <c r="S554" s="16"/>
      <c r="T554" s="0" t="str">
        <f aca="false">IF(OR($D554="",单元查询!$B$3=""),"",IF($D554&lt;&gt;单元查询!$B$3,"",IF(OR(单元查询!$D$3="",$E554&amp;""=单元查询!$D$3&amp;""),IF(ISNUMBER($B554),$B554*10000,0)+ROW(),"")))</f>
        <v/>
      </c>
      <c r="U554" s="0" t="str">
        <f aca="false">IF(OR($B554="",$L554="已完成"),"",IF(ISNUMBER($B554),IF(设置!$B$6&lt;$B554,"",(设置!$B$6-$B554)*100000+ROW()),""))</f>
        <v/>
      </c>
      <c r="V554" s="0" t="str">
        <f aca="false">IF(ISNUMBER($O554),IF($O554&gt;=2,IF(COUNTIFS($D554:$D$2006,$D554,$E554:$E$2006,$E554)=1,ROW(),""),""),"")</f>
        <v/>
      </c>
    </row>
    <row r="555" customFormat="false" ht="15" hidden="false" customHeight="true" outlineLevel="0" collapsed="false">
      <c r="A555" s="13" t="str">
        <f aca="false">IF(AND($B555="",$D555="",$E555="",$F555=""),"",IF(OR($B555="",$D555="",$E555=""),"待补",IF($D555="公共区域","公",IF($D555="商铺","S",SUBSTITUTE($D555,"栋","")))&amp;"-"&amp;$E555&amp;"-"&amp;TEXT(MONTH($B555),"00")&amp;TEXT(DAY($B555),"00")&amp;IF(ISNUMBER($O555),IF($O555&gt;1,"-"&amp;TEXT($O555,"00"),""),"")))</f>
        <v/>
      </c>
      <c r="B555" s="14"/>
      <c r="C555" s="10"/>
      <c r="D555" s="10"/>
      <c r="E555" s="10"/>
      <c r="F555" s="16"/>
      <c r="G555" s="10"/>
      <c r="H555" s="10"/>
      <c r="I555" s="10"/>
      <c r="J555" s="10"/>
      <c r="K555" s="10"/>
      <c r="L555" s="10"/>
      <c r="M555" s="14"/>
      <c r="N555" s="17" t="str">
        <f aca="false">IF($B555="","",IF($L555="已完成",IF($M555="","",$M555-$B555),IF(设置!$B$6&lt;$B555,"",IF((设置!$B$6-$B555)&gt;=设置!$B$5,"超期"&amp;(设置!$B$6-$B555)&amp;"天","已等"&amp;(设置!$B$6-$B555)&amp;"天"))))</f>
        <v/>
      </c>
      <c r="O555" s="18" t="str">
        <f aca="false">IF(OR($D555="",$E555=""),"",COUNTIFS($D$7:$D555,$D555,$E$7:$E555,$E555))</f>
        <v/>
      </c>
      <c r="P555" s="16"/>
      <c r="Q555" s="19"/>
      <c r="R555" s="10"/>
      <c r="S555" s="16"/>
      <c r="T555" s="0" t="str">
        <f aca="false">IF(OR($D555="",单元查询!$B$3=""),"",IF($D555&lt;&gt;单元查询!$B$3,"",IF(OR(单元查询!$D$3="",$E555&amp;""=单元查询!$D$3&amp;""),IF(ISNUMBER($B555),$B555*10000,0)+ROW(),"")))</f>
        <v/>
      </c>
      <c r="U555" s="0" t="str">
        <f aca="false">IF(OR($B555="",$L555="已完成"),"",IF(ISNUMBER($B555),IF(设置!$B$6&lt;$B555,"",(设置!$B$6-$B555)*100000+ROW()),""))</f>
        <v/>
      </c>
      <c r="V555" s="0" t="str">
        <f aca="false">IF(ISNUMBER($O555),IF($O555&gt;=2,IF(COUNTIFS($D555:$D$2006,$D555,$E555:$E$2006,$E555)=1,ROW(),""),""),"")</f>
        <v/>
      </c>
    </row>
    <row r="556" customFormat="false" ht="15" hidden="false" customHeight="true" outlineLevel="0" collapsed="false">
      <c r="A556" s="13" t="str">
        <f aca="false">IF(AND($B556="",$D556="",$E556="",$F556=""),"",IF(OR($B556="",$D556="",$E556=""),"待补",IF($D556="公共区域","公",IF($D556="商铺","S",SUBSTITUTE($D556,"栋","")))&amp;"-"&amp;$E556&amp;"-"&amp;TEXT(MONTH($B556),"00")&amp;TEXT(DAY($B556),"00")&amp;IF(ISNUMBER($O556),IF($O556&gt;1,"-"&amp;TEXT($O556,"00"),""),"")))</f>
        <v/>
      </c>
      <c r="B556" s="14"/>
      <c r="C556" s="10"/>
      <c r="D556" s="10"/>
      <c r="E556" s="10"/>
      <c r="F556" s="16"/>
      <c r="G556" s="10"/>
      <c r="H556" s="10"/>
      <c r="I556" s="10"/>
      <c r="J556" s="10"/>
      <c r="K556" s="10"/>
      <c r="L556" s="10"/>
      <c r="M556" s="14"/>
      <c r="N556" s="17" t="str">
        <f aca="false">IF($B556="","",IF($L556="已完成",IF($M556="","",$M556-$B556),IF(设置!$B$6&lt;$B556,"",IF((设置!$B$6-$B556)&gt;=设置!$B$5,"超期"&amp;(设置!$B$6-$B556)&amp;"天","已等"&amp;(设置!$B$6-$B556)&amp;"天"))))</f>
        <v/>
      </c>
      <c r="O556" s="18" t="str">
        <f aca="false">IF(OR($D556="",$E556=""),"",COUNTIFS($D$7:$D556,$D556,$E$7:$E556,$E556))</f>
        <v/>
      </c>
      <c r="P556" s="16"/>
      <c r="Q556" s="19"/>
      <c r="R556" s="10"/>
      <c r="S556" s="16"/>
      <c r="T556" s="0" t="str">
        <f aca="false">IF(OR($D556="",单元查询!$B$3=""),"",IF($D556&lt;&gt;单元查询!$B$3,"",IF(OR(单元查询!$D$3="",$E556&amp;""=单元查询!$D$3&amp;""),IF(ISNUMBER($B556),$B556*10000,0)+ROW(),"")))</f>
        <v/>
      </c>
      <c r="U556" s="0" t="str">
        <f aca="false">IF(OR($B556="",$L556="已完成"),"",IF(ISNUMBER($B556),IF(设置!$B$6&lt;$B556,"",(设置!$B$6-$B556)*100000+ROW()),""))</f>
        <v/>
      </c>
      <c r="V556" s="0" t="str">
        <f aca="false">IF(ISNUMBER($O556),IF($O556&gt;=2,IF(COUNTIFS($D556:$D$2006,$D556,$E556:$E$2006,$E556)=1,ROW(),""),""),"")</f>
        <v/>
      </c>
    </row>
    <row r="557" customFormat="false" ht="15" hidden="false" customHeight="true" outlineLevel="0" collapsed="false">
      <c r="A557" s="13" t="str">
        <f aca="false">IF(AND($B557="",$D557="",$E557="",$F557=""),"",IF(OR($B557="",$D557="",$E557=""),"待补",IF($D557="公共区域","公",IF($D557="商铺","S",SUBSTITUTE($D557,"栋","")))&amp;"-"&amp;$E557&amp;"-"&amp;TEXT(MONTH($B557),"00")&amp;TEXT(DAY($B557),"00")&amp;IF(ISNUMBER($O557),IF($O557&gt;1,"-"&amp;TEXT($O557,"00"),""),"")))</f>
        <v/>
      </c>
      <c r="B557" s="14"/>
      <c r="C557" s="10"/>
      <c r="D557" s="10"/>
      <c r="E557" s="10"/>
      <c r="F557" s="16"/>
      <c r="G557" s="10"/>
      <c r="H557" s="10"/>
      <c r="I557" s="10"/>
      <c r="J557" s="10"/>
      <c r="K557" s="10"/>
      <c r="L557" s="10"/>
      <c r="M557" s="14"/>
      <c r="N557" s="17" t="str">
        <f aca="false">IF($B557="","",IF($L557="已完成",IF($M557="","",$M557-$B557),IF(设置!$B$6&lt;$B557,"",IF((设置!$B$6-$B557)&gt;=设置!$B$5,"超期"&amp;(设置!$B$6-$B557)&amp;"天","已等"&amp;(设置!$B$6-$B557)&amp;"天"))))</f>
        <v/>
      </c>
      <c r="O557" s="18" t="str">
        <f aca="false">IF(OR($D557="",$E557=""),"",COUNTIFS($D$7:$D557,$D557,$E$7:$E557,$E557))</f>
        <v/>
      </c>
      <c r="P557" s="16"/>
      <c r="Q557" s="19"/>
      <c r="R557" s="10"/>
      <c r="S557" s="16"/>
      <c r="T557" s="0" t="str">
        <f aca="false">IF(OR($D557="",单元查询!$B$3=""),"",IF($D557&lt;&gt;单元查询!$B$3,"",IF(OR(单元查询!$D$3="",$E557&amp;""=单元查询!$D$3&amp;""),IF(ISNUMBER($B557),$B557*10000,0)+ROW(),"")))</f>
        <v/>
      </c>
      <c r="U557" s="0" t="str">
        <f aca="false">IF(OR($B557="",$L557="已完成"),"",IF(ISNUMBER($B557),IF(设置!$B$6&lt;$B557,"",(设置!$B$6-$B557)*100000+ROW()),""))</f>
        <v/>
      </c>
      <c r="V557" s="0" t="str">
        <f aca="false">IF(ISNUMBER($O557),IF($O557&gt;=2,IF(COUNTIFS($D557:$D$2006,$D557,$E557:$E$2006,$E557)=1,ROW(),""),""),"")</f>
        <v/>
      </c>
    </row>
    <row r="558" customFormat="false" ht="15" hidden="false" customHeight="true" outlineLevel="0" collapsed="false">
      <c r="A558" s="13" t="str">
        <f aca="false">IF(AND($B558="",$D558="",$E558="",$F558=""),"",IF(OR($B558="",$D558="",$E558=""),"待补",IF($D558="公共区域","公",IF($D558="商铺","S",SUBSTITUTE($D558,"栋","")))&amp;"-"&amp;$E558&amp;"-"&amp;TEXT(MONTH($B558),"00")&amp;TEXT(DAY($B558),"00")&amp;IF(ISNUMBER($O558),IF($O558&gt;1,"-"&amp;TEXT($O558,"00"),""),"")))</f>
        <v/>
      </c>
      <c r="B558" s="14"/>
      <c r="C558" s="10"/>
      <c r="D558" s="10"/>
      <c r="E558" s="10"/>
      <c r="F558" s="16"/>
      <c r="G558" s="10"/>
      <c r="H558" s="10"/>
      <c r="I558" s="10"/>
      <c r="J558" s="10"/>
      <c r="K558" s="10"/>
      <c r="L558" s="10"/>
      <c r="M558" s="14"/>
      <c r="N558" s="17" t="str">
        <f aca="false">IF($B558="","",IF($L558="已完成",IF($M558="","",$M558-$B558),IF(设置!$B$6&lt;$B558,"",IF((设置!$B$6-$B558)&gt;=设置!$B$5,"超期"&amp;(设置!$B$6-$B558)&amp;"天","已等"&amp;(设置!$B$6-$B558)&amp;"天"))))</f>
        <v/>
      </c>
      <c r="O558" s="18" t="str">
        <f aca="false">IF(OR($D558="",$E558=""),"",COUNTIFS($D$7:$D558,$D558,$E$7:$E558,$E558))</f>
        <v/>
      </c>
      <c r="P558" s="16"/>
      <c r="Q558" s="19"/>
      <c r="R558" s="10"/>
      <c r="S558" s="16"/>
      <c r="T558" s="0" t="str">
        <f aca="false">IF(OR($D558="",单元查询!$B$3=""),"",IF($D558&lt;&gt;单元查询!$B$3,"",IF(OR(单元查询!$D$3="",$E558&amp;""=单元查询!$D$3&amp;""),IF(ISNUMBER($B558),$B558*10000,0)+ROW(),"")))</f>
        <v/>
      </c>
      <c r="U558" s="0" t="str">
        <f aca="false">IF(OR($B558="",$L558="已完成"),"",IF(ISNUMBER($B558),IF(设置!$B$6&lt;$B558,"",(设置!$B$6-$B558)*100000+ROW()),""))</f>
        <v/>
      </c>
      <c r="V558" s="0" t="str">
        <f aca="false">IF(ISNUMBER($O558),IF($O558&gt;=2,IF(COUNTIFS($D558:$D$2006,$D558,$E558:$E$2006,$E558)=1,ROW(),""),""),"")</f>
        <v/>
      </c>
    </row>
    <row r="559" customFormat="false" ht="15" hidden="false" customHeight="true" outlineLevel="0" collapsed="false">
      <c r="A559" s="13" t="str">
        <f aca="false">IF(AND($B559="",$D559="",$E559="",$F559=""),"",IF(OR($B559="",$D559="",$E559=""),"待补",IF($D559="公共区域","公",IF($D559="商铺","S",SUBSTITUTE($D559,"栋","")))&amp;"-"&amp;$E559&amp;"-"&amp;TEXT(MONTH($B559),"00")&amp;TEXT(DAY($B559),"00")&amp;IF(ISNUMBER($O559),IF($O559&gt;1,"-"&amp;TEXT($O559,"00"),""),"")))</f>
        <v/>
      </c>
      <c r="B559" s="14"/>
      <c r="C559" s="10"/>
      <c r="D559" s="10"/>
      <c r="E559" s="10"/>
      <c r="F559" s="16"/>
      <c r="G559" s="10"/>
      <c r="H559" s="10"/>
      <c r="I559" s="10"/>
      <c r="J559" s="10"/>
      <c r="K559" s="10"/>
      <c r="L559" s="10"/>
      <c r="M559" s="14"/>
      <c r="N559" s="17" t="str">
        <f aca="false">IF($B559="","",IF($L559="已完成",IF($M559="","",$M559-$B559),IF(设置!$B$6&lt;$B559,"",IF((设置!$B$6-$B559)&gt;=设置!$B$5,"超期"&amp;(设置!$B$6-$B559)&amp;"天","已等"&amp;(设置!$B$6-$B559)&amp;"天"))))</f>
        <v/>
      </c>
      <c r="O559" s="18" t="str">
        <f aca="false">IF(OR($D559="",$E559=""),"",COUNTIFS($D$7:$D559,$D559,$E$7:$E559,$E559))</f>
        <v/>
      </c>
      <c r="P559" s="16"/>
      <c r="Q559" s="19"/>
      <c r="R559" s="10"/>
      <c r="S559" s="16"/>
      <c r="T559" s="0" t="str">
        <f aca="false">IF(OR($D559="",单元查询!$B$3=""),"",IF($D559&lt;&gt;单元查询!$B$3,"",IF(OR(单元查询!$D$3="",$E559&amp;""=单元查询!$D$3&amp;""),IF(ISNUMBER($B559),$B559*10000,0)+ROW(),"")))</f>
        <v/>
      </c>
      <c r="U559" s="0" t="str">
        <f aca="false">IF(OR($B559="",$L559="已完成"),"",IF(ISNUMBER($B559),IF(设置!$B$6&lt;$B559,"",(设置!$B$6-$B559)*100000+ROW()),""))</f>
        <v/>
      </c>
      <c r="V559" s="0" t="str">
        <f aca="false">IF(ISNUMBER($O559),IF($O559&gt;=2,IF(COUNTIFS($D559:$D$2006,$D559,$E559:$E$2006,$E559)=1,ROW(),""),""),"")</f>
        <v/>
      </c>
    </row>
    <row r="560" customFormat="false" ht="15" hidden="false" customHeight="true" outlineLevel="0" collapsed="false">
      <c r="A560" s="13" t="str">
        <f aca="false">IF(AND($B560="",$D560="",$E560="",$F560=""),"",IF(OR($B560="",$D560="",$E560=""),"待补",IF($D560="公共区域","公",IF($D560="商铺","S",SUBSTITUTE($D560,"栋","")))&amp;"-"&amp;$E560&amp;"-"&amp;TEXT(MONTH($B560),"00")&amp;TEXT(DAY($B560),"00")&amp;IF(ISNUMBER($O560),IF($O560&gt;1,"-"&amp;TEXT($O560,"00"),""),"")))</f>
        <v/>
      </c>
      <c r="B560" s="14"/>
      <c r="C560" s="10"/>
      <c r="D560" s="10"/>
      <c r="E560" s="10"/>
      <c r="F560" s="16"/>
      <c r="G560" s="10"/>
      <c r="H560" s="10"/>
      <c r="I560" s="10"/>
      <c r="J560" s="10"/>
      <c r="K560" s="10"/>
      <c r="L560" s="10"/>
      <c r="M560" s="14"/>
      <c r="N560" s="17" t="str">
        <f aca="false">IF($B560="","",IF($L560="已完成",IF($M560="","",$M560-$B560),IF(设置!$B$6&lt;$B560,"",IF((设置!$B$6-$B560)&gt;=设置!$B$5,"超期"&amp;(设置!$B$6-$B560)&amp;"天","已等"&amp;(设置!$B$6-$B560)&amp;"天"))))</f>
        <v/>
      </c>
      <c r="O560" s="18" t="str">
        <f aca="false">IF(OR($D560="",$E560=""),"",COUNTIFS($D$7:$D560,$D560,$E$7:$E560,$E560))</f>
        <v/>
      </c>
      <c r="P560" s="16"/>
      <c r="Q560" s="19"/>
      <c r="R560" s="10"/>
      <c r="S560" s="16"/>
      <c r="T560" s="0" t="str">
        <f aca="false">IF(OR($D560="",单元查询!$B$3=""),"",IF($D560&lt;&gt;单元查询!$B$3,"",IF(OR(单元查询!$D$3="",$E560&amp;""=单元查询!$D$3&amp;""),IF(ISNUMBER($B560),$B560*10000,0)+ROW(),"")))</f>
        <v/>
      </c>
      <c r="U560" s="0" t="str">
        <f aca="false">IF(OR($B560="",$L560="已完成"),"",IF(ISNUMBER($B560),IF(设置!$B$6&lt;$B560,"",(设置!$B$6-$B560)*100000+ROW()),""))</f>
        <v/>
      </c>
      <c r="V560" s="0" t="str">
        <f aca="false">IF(ISNUMBER($O560),IF($O560&gt;=2,IF(COUNTIFS($D560:$D$2006,$D560,$E560:$E$2006,$E560)=1,ROW(),""),""),"")</f>
        <v/>
      </c>
    </row>
    <row r="561" customFormat="false" ht="15" hidden="false" customHeight="true" outlineLevel="0" collapsed="false">
      <c r="A561" s="13" t="str">
        <f aca="false">IF(AND($B561="",$D561="",$E561="",$F561=""),"",IF(OR($B561="",$D561="",$E561=""),"待补",IF($D561="公共区域","公",IF($D561="商铺","S",SUBSTITUTE($D561,"栋","")))&amp;"-"&amp;$E561&amp;"-"&amp;TEXT(MONTH($B561),"00")&amp;TEXT(DAY($B561),"00")&amp;IF(ISNUMBER($O561),IF($O561&gt;1,"-"&amp;TEXT($O561,"00"),""),"")))</f>
        <v/>
      </c>
      <c r="B561" s="14"/>
      <c r="C561" s="10"/>
      <c r="D561" s="10"/>
      <c r="E561" s="10"/>
      <c r="F561" s="16"/>
      <c r="G561" s="10"/>
      <c r="H561" s="10"/>
      <c r="I561" s="10"/>
      <c r="J561" s="10"/>
      <c r="K561" s="10"/>
      <c r="L561" s="10"/>
      <c r="M561" s="14"/>
      <c r="N561" s="17" t="str">
        <f aca="false">IF($B561="","",IF($L561="已完成",IF($M561="","",$M561-$B561),IF(设置!$B$6&lt;$B561,"",IF((设置!$B$6-$B561)&gt;=设置!$B$5,"超期"&amp;(设置!$B$6-$B561)&amp;"天","已等"&amp;(设置!$B$6-$B561)&amp;"天"))))</f>
        <v/>
      </c>
      <c r="O561" s="18" t="str">
        <f aca="false">IF(OR($D561="",$E561=""),"",COUNTIFS($D$7:$D561,$D561,$E$7:$E561,$E561))</f>
        <v/>
      </c>
      <c r="P561" s="16"/>
      <c r="Q561" s="19"/>
      <c r="R561" s="10"/>
      <c r="S561" s="16"/>
      <c r="T561" s="0" t="str">
        <f aca="false">IF(OR($D561="",单元查询!$B$3=""),"",IF($D561&lt;&gt;单元查询!$B$3,"",IF(OR(单元查询!$D$3="",$E561&amp;""=单元查询!$D$3&amp;""),IF(ISNUMBER($B561),$B561*10000,0)+ROW(),"")))</f>
        <v/>
      </c>
      <c r="U561" s="0" t="str">
        <f aca="false">IF(OR($B561="",$L561="已完成"),"",IF(ISNUMBER($B561),IF(设置!$B$6&lt;$B561,"",(设置!$B$6-$B561)*100000+ROW()),""))</f>
        <v/>
      </c>
      <c r="V561" s="0" t="str">
        <f aca="false">IF(ISNUMBER($O561),IF($O561&gt;=2,IF(COUNTIFS($D561:$D$2006,$D561,$E561:$E$2006,$E561)=1,ROW(),""),""),"")</f>
        <v/>
      </c>
    </row>
    <row r="562" customFormat="false" ht="15" hidden="false" customHeight="true" outlineLevel="0" collapsed="false">
      <c r="A562" s="13" t="str">
        <f aca="false">IF(AND($B562="",$D562="",$E562="",$F562=""),"",IF(OR($B562="",$D562="",$E562=""),"待补",IF($D562="公共区域","公",IF($D562="商铺","S",SUBSTITUTE($D562,"栋","")))&amp;"-"&amp;$E562&amp;"-"&amp;TEXT(MONTH($B562),"00")&amp;TEXT(DAY($B562),"00")&amp;IF(ISNUMBER($O562),IF($O562&gt;1,"-"&amp;TEXT($O562,"00"),""),"")))</f>
        <v/>
      </c>
      <c r="B562" s="14"/>
      <c r="C562" s="10"/>
      <c r="D562" s="10"/>
      <c r="E562" s="10"/>
      <c r="F562" s="16"/>
      <c r="G562" s="10"/>
      <c r="H562" s="10"/>
      <c r="I562" s="10"/>
      <c r="J562" s="10"/>
      <c r="K562" s="10"/>
      <c r="L562" s="10"/>
      <c r="M562" s="14"/>
      <c r="N562" s="17" t="str">
        <f aca="false">IF($B562="","",IF($L562="已完成",IF($M562="","",$M562-$B562),IF(设置!$B$6&lt;$B562,"",IF((设置!$B$6-$B562)&gt;=设置!$B$5,"超期"&amp;(设置!$B$6-$B562)&amp;"天","已等"&amp;(设置!$B$6-$B562)&amp;"天"))))</f>
        <v/>
      </c>
      <c r="O562" s="18" t="str">
        <f aca="false">IF(OR($D562="",$E562=""),"",COUNTIFS($D$7:$D562,$D562,$E$7:$E562,$E562))</f>
        <v/>
      </c>
      <c r="P562" s="16"/>
      <c r="Q562" s="19"/>
      <c r="R562" s="10"/>
      <c r="S562" s="16"/>
      <c r="T562" s="0" t="str">
        <f aca="false">IF(OR($D562="",单元查询!$B$3=""),"",IF($D562&lt;&gt;单元查询!$B$3,"",IF(OR(单元查询!$D$3="",$E562&amp;""=单元查询!$D$3&amp;""),IF(ISNUMBER($B562),$B562*10000,0)+ROW(),"")))</f>
        <v/>
      </c>
      <c r="U562" s="0" t="str">
        <f aca="false">IF(OR($B562="",$L562="已完成"),"",IF(ISNUMBER($B562),IF(设置!$B$6&lt;$B562,"",(设置!$B$6-$B562)*100000+ROW()),""))</f>
        <v/>
      </c>
      <c r="V562" s="0" t="str">
        <f aca="false">IF(ISNUMBER($O562),IF($O562&gt;=2,IF(COUNTIFS($D562:$D$2006,$D562,$E562:$E$2006,$E562)=1,ROW(),""),""),"")</f>
        <v/>
      </c>
    </row>
    <row r="563" customFormat="false" ht="15" hidden="false" customHeight="true" outlineLevel="0" collapsed="false">
      <c r="A563" s="13" t="str">
        <f aca="false">IF(AND($B563="",$D563="",$E563="",$F563=""),"",IF(OR($B563="",$D563="",$E563=""),"待补",IF($D563="公共区域","公",IF($D563="商铺","S",SUBSTITUTE($D563,"栋","")))&amp;"-"&amp;$E563&amp;"-"&amp;TEXT(MONTH($B563),"00")&amp;TEXT(DAY($B563),"00")&amp;IF(ISNUMBER($O563),IF($O563&gt;1,"-"&amp;TEXT($O563,"00"),""),"")))</f>
        <v/>
      </c>
      <c r="B563" s="14"/>
      <c r="C563" s="10"/>
      <c r="D563" s="10"/>
      <c r="E563" s="10"/>
      <c r="F563" s="16"/>
      <c r="G563" s="10"/>
      <c r="H563" s="10"/>
      <c r="I563" s="10"/>
      <c r="J563" s="10"/>
      <c r="K563" s="10"/>
      <c r="L563" s="10"/>
      <c r="M563" s="14"/>
      <c r="N563" s="17" t="str">
        <f aca="false">IF($B563="","",IF($L563="已完成",IF($M563="","",$M563-$B563),IF(设置!$B$6&lt;$B563,"",IF((设置!$B$6-$B563)&gt;=设置!$B$5,"超期"&amp;(设置!$B$6-$B563)&amp;"天","已等"&amp;(设置!$B$6-$B563)&amp;"天"))))</f>
        <v/>
      </c>
      <c r="O563" s="18" t="str">
        <f aca="false">IF(OR($D563="",$E563=""),"",COUNTIFS($D$7:$D563,$D563,$E$7:$E563,$E563))</f>
        <v/>
      </c>
      <c r="P563" s="16"/>
      <c r="Q563" s="19"/>
      <c r="R563" s="10"/>
      <c r="S563" s="16"/>
      <c r="T563" s="0" t="str">
        <f aca="false">IF(OR($D563="",单元查询!$B$3=""),"",IF($D563&lt;&gt;单元查询!$B$3,"",IF(OR(单元查询!$D$3="",$E563&amp;""=单元查询!$D$3&amp;""),IF(ISNUMBER($B563),$B563*10000,0)+ROW(),"")))</f>
        <v/>
      </c>
      <c r="U563" s="0" t="str">
        <f aca="false">IF(OR($B563="",$L563="已完成"),"",IF(ISNUMBER($B563),IF(设置!$B$6&lt;$B563,"",(设置!$B$6-$B563)*100000+ROW()),""))</f>
        <v/>
      </c>
      <c r="V563" s="0" t="str">
        <f aca="false">IF(ISNUMBER($O563),IF($O563&gt;=2,IF(COUNTIFS($D563:$D$2006,$D563,$E563:$E$2006,$E563)=1,ROW(),""),""),"")</f>
        <v/>
      </c>
    </row>
    <row r="564" customFormat="false" ht="15" hidden="false" customHeight="true" outlineLevel="0" collapsed="false">
      <c r="A564" s="13" t="str">
        <f aca="false">IF(AND($B564="",$D564="",$E564="",$F564=""),"",IF(OR($B564="",$D564="",$E564=""),"待补",IF($D564="公共区域","公",IF($D564="商铺","S",SUBSTITUTE($D564,"栋","")))&amp;"-"&amp;$E564&amp;"-"&amp;TEXT(MONTH($B564),"00")&amp;TEXT(DAY($B564),"00")&amp;IF(ISNUMBER($O564),IF($O564&gt;1,"-"&amp;TEXT($O564,"00"),""),"")))</f>
        <v/>
      </c>
      <c r="B564" s="14"/>
      <c r="C564" s="10"/>
      <c r="D564" s="10"/>
      <c r="E564" s="10"/>
      <c r="F564" s="16"/>
      <c r="G564" s="10"/>
      <c r="H564" s="10"/>
      <c r="I564" s="10"/>
      <c r="J564" s="10"/>
      <c r="K564" s="10"/>
      <c r="L564" s="10"/>
      <c r="M564" s="14"/>
      <c r="N564" s="17" t="str">
        <f aca="false">IF($B564="","",IF($L564="已完成",IF($M564="","",$M564-$B564),IF(设置!$B$6&lt;$B564,"",IF((设置!$B$6-$B564)&gt;=设置!$B$5,"超期"&amp;(设置!$B$6-$B564)&amp;"天","已等"&amp;(设置!$B$6-$B564)&amp;"天"))))</f>
        <v/>
      </c>
      <c r="O564" s="18" t="str">
        <f aca="false">IF(OR($D564="",$E564=""),"",COUNTIFS($D$7:$D564,$D564,$E$7:$E564,$E564))</f>
        <v/>
      </c>
      <c r="P564" s="16"/>
      <c r="Q564" s="19"/>
      <c r="R564" s="10"/>
      <c r="S564" s="16"/>
      <c r="T564" s="0" t="str">
        <f aca="false">IF(OR($D564="",单元查询!$B$3=""),"",IF($D564&lt;&gt;单元查询!$B$3,"",IF(OR(单元查询!$D$3="",$E564&amp;""=单元查询!$D$3&amp;""),IF(ISNUMBER($B564),$B564*10000,0)+ROW(),"")))</f>
        <v/>
      </c>
      <c r="U564" s="0" t="str">
        <f aca="false">IF(OR($B564="",$L564="已完成"),"",IF(ISNUMBER($B564),IF(设置!$B$6&lt;$B564,"",(设置!$B$6-$B564)*100000+ROW()),""))</f>
        <v/>
      </c>
      <c r="V564" s="0" t="str">
        <f aca="false">IF(ISNUMBER($O564),IF($O564&gt;=2,IF(COUNTIFS($D564:$D$2006,$D564,$E564:$E$2006,$E564)=1,ROW(),""),""),"")</f>
        <v/>
      </c>
    </row>
    <row r="565" customFormat="false" ht="15" hidden="false" customHeight="true" outlineLevel="0" collapsed="false">
      <c r="A565" s="13" t="str">
        <f aca="false">IF(AND($B565="",$D565="",$E565="",$F565=""),"",IF(OR($B565="",$D565="",$E565=""),"待补",IF($D565="公共区域","公",IF($D565="商铺","S",SUBSTITUTE($D565,"栋","")))&amp;"-"&amp;$E565&amp;"-"&amp;TEXT(MONTH($B565),"00")&amp;TEXT(DAY($B565),"00")&amp;IF(ISNUMBER($O565),IF($O565&gt;1,"-"&amp;TEXT($O565,"00"),""),"")))</f>
        <v/>
      </c>
      <c r="B565" s="14"/>
      <c r="C565" s="10"/>
      <c r="D565" s="10"/>
      <c r="E565" s="10"/>
      <c r="F565" s="16"/>
      <c r="G565" s="10"/>
      <c r="H565" s="10"/>
      <c r="I565" s="10"/>
      <c r="J565" s="10"/>
      <c r="K565" s="10"/>
      <c r="L565" s="10"/>
      <c r="M565" s="14"/>
      <c r="N565" s="17" t="str">
        <f aca="false">IF($B565="","",IF($L565="已完成",IF($M565="","",$M565-$B565),IF(设置!$B$6&lt;$B565,"",IF((设置!$B$6-$B565)&gt;=设置!$B$5,"超期"&amp;(设置!$B$6-$B565)&amp;"天","已等"&amp;(设置!$B$6-$B565)&amp;"天"))))</f>
        <v/>
      </c>
      <c r="O565" s="18" t="str">
        <f aca="false">IF(OR($D565="",$E565=""),"",COUNTIFS($D$7:$D565,$D565,$E$7:$E565,$E565))</f>
        <v/>
      </c>
      <c r="P565" s="16"/>
      <c r="Q565" s="19"/>
      <c r="R565" s="10"/>
      <c r="S565" s="16"/>
      <c r="T565" s="0" t="str">
        <f aca="false">IF(OR($D565="",单元查询!$B$3=""),"",IF($D565&lt;&gt;单元查询!$B$3,"",IF(OR(单元查询!$D$3="",$E565&amp;""=单元查询!$D$3&amp;""),IF(ISNUMBER($B565),$B565*10000,0)+ROW(),"")))</f>
        <v/>
      </c>
      <c r="U565" s="0" t="str">
        <f aca="false">IF(OR($B565="",$L565="已完成"),"",IF(ISNUMBER($B565),IF(设置!$B$6&lt;$B565,"",(设置!$B$6-$B565)*100000+ROW()),""))</f>
        <v/>
      </c>
      <c r="V565" s="0" t="str">
        <f aca="false">IF(ISNUMBER($O565),IF($O565&gt;=2,IF(COUNTIFS($D565:$D$2006,$D565,$E565:$E$2006,$E565)=1,ROW(),""),""),"")</f>
        <v/>
      </c>
    </row>
    <row r="566" customFormat="false" ht="15" hidden="false" customHeight="true" outlineLevel="0" collapsed="false">
      <c r="A566" s="13" t="str">
        <f aca="false">IF(AND($B566="",$D566="",$E566="",$F566=""),"",IF(OR($B566="",$D566="",$E566=""),"待补",IF($D566="公共区域","公",IF($D566="商铺","S",SUBSTITUTE($D566,"栋","")))&amp;"-"&amp;$E566&amp;"-"&amp;TEXT(MONTH($B566),"00")&amp;TEXT(DAY($B566),"00")&amp;IF(ISNUMBER($O566),IF($O566&gt;1,"-"&amp;TEXT($O566,"00"),""),"")))</f>
        <v/>
      </c>
      <c r="B566" s="14"/>
      <c r="C566" s="10"/>
      <c r="D566" s="10"/>
      <c r="E566" s="10"/>
      <c r="F566" s="16"/>
      <c r="G566" s="10"/>
      <c r="H566" s="10"/>
      <c r="I566" s="10"/>
      <c r="J566" s="10"/>
      <c r="K566" s="10"/>
      <c r="L566" s="10"/>
      <c r="M566" s="14"/>
      <c r="N566" s="17" t="str">
        <f aca="false">IF($B566="","",IF($L566="已完成",IF($M566="","",$M566-$B566),IF(设置!$B$6&lt;$B566,"",IF((设置!$B$6-$B566)&gt;=设置!$B$5,"超期"&amp;(设置!$B$6-$B566)&amp;"天","已等"&amp;(设置!$B$6-$B566)&amp;"天"))))</f>
        <v/>
      </c>
      <c r="O566" s="18" t="str">
        <f aca="false">IF(OR($D566="",$E566=""),"",COUNTIFS($D$7:$D566,$D566,$E$7:$E566,$E566))</f>
        <v/>
      </c>
      <c r="P566" s="16"/>
      <c r="Q566" s="19"/>
      <c r="R566" s="10"/>
      <c r="S566" s="16"/>
      <c r="T566" s="0" t="str">
        <f aca="false">IF(OR($D566="",单元查询!$B$3=""),"",IF($D566&lt;&gt;单元查询!$B$3,"",IF(OR(单元查询!$D$3="",$E566&amp;""=单元查询!$D$3&amp;""),IF(ISNUMBER($B566),$B566*10000,0)+ROW(),"")))</f>
        <v/>
      </c>
      <c r="U566" s="0" t="str">
        <f aca="false">IF(OR($B566="",$L566="已完成"),"",IF(ISNUMBER($B566),IF(设置!$B$6&lt;$B566,"",(设置!$B$6-$B566)*100000+ROW()),""))</f>
        <v/>
      </c>
      <c r="V566" s="0" t="str">
        <f aca="false">IF(ISNUMBER($O566),IF($O566&gt;=2,IF(COUNTIFS($D566:$D$2006,$D566,$E566:$E$2006,$E566)=1,ROW(),""),""),"")</f>
        <v/>
      </c>
    </row>
    <row r="567" customFormat="false" ht="15" hidden="false" customHeight="true" outlineLevel="0" collapsed="false">
      <c r="A567" s="13" t="str">
        <f aca="false">IF(AND($B567="",$D567="",$E567="",$F567=""),"",IF(OR($B567="",$D567="",$E567=""),"待补",IF($D567="公共区域","公",IF($D567="商铺","S",SUBSTITUTE($D567,"栋","")))&amp;"-"&amp;$E567&amp;"-"&amp;TEXT(MONTH($B567),"00")&amp;TEXT(DAY($B567),"00")&amp;IF(ISNUMBER($O567),IF($O567&gt;1,"-"&amp;TEXT($O567,"00"),""),"")))</f>
        <v/>
      </c>
      <c r="B567" s="14"/>
      <c r="C567" s="10"/>
      <c r="D567" s="10"/>
      <c r="E567" s="10"/>
      <c r="F567" s="16"/>
      <c r="G567" s="10"/>
      <c r="H567" s="10"/>
      <c r="I567" s="10"/>
      <c r="J567" s="10"/>
      <c r="K567" s="10"/>
      <c r="L567" s="10"/>
      <c r="M567" s="14"/>
      <c r="N567" s="17" t="str">
        <f aca="false">IF($B567="","",IF($L567="已完成",IF($M567="","",$M567-$B567),IF(设置!$B$6&lt;$B567,"",IF((设置!$B$6-$B567)&gt;=设置!$B$5,"超期"&amp;(设置!$B$6-$B567)&amp;"天","已等"&amp;(设置!$B$6-$B567)&amp;"天"))))</f>
        <v/>
      </c>
      <c r="O567" s="18" t="str">
        <f aca="false">IF(OR($D567="",$E567=""),"",COUNTIFS($D$7:$D567,$D567,$E$7:$E567,$E567))</f>
        <v/>
      </c>
      <c r="P567" s="16"/>
      <c r="Q567" s="19"/>
      <c r="R567" s="10"/>
      <c r="S567" s="16"/>
      <c r="T567" s="0" t="str">
        <f aca="false">IF(OR($D567="",单元查询!$B$3=""),"",IF($D567&lt;&gt;单元查询!$B$3,"",IF(OR(单元查询!$D$3="",$E567&amp;""=单元查询!$D$3&amp;""),IF(ISNUMBER($B567),$B567*10000,0)+ROW(),"")))</f>
        <v/>
      </c>
      <c r="U567" s="0" t="str">
        <f aca="false">IF(OR($B567="",$L567="已完成"),"",IF(ISNUMBER($B567),IF(设置!$B$6&lt;$B567,"",(设置!$B$6-$B567)*100000+ROW()),""))</f>
        <v/>
      </c>
      <c r="V567" s="0" t="str">
        <f aca="false">IF(ISNUMBER($O567),IF($O567&gt;=2,IF(COUNTIFS($D567:$D$2006,$D567,$E567:$E$2006,$E567)=1,ROW(),""),""),"")</f>
        <v/>
      </c>
    </row>
    <row r="568" customFormat="false" ht="15" hidden="false" customHeight="true" outlineLevel="0" collapsed="false">
      <c r="A568" s="13" t="str">
        <f aca="false">IF(AND($B568="",$D568="",$E568="",$F568=""),"",IF(OR($B568="",$D568="",$E568=""),"待补",IF($D568="公共区域","公",IF($D568="商铺","S",SUBSTITUTE($D568,"栋","")))&amp;"-"&amp;$E568&amp;"-"&amp;TEXT(MONTH($B568),"00")&amp;TEXT(DAY($B568),"00")&amp;IF(ISNUMBER($O568),IF($O568&gt;1,"-"&amp;TEXT($O568,"00"),""),"")))</f>
        <v/>
      </c>
      <c r="B568" s="14"/>
      <c r="C568" s="10"/>
      <c r="D568" s="10"/>
      <c r="E568" s="10"/>
      <c r="F568" s="16"/>
      <c r="G568" s="10"/>
      <c r="H568" s="10"/>
      <c r="I568" s="10"/>
      <c r="J568" s="10"/>
      <c r="K568" s="10"/>
      <c r="L568" s="10"/>
      <c r="M568" s="14"/>
      <c r="N568" s="17" t="str">
        <f aca="false">IF($B568="","",IF($L568="已完成",IF($M568="","",$M568-$B568),IF(设置!$B$6&lt;$B568,"",IF((设置!$B$6-$B568)&gt;=设置!$B$5,"超期"&amp;(设置!$B$6-$B568)&amp;"天","已等"&amp;(设置!$B$6-$B568)&amp;"天"))))</f>
        <v/>
      </c>
      <c r="O568" s="18" t="str">
        <f aca="false">IF(OR($D568="",$E568=""),"",COUNTIFS($D$7:$D568,$D568,$E$7:$E568,$E568))</f>
        <v/>
      </c>
      <c r="P568" s="16"/>
      <c r="Q568" s="19"/>
      <c r="R568" s="10"/>
      <c r="S568" s="16"/>
      <c r="T568" s="0" t="str">
        <f aca="false">IF(OR($D568="",单元查询!$B$3=""),"",IF($D568&lt;&gt;单元查询!$B$3,"",IF(OR(单元查询!$D$3="",$E568&amp;""=单元查询!$D$3&amp;""),IF(ISNUMBER($B568),$B568*10000,0)+ROW(),"")))</f>
        <v/>
      </c>
      <c r="U568" s="0" t="str">
        <f aca="false">IF(OR($B568="",$L568="已完成"),"",IF(ISNUMBER($B568),IF(设置!$B$6&lt;$B568,"",(设置!$B$6-$B568)*100000+ROW()),""))</f>
        <v/>
      </c>
      <c r="V568" s="0" t="str">
        <f aca="false">IF(ISNUMBER($O568),IF($O568&gt;=2,IF(COUNTIFS($D568:$D$2006,$D568,$E568:$E$2006,$E568)=1,ROW(),""),""),"")</f>
        <v/>
      </c>
    </row>
    <row r="569" customFormat="false" ht="15" hidden="false" customHeight="true" outlineLevel="0" collapsed="false">
      <c r="A569" s="13" t="str">
        <f aca="false">IF(AND($B569="",$D569="",$E569="",$F569=""),"",IF(OR($B569="",$D569="",$E569=""),"待补",IF($D569="公共区域","公",IF($D569="商铺","S",SUBSTITUTE($D569,"栋","")))&amp;"-"&amp;$E569&amp;"-"&amp;TEXT(MONTH($B569),"00")&amp;TEXT(DAY($B569),"00")&amp;IF(ISNUMBER($O569),IF($O569&gt;1,"-"&amp;TEXT($O569,"00"),""),"")))</f>
        <v/>
      </c>
      <c r="B569" s="14"/>
      <c r="C569" s="10"/>
      <c r="D569" s="10"/>
      <c r="E569" s="10"/>
      <c r="F569" s="16"/>
      <c r="G569" s="10"/>
      <c r="H569" s="10"/>
      <c r="I569" s="10"/>
      <c r="J569" s="10"/>
      <c r="K569" s="10"/>
      <c r="L569" s="10"/>
      <c r="M569" s="14"/>
      <c r="N569" s="17" t="str">
        <f aca="false">IF($B569="","",IF($L569="已完成",IF($M569="","",$M569-$B569),IF(设置!$B$6&lt;$B569,"",IF((设置!$B$6-$B569)&gt;=设置!$B$5,"超期"&amp;(设置!$B$6-$B569)&amp;"天","已等"&amp;(设置!$B$6-$B569)&amp;"天"))))</f>
        <v/>
      </c>
      <c r="O569" s="18" t="str">
        <f aca="false">IF(OR($D569="",$E569=""),"",COUNTIFS($D$7:$D569,$D569,$E$7:$E569,$E569))</f>
        <v/>
      </c>
      <c r="P569" s="16"/>
      <c r="Q569" s="19"/>
      <c r="R569" s="10"/>
      <c r="S569" s="16"/>
      <c r="T569" s="0" t="str">
        <f aca="false">IF(OR($D569="",单元查询!$B$3=""),"",IF($D569&lt;&gt;单元查询!$B$3,"",IF(OR(单元查询!$D$3="",$E569&amp;""=单元查询!$D$3&amp;""),IF(ISNUMBER($B569),$B569*10000,0)+ROW(),"")))</f>
        <v/>
      </c>
      <c r="U569" s="0" t="str">
        <f aca="false">IF(OR($B569="",$L569="已完成"),"",IF(ISNUMBER($B569),IF(设置!$B$6&lt;$B569,"",(设置!$B$6-$B569)*100000+ROW()),""))</f>
        <v/>
      </c>
      <c r="V569" s="0" t="str">
        <f aca="false">IF(ISNUMBER($O569),IF($O569&gt;=2,IF(COUNTIFS($D569:$D$2006,$D569,$E569:$E$2006,$E569)=1,ROW(),""),""),"")</f>
        <v/>
      </c>
    </row>
    <row r="570" customFormat="false" ht="15" hidden="false" customHeight="true" outlineLevel="0" collapsed="false">
      <c r="A570" s="13" t="str">
        <f aca="false">IF(AND($B570="",$D570="",$E570="",$F570=""),"",IF(OR($B570="",$D570="",$E570=""),"待补",IF($D570="公共区域","公",IF($D570="商铺","S",SUBSTITUTE($D570,"栋","")))&amp;"-"&amp;$E570&amp;"-"&amp;TEXT(MONTH($B570),"00")&amp;TEXT(DAY($B570),"00")&amp;IF(ISNUMBER($O570),IF($O570&gt;1,"-"&amp;TEXT($O570,"00"),""),"")))</f>
        <v/>
      </c>
      <c r="B570" s="14"/>
      <c r="C570" s="10"/>
      <c r="D570" s="10"/>
      <c r="E570" s="10"/>
      <c r="F570" s="16"/>
      <c r="G570" s="10"/>
      <c r="H570" s="10"/>
      <c r="I570" s="10"/>
      <c r="J570" s="10"/>
      <c r="K570" s="10"/>
      <c r="L570" s="10"/>
      <c r="M570" s="14"/>
      <c r="N570" s="17" t="str">
        <f aca="false">IF($B570="","",IF($L570="已完成",IF($M570="","",$M570-$B570),IF(设置!$B$6&lt;$B570,"",IF((设置!$B$6-$B570)&gt;=设置!$B$5,"超期"&amp;(设置!$B$6-$B570)&amp;"天","已等"&amp;(设置!$B$6-$B570)&amp;"天"))))</f>
        <v/>
      </c>
      <c r="O570" s="18" t="str">
        <f aca="false">IF(OR($D570="",$E570=""),"",COUNTIFS($D$7:$D570,$D570,$E$7:$E570,$E570))</f>
        <v/>
      </c>
      <c r="P570" s="16"/>
      <c r="Q570" s="19"/>
      <c r="R570" s="10"/>
      <c r="S570" s="16"/>
      <c r="T570" s="0" t="str">
        <f aca="false">IF(OR($D570="",单元查询!$B$3=""),"",IF($D570&lt;&gt;单元查询!$B$3,"",IF(OR(单元查询!$D$3="",$E570&amp;""=单元查询!$D$3&amp;""),IF(ISNUMBER($B570),$B570*10000,0)+ROW(),"")))</f>
        <v/>
      </c>
      <c r="U570" s="0" t="str">
        <f aca="false">IF(OR($B570="",$L570="已完成"),"",IF(ISNUMBER($B570),IF(设置!$B$6&lt;$B570,"",(设置!$B$6-$B570)*100000+ROW()),""))</f>
        <v/>
      </c>
      <c r="V570" s="0" t="str">
        <f aca="false">IF(ISNUMBER($O570),IF($O570&gt;=2,IF(COUNTIFS($D570:$D$2006,$D570,$E570:$E$2006,$E570)=1,ROW(),""),""),"")</f>
        <v/>
      </c>
    </row>
    <row r="571" customFormat="false" ht="15" hidden="false" customHeight="true" outlineLevel="0" collapsed="false">
      <c r="A571" s="13" t="str">
        <f aca="false">IF(AND($B571="",$D571="",$E571="",$F571=""),"",IF(OR($B571="",$D571="",$E571=""),"待补",IF($D571="公共区域","公",IF($D571="商铺","S",SUBSTITUTE($D571,"栋","")))&amp;"-"&amp;$E571&amp;"-"&amp;TEXT(MONTH($B571),"00")&amp;TEXT(DAY($B571),"00")&amp;IF(ISNUMBER($O571),IF($O571&gt;1,"-"&amp;TEXT($O571,"00"),""),"")))</f>
        <v/>
      </c>
      <c r="B571" s="14"/>
      <c r="C571" s="10"/>
      <c r="D571" s="10"/>
      <c r="E571" s="10"/>
      <c r="F571" s="16"/>
      <c r="G571" s="10"/>
      <c r="H571" s="10"/>
      <c r="I571" s="10"/>
      <c r="J571" s="10"/>
      <c r="K571" s="10"/>
      <c r="L571" s="10"/>
      <c r="M571" s="14"/>
      <c r="N571" s="17" t="str">
        <f aca="false">IF($B571="","",IF($L571="已完成",IF($M571="","",$M571-$B571),IF(设置!$B$6&lt;$B571,"",IF((设置!$B$6-$B571)&gt;=设置!$B$5,"超期"&amp;(设置!$B$6-$B571)&amp;"天","已等"&amp;(设置!$B$6-$B571)&amp;"天"))))</f>
        <v/>
      </c>
      <c r="O571" s="18" t="str">
        <f aca="false">IF(OR($D571="",$E571=""),"",COUNTIFS($D$7:$D571,$D571,$E$7:$E571,$E571))</f>
        <v/>
      </c>
      <c r="P571" s="16"/>
      <c r="Q571" s="19"/>
      <c r="R571" s="10"/>
      <c r="S571" s="16"/>
      <c r="T571" s="0" t="str">
        <f aca="false">IF(OR($D571="",单元查询!$B$3=""),"",IF($D571&lt;&gt;单元查询!$B$3,"",IF(OR(单元查询!$D$3="",$E571&amp;""=单元查询!$D$3&amp;""),IF(ISNUMBER($B571),$B571*10000,0)+ROW(),"")))</f>
        <v/>
      </c>
      <c r="U571" s="0" t="str">
        <f aca="false">IF(OR($B571="",$L571="已完成"),"",IF(ISNUMBER($B571),IF(设置!$B$6&lt;$B571,"",(设置!$B$6-$B571)*100000+ROW()),""))</f>
        <v/>
      </c>
      <c r="V571" s="0" t="str">
        <f aca="false">IF(ISNUMBER($O571),IF($O571&gt;=2,IF(COUNTIFS($D571:$D$2006,$D571,$E571:$E$2006,$E571)=1,ROW(),""),""),"")</f>
        <v/>
      </c>
    </row>
    <row r="572" customFormat="false" ht="15" hidden="false" customHeight="true" outlineLevel="0" collapsed="false">
      <c r="A572" s="13" t="str">
        <f aca="false">IF(AND($B572="",$D572="",$E572="",$F572=""),"",IF(OR($B572="",$D572="",$E572=""),"待补",IF($D572="公共区域","公",IF($D572="商铺","S",SUBSTITUTE($D572,"栋","")))&amp;"-"&amp;$E572&amp;"-"&amp;TEXT(MONTH($B572),"00")&amp;TEXT(DAY($B572),"00")&amp;IF(ISNUMBER($O572),IF($O572&gt;1,"-"&amp;TEXT($O572,"00"),""),"")))</f>
        <v/>
      </c>
      <c r="B572" s="14"/>
      <c r="C572" s="10"/>
      <c r="D572" s="10"/>
      <c r="E572" s="10"/>
      <c r="F572" s="16"/>
      <c r="G572" s="10"/>
      <c r="H572" s="10"/>
      <c r="I572" s="10"/>
      <c r="J572" s="10"/>
      <c r="K572" s="10"/>
      <c r="L572" s="10"/>
      <c r="M572" s="14"/>
      <c r="N572" s="17" t="str">
        <f aca="false">IF($B572="","",IF($L572="已完成",IF($M572="","",$M572-$B572),IF(设置!$B$6&lt;$B572,"",IF((设置!$B$6-$B572)&gt;=设置!$B$5,"超期"&amp;(设置!$B$6-$B572)&amp;"天","已等"&amp;(设置!$B$6-$B572)&amp;"天"))))</f>
        <v/>
      </c>
      <c r="O572" s="18" t="str">
        <f aca="false">IF(OR($D572="",$E572=""),"",COUNTIFS($D$7:$D572,$D572,$E$7:$E572,$E572))</f>
        <v/>
      </c>
      <c r="P572" s="16"/>
      <c r="Q572" s="19"/>
      <c r="R572" s="10"/>
      <c r="S572" s="16"/>
      <c r="T572" s="0" t="str">
        <f aca="false">IF(OR($D572="",单元查询!$B$3=""),"",IF($D572&lt;&gt;单元查询!$B$3,"",IF(OR(单元查询!$D$3="",$E572&amp;""=单元查询!$D$3&amp;""),IF(ISNUMBER($B572),$B572*10000,0)+ROW(),"")))</f>
        <v/>
      </c>
      <c r="U572" s="0" t="str">
        <f aca="false">IF(OR($B572="",$L572="已完成"),"",IF(ISNUMBER($B572),IF(设置!$B$6&lt;$B572,"",(设置!$B$6-$B572)*100000+ROW()),""))</f>
        <v/>
      </c>
      <c r="V572" s="0" t="str">
        <f aca="false">IF(ISNUMBER($O572),IF($O572&gt;=2,IF(COUNTIFS($D572:$D$2006,$D572,$E572:$E$2006,$E572)=1,ROW(),""),""),"")</f>
        <v/>
      </c>
    </row>
    <row r="573" customFormat="false" ht="15" hidden="false" customHeight="true" outlineLevel="0" collapsed="false">
      <c r="A573" s="13" t="str">
        <f aca="false">IF(AND($B573="",$D573="",$E573="",$F573=""),"",IF(OR($B573="",$D573="",$E573=""),"待补",IF($D573="公共区域","公",IF($D573="商铺","S",SUBSTITUTE($D573,"栋","")))&amp;"-"&amp;$E573&amp;"-"&amp;TEXT(MONTH($B573),"00")&amp;TEXT(DAY($B573),"00")&amp;IF(ISNUMBER($O573),IF($O573&gt;1,"-"&amp;TEXT($O573,"00"),""),"")))</f>
        <v/>
      </c>
      <c r="B573" s="14"/>
      <c r="C573" s="10"/>
      <c r="D573" s="10"/>
      <c r="E573" s="10"/>
      <c r="F573" s="16"/>
      <c r="G573" s="10"/>
      <c r="H573" s="10"/>
      <c r="I573" s="10"/>
      <c r="J573" s="10"/>
      <c r="K573" s="10"/>
      <c r="L573" s="10"/>
      <c r="M573" s="14"/>
      <c r="N573" s="17" t="str">
        <f aca="false">IF($B573="","",IF($L573="已完成",IF($M573="","",$M573-$B573),IF(设置!$B$6&lt;$B573,"",IF((设置!$B$6-$B573)&gt;=设置!$B$5,"超期"&amp;(设置!$B$6-$B573)&amp;"天","已等"&amp;(设置!$B$6-$B573)&amp;"天"))))</f>
        <v/>
      </c>
      <c r="O573" s="18" t="str">
        <f aca="false">IF(OR($D573="",$E573=""),"",COUNTIFS($D$7:$D573,$D573,$E$7:$E573,$E573))</f>
        <v/>
      </c>
      <c r="P573" s="16"/>
      <c r="Q573" s="19"/>
      <c r="R573" s="10"/>
      <c r="S573" s="16"/>
      <c r="T573" s="0" t="str">
        <f aca="false">IF(OR($D573="",单元查询!$B$3=""),"",IF($D573&lt;&gt;单元查询!$B$3,"",IF(OR(单元查询!$D$3="",$E573&amp;""=单元查询!$D$3&amp;""),IF(ISNUMBER($B573),$B573*10000,0)+ROW(),"")))</f>
        <v/>
      </c>
      <c r="U573" s="0" t="str">
        <f aca="false">IF(OR($B573="",$L573="已完成"),"",IF(ISNUMBER($B573),IF(设置!$B$6&lt;$B573,"",(设置!$B$6-$B573)*100000+ROW()),""))</f>
        <v/>
      </c>
      <c r="V573" s="0" t="str">
        <f aca="false">IF(ISNUMBER($O573),IF($O573&gt;=2,IF(COUNTIFS($D573:$D$2006,$D573,$E573:$E$2006,$E573)=1,ROW(),""),""),"")</f>
        <v/>
      </c>
    </row>
    <row r="574" customFormat="false" ht="15" hidden="false" customHeight="true" outlineLevel="0" collapsed="false">
      <c r="A574" s="13" t="str">
        <f aca="false">IF(AND($B574="",$D574="",$E574="",$F574=""),"",IF(OR($B574="",$D574="",$E574=""),"待补",IF($D574="公共区域","公",IF($D574="商铺","S",SUBSTITUTE($D574,"栋","")))&amp;"-"&amp;$E574&amp;"-"&amp;TEXT(MONTH($B574),"00")&amp;TEXT(DAY($B574),"00")&amp;IF(ISNUMBER($O574),IF($O574&gt;1,"-"&amp;TEXT($O574,"00"),""),"")))</f>
        <v/>
      </c>
      <c r="B574" s="14"/>
      <c r="C574" s="10"/>
      <c r="D574" s="10"/>
      <c r="E574" s="10"/>
      <c r="F574" s="16"/>
      <c r="G574" s="10"/>
      <c r="H574" s="10"/>
      <c r="I574" s="10"/>
      <c r="J574" s="10"/>
      <c r="K574" s="10"/>
      <c r="L574" s="10"/>
      <c r="M574" s="14"/>
      <c r="N574" s="17" t="str">
        <f aca="false">IF($B574="","",IF($L574="已完成",IF($M574="","",$M574-$B574),IF(设置!$B$6&lt;$B574,"",IF((设置!$B$6-$B574)&gt;=设置!$B$5,"超期"&amp;(设置!$B$6-$B574)&amp;"天","已等"&amp;(设置!$B$6-$B574)&amp;"天"))))</f>
        <v/>
      </c>
      <c r="O574" s="18" t="str">
        <f aca="false">IF(OR($D574="",$E574=""),"",COUNTIFS($D$7:$D574,$D574,$E$7:$E574,$E574))</f>
        <v/>
      </c>
      <c r="P574" s="16"/>
      <c r="Q574" s="19"/>
      <c r="R574" s="10"/>
      <c r="S574" s="16"/>
      <c r="T574" s="0" t="str">
        <f aca="false">IF(OR($D574="",单元查询!$B$3=""),"",IF($D574&lt;&gt;单元查询!$B$3,"",IF(OR(单元查询!$D$3="",$E574&amp;""=单元查询!$D$3&amp;""),IF(ISNUMBER($B574),$B574*10000,0)+ROW(),"")))</f>
        <v/>
      </c>
      <c r="U574" s="0" t="str">
        <f aca="false">IF(OR($B574="",$L574="已完成"),"",IF(ISNUMBER($B574),IF(设置!$B$6&lt;$B574,"",(设置!$B$6-$B574)*100000+ROW()),""))</f>
        <v/>
      </c>
      <c r="V574" s="0" t="str">
        <f aca="false">IF(ISNUMBER($O574),IF($O574&gt;=2,IF(COUNTIFS($D574:$D$2006,$D574,$E574:$E$2006,$E574)=1,ROW(),""),""),"")</f>
        <v/>
      </c>
    </row>
    <row r="575" customFormat="false" ht="15" hidden="false" customHeight="true" outlineLevel="0" collapsed="false">
      <c r="A575" s="13" t="str">
        <f aca="false">IF(AND($B575="",$D575="",$E575="",$F575=""),"",IF(OR($B575="",$D575="",$E575=""),"待补",IF($D575="公共区域","公",IF($D575="商铺","S",SUBSTITUTE($D575,"栋","")))&amp;"-"&amp;$E575&amp;"-"&amp;TEXT(MONTH($B575),"00")&amp;TEXT(DAY($B575),"00")&amp;IF(ISNUMBER($O575),IF($O575&gt;1,"-"&amp;TEXT($O575,"00"),""),"")))</f>
        <v/>
      </c>
      <c r="B575" s="14"/>
      <c r="C575" s="10"/>
      <c r="D575" s="10"/>
      <c r="E575" s="10"/>
      <c r="F575" s="16"/>
      <c r="G575" s="10"/>
      <c r="H575" s="10"/>
      <c r="I575" s="10"/>
      <c r="J575" s="10"/>
      <c r="K575" s="10"/>
      <c r="L575" s="10"/>
      <c r="M575" s="14"/>
      <c r="N575" s="17" t="str">
        <f aca="false">IF($B575="","",IF($L575="已完成",IF($M575="","",$M575-$B575),IF(设置!$B$6&lt;$B575,"",IF((设置!$B$6-$B575)&gt;=设置!$B$5,"超期"&amp;(设置!$B$6-$B575)&amp;"天","已等"&amp;(设置!$B$6-$B575)&amp;"天"))))</f>
        <v/>
      </c>
      <c r="O575" s="18" t="str">
        <f aca="false">IF(OR($D575="",$E575=""),"",COUNTIFS($D$7:$D575,$D575,$E$7:$E575,$E575))</f>
        <v/>
      </c>
      <c r="P575" s="16"/>
      <c r="Q575" s="19"/>
      <c r="R575" s="10"/>
      <c r="S575" s="16"/>
      <c r="T575" s="0" t="str">
        <f aca="false">IF(OR($D575="",单元查询!$B$3=""),"",IF($D575&lt;&gt;单元查询!$B$3,"",IF(OR(单元查询!$D$3="",$E575&amp;""=单元查询!$D$3&amp;""),IF(ISNUMBER($B575),$B575*10000,0)+ROW(),"")))</f>
        <v/>
      </c>
      <c r="U575" s="0" t="str">
        <f aca="false">IF(OR($B575="",$L575="已完成"),"",IF(ISNUMBER($B575),IF(设置!$B$6&lt;$B575,"",(设置!$B$6-$B575)*100000+ROW()),""))</f>
        <v/>
      </c>
      <c r="V575" s="0" t="str">
        <f aca="false">IF(ISNUMBER($O575),IF($O575&gt;=2,IF(COUNTIFS($D575:$D$2006,$D575,$E575:$E$2006,$E575)=1,ROW(),""),""),"")</f>
        <v/>
      </c>
    </row>
    <row r="576" customFormat="false" ht="15" hidden="false" customHeight="true" outlineLevel="0" collapsed="false">
      <c r="A576" s="13" t="str">
        <f aca="false">IF(AND($B576="",$D576="",$E576="",$F576=""),"",IF(OR($B576="",$D576="",$E576=""),"待补",IF($D576="公共区域","公",IF($D576="商铺","S",SUBSTITUTE($D576,"栋","")))&amp;"-"&amp;$E576&amp;"-"&amp;TEXT(MONTH($B576),"00")&amp;TEXT(DAY($B576),"00")&amp;IF(ISNUMBER($O576),IF($O576&gt;1,"-"&amp;TEXT($O576,"00"),""),"")))</f>
        <v/>
      </c>
      <c r="B576" s="14"/>
      <c r="C576" s="10"/>
      <c r="D576" s="10"/>
      <c r="E576" s="10"/>
      <c r="F576" s="16"/>
      <c r="G576" s="10"/>
      <c r="H576" s="10"/>
      <c r="I576" s="10"/>
      <c r="J576" s="10"/>
      <c r="K576" s="10"/>
      <c r="L576" s="10"/>
      <c r="M576" s="14"/>
      <c r="N576" s="17" t="str">
        <f aca="false">IF($B576="","",IF($L576="已完成",IF($M576="","",$M576-$B576),IF(设置!$B$6&lt;$B576,"",IF((设置!$B$6-$B576)&gt;=设置!$B$5,"超期"&amp;(设置!$B$6-$B576)&amp;"天","已等"&amp;(设置!$B$6-$B576)&amp;"天"))))</f>
        <v/>
      </c>
      <c r="O576" s="18" t="str">
        <f aca="false">IF(OR($D576="",$E576=""),"",COUNTIFS($D$7:$D576,$D576,$E$7:$E576,$E576))</f>
        <v/>
      </c>
      <c r="P576" s="16"/>
      <c r="Q576" s="19"/>
      <c r="R576" s="10"/>
      <c r="S576" s="16"/>
      <c r="T576" s="0" t="str">
        <f aca="false">IF(OR($D576="",单元查询!$B$3=""),"",IF($D576&lt;&gt;单元查询!$B$3,"",IF(OR(单元查询!$D$3="",$E576&amp;""=单元查询!$D$3&amp;""),IF(ISNUMBER($B576),$B576*10000,0)+ROW(),"")))</f>
        <v/>
      </c>
      <c r="U576" s="0" t="str">
        <f aca="false">IF(OR($B576="",$L576="已完成"),"",IF(ISNUMBER($B576),IF(设置!$B$6&lt;$B576,"",(设置!$B$6-$B576)*100000+ROW()),""))</f>
        <v/>
      </c>
      <c r="V576" s="0" t="str">
        <f aca="false">IF(ISNUMBER($O576),IF($O576&gt;=2,IF(COUNTIFS($D576:$D$2006,$D576,$E576:$E$2006,$E576)=1,ROW(),""),""),"")</f>
        <v/>
      </c>
    </row>
    <row r="577" customFormat="false" ht="15" hidden="false" customHeight="true" outlineLevel="0" collapsed="false">
      <c r="A577" s="13" t="str">
        <f aca="false">IF(AND($B577="",$D577="",$E577="",$F577=""),"",IF(OR($B577="",$D577="",$E577=""),"待补",IF($D577="公共区域","公",IF($D577="商铺","S",SUBSTITUTE($D577,"栋","")))&amp;"-"&amp;$E577&amp;"-"&amp;TEXT(MONTH($B577),"00")&amp;TEXT(DAY($B577),"00")&amp;IF(ISNUMBER($O577),IF($O577&gt;1,"-"&amp;TEXT($O577,"00"),""),"")))</f>
        <v/>
      </c>
      <c r="B577" s="14"/>
      <c r="C577" s="10"/>
      <c r="D577" s="10"/>
      <c r="E577" s="10"/>
      <c r="F577" s="16"/>
      <c r="G577" s="10"/>
      <c r="H577" s="10"/>
      <c r="I577" s="10"/>
      <c r="J577" s="10"/>
      <c r="K577" s="10"/>
      <c r="L577" s="10"/>
      <c r="M577" s="14"/>
      <c r="N577" s="17" t="str">
        <f aca="false">IF($B577="","",IF($L577="已完成",IF($M577="","",$M577-$B577),IF(设置!$B$6&lt;$B577,"",IF((设置!$B$6-$B577)&gt;=设置!$B$5,"超期"&amp;(设置!$B$6-$B577)&amp;"天","已等"&amp;(设置!$B$6-$B577)&amp;"天"))))</f>
        <v/>
      </c>
      <c r="O577" s="18" t="str">
        <f aca="false">IF(OR($D577="",$E577=""),"",COUNTIFS($D$7:$D577,$D577,$E$7:$E577,$E577))</f>
        <v/>
      </c>
      <c r="P577" s="16"/>
      <c r="Q577" s="19"/>
      <c r="R577" s="10"/>
      <c r="S577" s="16"/>
      <c r="T577" s="0" t="str">
        <f aca="false">IF(OR($D577="",单元查询!$B$3=""),"",IF($D577&lt;&gt;单元查询!$B$3,"",IF(OR(单元查询!$D$3="",$E577&amp;""=单元查询!$D$3&amp;""),IF(ISNUMBER($B577),$B577*10000,0)+ROW(),"")))</f>
        <v/>
      </c>
      <c r="U577" s="0" t="str">
        <f aca="false">IF(OR($B577="",$L577="已完成"),"",IF(ISNUMBER($B577),IF(设置!$B$6&lt;$B577,"",(设置!$B$6-$B577)*100000+ROW()),""))</f>
        <v/>
      </c>
      <c r="V577" s="0" t="str">
        <f aca="false">IF(ISNUMBER($O577),IF($O577&gt;=2,IF(COUNTIFS($D577:$D$2006,$D577,$E577:$E$2006,$E577)=1,ROW(),""),""),"")</f>
        <v/>
      </c>
    </row>
    <row r="578" customFormat="false" ht="15" hidden="false" customHeight="true" outlineLevel="0" collapsed="false">
      <c r="A578" s="13" t="str">
        <f aca="false">IF(AND($B578="",$D578="",$E578="",$F578=""),"",IF(OR($B578="",$D578="",$E578=""),"待补",IF($D578="公共区域","公",IF($D578="商铺","S",SUBSTITUTE($D578,"栋","")))&amp;"-"&amp;$E578&amp;"-"&amp;TEXT(MONTH($B578),"00")&amp;TEXT(DAY($B578),"00")&amp;IF(ISNUMBER($O578),IF($O578&gt;1,"-"&amp;TEXT($O578,"00"),""),"")))</f>
        <v/>
      </c>
      <c r="B578" s="14"/>
      <c r="C578" s="10"/>
      <c r="D578" s="10"/>
      <c r="E578" s="10"/>
      <c r="F578" s="16"/>
      <c r="G578" s="10"/>
      <c r="H578" s="10"/>
      <c r="I578" s="10"/>
      <c r="J578" s="10"/>
      <c r="K578" s="10"/>
      <c r="L578" s="10"/>
      <c r="M578" s="14"/>
      <c r="N578" s="17" t="str">
        <f aca="false">IF($B578="","",IF($L578="已完成",IF($M578="","",$M578-$B578),IF(设置!$B$6&lt;$B578,"",IF((设置!$B$6-$B578)&gt;=设置!$B$5,"超期"&amp;(设置!$B$6-$B578)&amp;"天","已等"&amp;(设置!$B$6-$B578)&amp;"天"))))</f>
        <v/>
      </c>
      <c r="O578" s="18" t="str">
        <f aca="false">IF(OR($D578="",$E578=""),"",COUNTIFS($D$7:$D578,$D578,$E$7:$E578,$E578))</f>
        <v/>
      </c>
      <c r="P578" s="16"/>
      <c r="Q578" s="19"/>
      <c r="R578" s="10"/>
      <c r="S578" s="16"/>
      <c r="T578" s="0" t="str">
        <f aca="false">IF(OR($D578="",单元查询!$B$3=""),"",IF($D578&lt;&gt;单元查询!$B$3,"",IF(OR(单元查询!$D$3="",$E578&amp;""=单元查询!$D$3&amp;""),IF(ISNUMBER($B578),$B578*10000,0)+ROW(),"")))</f>
        <v/>
      </c>
      <c r="U578" s="0" t="str">
        <f aca="false">IF(OR($B578="",$L578="已完成"),"",IF(ISNUMBER($B578),IF(设置!$B$6&lt;$B578,"",(设置!$B$6-$B578)*100000+ROW()),""))</f>
        <v/>
      </c>
      <c r="V578" s="0" t="str">
        <f aca="false">IF(ISNUMBER($O578),IF($O578&gt;=2,IF(COUNTIFS($D578:$D$2006,$D578,$E578:$E$2006,$E578)=1,ROW(),""),""),"")</f>
        <v/>
      </c>
    </row>
    <row r="579" customFormat="false" ht="15" hidden="false" customHeight="true" outlineLevel="0" collapsed="false">
      <c r="A579" s="13" t="str">
        <f aca="false">IF(AND($B579="",$D579="",$E579="",$F579=""),"",IF(OR($B579="",$D579="",$E579=""),"待补",IF($D579="公共区域","公",IF($D579="商铺","S",SUBSTITUTE($D579,"栋","")))&amp;"-"&amp;$E579&amp;"-"&amp;TEXT(MONTH($B579),"00")&amp;TEXT(DAY($B579),"00")&amp;IF(ISNUMBER($O579),IF($O579&gt;1,"-"&amp;TEXT($O579,"00"),""),"")))</f>
        <v/>
      </c>
      <c r="B579" s="14"/>
      <c r="C579" s="10"/>
      <c r="D579" s="10"/>
      <c r="E579" s="10"/>
      <c r="F579" s="16"/>
      <c r="G579" s="10"/>
      <c r="H579" s="10"/>
      <c r="I579" s="10"/>
      <c r="J579" s="10"/>
      <c r="K579" s="10"/>
      <c r="L579" s="10"/>
      <c r="M579" s="14"/>
      <c r="N579" s="17" t="str">
        <f aca="false">IF($B579="","",IF($L579="已完成",IF($M579="","",$M579-$B579),IF(设置!$B$6&lt;$B579,"",IF((设置!$B$6-$B579)&gt;=设置!$B$5,"超期"&amp;(设置!$B$6-$B579)&amp;"天","已等"&amp;(设置!$B$6-$B579)&amp;"天"))))</f>
        <v/>
      </c>
      <c r="O579" s="18" t="str">
        <f aca="false">IF(OR($D579="",$E579=""),"",COUNTIFS($D$7:$D579,$D579,$E$7:$E579,$E579))</f>
        <v/>
      </c>
      <c r="P579" s="16"/>
      <c r="Q579" s="19"/>
      <c r="R579" s="10"/>
      <c r="S579" s="16"/>
      <c r="T579" s="0" t="str">
        <f aca="false">IF(OR($D579="",单元查询!$B$3=""),"",IF($D579&lt;&gt;单元查询!$B$3,"",IF(OR(单元查询!$D$3="",$E579&amp;""=单元查询!$D$3&amp;""),IF(ISNUMBER($B579),$B579*10000,0)+ROW(),"")))</f>
        <v/>
      </c>
      <c r="U579" s="0" t="str">
        <f aca="false">IF(OR($B579="",$L579="已完成"),"",IF(ISNUMBER($B579),IF(设置!$B$6&lt;$B579,"",(设置!$B$6-$B579)*100000+ROW()),""))</f>
        <v/>
      </c>
      <c r="V579" s="0" t="str">
        <f aca="false">IF(ISNUMBER($O579),IF($O579&gt;=2,IF(COUNTIFS($D579:$D$2006,$D579,$E579:$E$2006,$E579)=1,ROW(),""),""),"")</f>
        <v/>
      </c>
    </row>
    <row r="580" customFormat="false" ht="15" hidden="false" customHeight="true" outlineLevel="0" collapsed="false">
      <c r="A580" s="13" t="str">
        <f aca="false">IF(AND($B580="",$D580="",$E580="",$F580=""),"",IF(OR($B580="",$D580="",$E580=""),"待补",IF($D580="公共区域","公",IF($D580="商铺","S",SUBSTITUTE($D580,"栋","")))&amp;"-"&amp;$E580&amp;"-"&amp;TEXT(MONTH($B580),"00")&amp;TEXT(DAY($B580),"00")&amp;IF(ISNUMBER($O580),IF($O580&gt;1,"-"&amp;TEXT($O580,"00"),""),"")))</f>
        <v/>
      </c>
      <c r="B580" s="14"/>
      <c r="C580" s="10"/>
      <c r="D580" s="10"/>
      <c r="E580" s="10"/>
      <c r="F580" s="16"/>
      <c r="G580" s="10"/>
      <c r="H580" s="10"/>
      <c r="I580" s="10"/>
      <c r="J580" s="10"/>
      <c r="K580" s="10"/>
      <c r="L580" s="10"/>
      <c r="M580" s="14"/>
      <c r="N580" s="17" t="str">
        <f aca="false">IF($B580="","",IF($L580="已完成",IF($M580="","",$M580-$B580),IF(设置!$B$6&lt;$B580,"",IF((设置!$B$6-$B580)&gt;=设置!$B$5,"超期"&amp;(设置!$B$6-$B580)&amp;"天","已等"&amp;(设置!$B$6-$B580)&amp;"天"))))</f>
        <v/>
      </c>
      <c r="O580" s="18" t="str">
        <f aca="false">IF(OR($D580="",$E580=""),"",COUNTIFS($D$7:$D580,$D580,$E$7:$E580,$E580))</f>
        <v/>
      </c>
      <c r="P580" s="16"/>
      <c r="Q580" s="19"/>
      <c r="R580" s="10"/>
      <c r="S580" s="16"/>
      <c r="T580" s="0" t="str">
        <f aca="false">IF(OR($D580="",单元查询!$B$3=""),"",IF($D580&lt;&gt;单元查询!$B$3,"",IF(OR(单元查询!$D$3="",$E580&amp;""=单元查询!$D$3&amp;""),IF(ISNUMBER($B580),$B580*10000,0)+ROW(),"")))</f>
        <v/>
      </c>
      <c r="U580" s="0" t="str">
        <f aca="false">IF(OR($B580="",$L580="已完成"),"",IF(ISNUMBER($B580),IF(设置!$B$6&lt;$B580,"",(设置!$B$6-$B580)*100000+ROW()),""))</f>
        <v/>
      </c>
      <c r="V580" s="0" t="str">
        <f aca="false">IF(ISNUMBER($O580),IF($O580&gt;=2,IF(COUNTIFS($D580:$D$2006,$D580,$E580:$E$2006,$E580)=1,ROW(),""),""),"")</f>
        <v/>
      </c>
    </row>
    <row r="581" customFormat="false" ht="15" hidden="false" customHeight="true" outlineLevel="0" collapsed="false">
      <c r="A581" s="13" t="str">
        <f aca="false">IF(AND($B581="",$D581="",$E581="",$F581=""),"",IF(OR($B581="",$D581="",$E581=""),"待补",IF($D581="公共区域","公",IF($D581="商铺","S",SUBSTITUTE($D581,"栋","")))&amp;"-"&amp;$E581&amp;"-"&amp;TEXT(MONTH($B581),"00")&amp;TEXT(DAY($B581),"00")&amp;IF(ISNUMBER($O581),IF($O581&gt;1,"-"&amp;TEXT($O581,"00"),""),"")))</f>
        <v/>
      </c>
      <c r="B581" s="14"/>
      <c r="C581" s="10"/>
      <c r="D581" s="10"/>
      <c r="E581" s="10"/>
      <c r="F581" s="16"/>
      <c r="G581" s="10"/>
      <c r="H581" s="10"/>
      <c r="I581" s="10"/>
      <c r="J581" s="10"/>
      <c r="K581" s="10"/>
      <c r="L581" s="10"/>
      <c r="M581" s="14"/>
      <c r="N581" s="17" t="str">
        <f aca="false">IF($B581="","",IF($L581="已完成",IF($M581="","",$M581-$B581),IF(设置!$B$6&lt;$B581,"",IF((设置!$B$6-$B581)&gt;=设置!$B$5,"超期"&amp;(设置!$B$6-$B581)&amp;"天","已等"&amp;(设置!$B$6-$B581)&amp;"天"))))</f>
        <v/>
      </c>
      <c r="O581" s="18" t="str">
        <f aca="false">IF(OR($D581="",$E581=""),"",COUNTIFS($D$7:$D581,$D581,$E$7:$E581,$E581))</f>
        <v/>
      </c>
      <c r="P581" s="16"/>
      <c r="Q581" s="19"/>
      <c r="R581" s="10"/>
      <c r="S581" s="16"/>
      <c r="T581" s="0" t="str">
        <f aca="false">IF(OR($D581="",单元查询!$B$3=""),"",IF($D581&lt;&gt;单元查询!$B$3,"",IF(OR(单元查询!$D$3="",$E581&amp;""=单元查询!$D$3&amp;""),IF(ISNUMBER($B581),$B581*10000,0)+ROW(),"")))</f>
        <v/>
      </c>
      <c r="U581" s="0" t="str">
        <f aca="false">IF(OR($B581="",$L581="已完成"),"",IF(ISNUMBER($B581),IF(设置!$B$6&lt;$B581,"",(设置!$B$6-$B581)*100000+ROW()),""))</f>
        <v/>
      </c>
      <c r="V581" s="0" t="str">
        <f aca="false">IF(ISNUMBER($O581),IF($O581&gt;=2,IF(COUNTIFS($D581:$D$2006,$D581,$E581:$E$2006,$E581)=1,ROW(),""),""),"")</f>
        <v/>
      </c>
    </row>
    <row r="582" customFormat="false" ht="15" hidden="false" customHeight="true" outlineLevel="0" collapsed="false">
      <c r="A582" s="13" t="str">
        <f aca="false">IF(AND($B582="",$D582="",$E582="",$F582=""),"",IF(OR($B582="",$D582="",$E582=""),"待补",IF($D582="公共区域","公",IF($D582="商铺","S",SUBSTITUTE($D582,"栋","")))&amp;"-"&amp;$E582&amp;"-"&amp;TEXT(MONTH($B582),"00")&amp;TEXT(DAY($B582),"00")&amp;IF(ISNUMBER($O582),IF($O582&gt;1,"-"&amp;TEXT($O582,"00"),""),"")))</f>
        <v/>
      </c>
      <c r="B582" s="14"/>
      <c r="C582" s="10"/>
      <c r="D582" s="10"/>
      <c r="E582" s="10"/>
      <c r="F582" s="16"/>
      <c r="G582" s="10"/>
      <c r="H582" s="10"/>
      <c r="I582" s="10"/>
      <c r="J582" s="10"/>
      <c r="K582" s="10"/>
      <c r="L582" s="10"/>
      <c r="M582" s="14"/>
      <c r="N582" s="17" t="str">
        <f aca="false">IF($B582="","",IF($L582="已完成",IF($M582="","",$M582-$B582),IF(设置!$B$6&lt;$B582,"",IF((设置!$B$6-$B582)&gt;=设置!$B$5,"超期"&amp;(设置!$B$6-$B582)&amp;"天","已等"&amp;(设置!$B$6-$B582)&amp;"天"))))</f>
        <v/>
      </c>
      <c r="O582" s="18" t="str">
        <f aca="false">IF(OR($D582="",$E582=""),"",COUNTIFS($D$7:$D582,$D582,$E$7:$E582,$E582))</f>
        <v/>
      </c>
      <c r="P582" s="16"/>
      <c r="Q582" s="19"/>
      <c r="R582" s="10"/>
      <c r="S582" s="16"/>
      <c r="T582" s="0" t="str">
        <f aca="false">IF(OR($D582="",单元查询!$B$3=""),"",IF($D582&lt;&gt;单元查询!$B$3,"",IF(OR(单元查询!$D$3="",$E582&amp;""=单元查询!$D$3&amp;""),IF(ISNUMBER($B582),$B582*10000,0)+ROW(),"")))</f>
        <v/>
      </c>
      <c r="U582" s="0" t="str">
        <f aca="false">IF(OR($B582="",$L582="已完成"),"",IF(ISNUMBER($B582),IF(设置!$B$6&lt;$B582,"",(设置!$B$6-$B582)*100000+ROW()),""))</f>
        <v/>
      </c>
      <c r="V582" s="0" t="str">
        <f aca="false">IF(ISNUMBER($O582),IF($O582&gt;=2,IF(COUNTIFS($D582:$D$2006,$D582,$E582:$E$2006,$E582)=1,ROW(),""),""),"")</f>
        <v/>
      </c>
    </row>
    <row r="583" customFormat="false" ht="15" hidden="false" customHeight="true" outlineLevel="0" collapsed="false">
      <c r="A583" s="13" t="str">
        <f aca="false">IF(AND($B583="",$D583="",$E583="",$F583=""),"",IF(OR($B583="",$D583="",$E583=""),"待补",IF($D583="公共区域","公",IF($D583="商铺","S",SUBSTITUTE($D583,"栋","")))&amp;"-"&amp;$E583&amp;"-"&amp;TEXT(MONTH($B583),"00")&amp;TEXT(DAY($B583),"00")&amp;IF(ISNUMBER($O583),IF($O583&gt;1,"-"&amp;TEXT($O583,"00"),""),"")))</f>
        <v/>
      </c>
      <c r="B583" s="14"/>
      <c r="C583" s="10"/>
      <c r="D583" s="10"/>
      <c r="E583" s="10"/>
      <c r="F583" s="16"/>
      <c r="G583" s="10"/>
      <c r="H583" s="10"/>
      <c r="I583" s="10"/>
      <c r="J583" s="10"/>
      <c r="K583" s="10"/>
      <c r="L583" s="10"/>
      <c r="M583" s="14"/>
      <c r="N583" s="17" t="str">
        <f aca="false">IF($B583="","",IF($L583="已完成",IF($M583="","",$M583-$B583),IF(设置!$B$6&lt;$B583,"",IF((设置!$B$6-$B583)&gt;=设置!$B$5,"超期"&amp;(设置!$B$6-$B583)&amp;"天","已等"&amp;(设置!$B$6-$B583)&amp;"天"))))</f>
        <v/>
      </c>
      <c r="O583" s="18" t="str">
        <f aca="false">IF(OR($D583="",$E583=""),"",COUNTIFS($D$7:$D583,$D583,$E$7:$E583,$E583))</f>
        <v/>
      </c>
      <c r="P583" s="16"/>
      <c r="Q583" s="19"/>
      <c r="R583" s="10"/>
      <c r="S583" s="16"/>
      <c r="T583" s="0" t="str">
        <f aca="false">IF(OR($D583="",单元查询!$B$3=""),"",IF($D583&lt;&gt;单元查询!$B$3,"",IF(OR(单元查询!$D$3="",$E583&amp;""=单元查询!$D$3&amp;""),IF(ISNUMBER($B583),$B583*10000,0)+ROW(),"")))</f>
        <v/>
      </c>
      <c r="U583" s="0" t="str">
        <f aca="false">IF(OR($B583="",$L583="已完成"),"",IF(ISNUMBER($B583),IF(设置!$B$6&lt;$B583,"",(设置!$B$6-$B583)*100000+ROW()),""))</f>
        <v/>
      </c>
      <c r="V583" s="0" t="str">
        <f aca="false">IF(ISNUMBER($O583),IF($O583&gt;=2,IF(COUNTIFS($D583:$D$2006,$D583,$E583:$E$2006,$E583)=1,ROW(),""),""),"")</f>
        <v/>
      </c>
    </row>
    <row r="584" customFormat="false" ht="15" hidden="false" customHeight="true" outlineLevel="0" collapsed="false">
      <c r="A584" s="13" t="str">
        <f aca="false">IF(AND($B584="",$D584="",$E584="",$F584=""),"",IF(OR($B584="",$D584="",$E584=""),"待补",IF($D584="公共区域","公",IF($D584="商铺","S",SUBSTITUTE($D584,"栋","")))&amp;"-"&amp;$E584&amp;"-"&amp;TEXT(MONTH($B584),"00")&amp;TEXT(DAY($B584),"00")&amp;IF(ISNUMBER($O584),IF($O584&gt;1,"-"&amp;TEXT($O584,"00"),""),"")))</f>
        <v/>
      </c>
      <c r="B584" s="14"/>
      <c r="C584" s="10"/>
      <c r="D584" s="10"/>
      <c r="E584" s="10"/>
      <c r="F584" s="16"/>
      <c r="G584" s="10"/>
      <c r="H584" s="10"/>
      <c r="I584" s="10"/>
      <c r="J584" s="10"/>
      <c r="K584" s="10"/>
      <c r="L584" s="10"/>
      <c r="M584" s="14"/>
      <c r="N584" s="17" t="str">
        <f aca="false">IF($B584="","",IF($L584="已完成",IF($M584="","",$M584-$B584),IF(设置!$B$6&lt;$B584,"",IF((设置!$B$6-$B584)&gt;=设置!$B$5,"超期"&amp;(设置!$B$6-$B584)&amp;"天","已等"&amp;(设置!$B$6-$B584)&amp;"天"))))</f>
        <v/>
      </c>
      <c r="O584" s="18" t="str">
        <f aca="false">IF(OR($D584="",$E584=""),"",COUNTIFS($D$7:$D584,$D584,$E$7:$E584,$E584))</f>
        <v/>
      </c>
      <c r="P584" s="16"/>
      <c r="Q584" s="19"/>
      <c r="R584" s="10"/>
      <c r="S584" s="16"/>
      <c r="T584" s="0" t="str">
        <f aca="false">IF(OR($D584="",单元查询!$B$3=""),"",IF($D584&lt;&gt;单元查询!$B$3,"",IF(OR(单元查询!$D$3="",$E584&amp;""=单元查询!$D$3&amp;""),IF(ISNUMBER($B584),$B584*10000,0)+ROW(),"")))</f>
        <v/>
      </c>
      <c r="U584" s="0" t="str">
        <f aca="false">IF(OR($B584="",$L584="已完成"),"",IF(ISNUMBER($B584),IF(设置!$B$6&lt;$B584,"",(设置!$B$6-$B584)*100000+ROW()),""))</f>
        <v/>
      </c>
      <c r="V584" s="0" t="str">
        <f aca="false">IF(ISNUMBER($O584),IF($O584&gt;=2,IF(COUNTIFS($D584:$D$2006,$D584,$E584:$E$2006,$E584)=1,ROW(),""),""),"")</f>
        <v/>
      </c>
    </row>
    <row r="585" customFormat="false" ht="15" hidden="false" customHeight="true" outlineLevel="0" collapsed="false">
      <c r="A585" s="13" t="str">
        <f aca="false">IF(AND($B585="",$D585="",$E585="",$F585=""),"",IF(OR($B585="",$D585="",$E585=""),"待补",IF($D585="公共区域","公",IF($D585="商铺","S",SUBSTITUTE($D585,"栋","")))&amp;"-"&amp;$E585&amp;"-"&amp;TEXT(MONTH($B585),"00")&amp;TEXT(DAY($B585),"00")&amp;IF(ISNUMBER($O585),IF($O585&gt;1,"-"&amp;TEXT($O585,"00"),""),"")))</f>
        <v/>
      </c>
      <c r="B585" s="14"/>
      <c r="C585" s="10"/>
      <c r="D585" s="10"/>
      <c r="E585" s="10"/>
      <c r="F585" s="16"/>
      <c r="G585" s="10"/>
      <c r="H585" s="10"/>
      <c r="I585" s="10"/>
      <c r="J585" s="10"/>
      <c r="K585" s="10"/>
      <c r="L585" s="10"/>
      <c r="M585" s="14"/>
      <c r="N585" s="17" t="str">
        <f aca="false">IF($B585="","",IF($L585="已完成",IF($M585="","",$M585-$B585),IF(设置!$B$6&lt;$B585,"",IF((设置!$B$6-$B585)&gt;=设置!$B$5,"超期"&amp;(设置!$B$6-$B585)&amp;"天","已等"&amp;(设置!$B$6-$B585)&amp;"天"))))</f>
        <v/>
      </c>
      <c r="O585" s="18" t="str">
        <f aca="false">IF(OR($D585="",$E585=""),"",COUNTIFS($D$7:$D585,$D585,$E$7:$E585,$E585))</f>
        <v/>
      </c>
      <c r="P585" s="16"/>
      <c r="Q585" s="19"/>
      <c r="R585" s="10"/>
      <c r="S585" s="16"/>
      <c r="T585" s="0" t="str">
        <f aca="false">IF(OR($D585="",单元查询!$B$3=""),"",IF($D585&lt;&gt;单元查询!$B$3,"",IF(OR(单元查询!$D$3="",$E585&amp;""=单元查询!$D$3&amp;""),IF(ISNUMBER($B585),$B585*10000,0)+ROW(),"")))</f>
        <v/>
      </c>
      <c r="U585" s="0" t="str">
        <f aca="false">IF(OR($B585="",$L585="已完成"),"",IF(ISNUMBER($B585),IF(设置!$B$6&lt;$B585,"",(设置!$B$6-$B585)*100000+ROW()),""))</f>
        <v/>
      </c>
      <c r="V585" s="0" t="str">
        <f aca="false">IF(ISNUMBER($O585),IF($O585&gt;=2,IF(COUNTIFS($D585:$D$2006,$D585,$E585:$E$2006,$E585)=1,ROW(),""),""),"")</f>
        <v/>
      </c>
    </row>
    <row r="586" customFormat="false" ht="15" hidden="false" customHeight="true" outlineLevel="0" collapsed="false">
      <c r="A586" s="13" t="str">
        <f aca="false">IF(AND($B586="",$D586="",$E586="",$F586=""),"",IF(OR($B586="",$D586="",$E586=""),"待补",IF($D586="公共区域","公",IF($D586="商铺","S",SUBSTITUTE($D586,"栋","")))&amp;"-"&amp;$E586&amp;"-"&amp;TEXT(MONTH($B586),"00")&amp;TEXT(DAY($B586),"00")&amp;IF(ISNUMBER($O586),IF($O586&gt;1,"-"&amp;TEXT($O586,"00"),""),"")))</f>
        <v/>
      </c>
      <c r="B586" s="14"/>
      <c r="C586" s="10"/>
      <c r="D586" s="10"/>
      <c r="E586" s="10"/>
      <c r="F586" s="16"/>
      <c r="G586" s="10"/>
      <c r="H586" s="10"/>
      <c r="I586" s="10"/>
      <c r="J586" s="10"/>
      <c r="K586" s="10"/>
      <c r="L586" s="10"/>
      <c r="M586" s="14"/>
      <c r="N586" s="17" t="str">
        <f aca="false">IF($B586="","",IF($L586="已完成",IF($M586="","",$M586-$B586),IF(设置!$B$6&lt;$B586,"",IF((设置!$B$6-$B586)&gt;=设置!$B$5,"超期"&amp;(设置!$B$6-$B586)&amp;"天","已等"&amp;(设置!$B$6-$B586)&amp;"天"))))</f>
        <v/>
      </c>
      <c r="O586" s="18" t="str">
        <f aca="false">IF(OR($D586="",$E586=""),"",COUNTIFS($D$7:$D586,$D586,$E$7:$E586,$E586))</f>
        <v/>
      </c>
      <c r="P586" s="16"/>
      <c r="Q586" s="19"/>
      <c r="R586" s="10"/>
      <c r="S586" s="16"/>
      <c r="T586" s="0" t="str">
        <f aca="false">IF(OR($D586="",单元查询!$B$3=""),"",IF($D586&lt;&gt;单元查询!$B$3,"",IF(OR(单元查询!$D$3="",$E586&amp;""=单元查询!$D$3&amp;""),IF(ISNUMBER($B586),$B586*10000,0)+ROW(),"")))</f>
        <v/>
      </c>
      <c r="U586" s="0" t="str">
        <f aca="false">IF(OR($B586="",$L586="已完成"),"",IF(ISNUMBER($B586),IF(设置!$B$6&lt;$B586,"",(设置!$B$6-$B586)*100000+ROW()),""))</f>
        <v/>
      </c>
      <c r="V586" s="0" t="str">
        <f aca="false">IF(ISNUMBER($O586),IF($O586&gt;=2,IF(COUNTIFS($D586:$D$2006,$D586,$E586:$E$2006,$E586)=1,ROW(),""),""),"")</f>
        <v/>
      </c>
    </row>
    <row r="587" customFormat="false" ht="15" hidden="false" customHeight="true" outlineLevel="0" collapsed="false">
      <c r="A587" s="13" t="str">
        <f aca="false">IF(AND($B587="",$D587="",$E587="",$F587=""),"",IF(OR($B587="",$D587="",$E587=""),"待补",IF($D587="公共区域","公",IF($D587="商铺","S",SUBSTITUTE($D587,"栋","")))&amp;"-"&amp;$E587&amp;"-"&amp;TEXT(MONTH($B587),"00")&amp;TEXT(DAY($B587),"00")&amp;IF(ISNUMBER($O587),IF($O587&gt;1,"-"&amp;TEXT($O587,"00"),""),"")))</f>
        <v/>
      </c>
      <c r="B587" s="14"/>
      <c r="C587" s="10"/>
      <c r="D587" s="10"/>
      <c r="E587" s="10"/>
      <c r="F587" s="16"/>
      <c r="G587" s="10"/>
      <c r="H587" s="10"/>
      <c r="I587" s="10"/>
      <c r="J587" s="10"/>
      <c r="K587" s="10"/>
      <c r="L587" s="10"/>
      <c r="M587" s="14"/>
      <c r="N587" s="17" t="str">
        <f aca="false">IF($B587="","",IF($L587="已完成",IF($M587="","",$M587-$B587),IF(设置!$B$6&lt;$B587,"",IF((设置!$B$6-$B587)&gt;=设置!$B$5,"超期"&amp;(设置!$B$6-$B587)&amp;"天","已等"&amp;(设置!$B$6-$B587)&amp;"天"))))</f>
        <v/>
      </c>
      <c r="O587" s="18" t="str">
        <f aca="false">IF(OR($D587="",$E587=""),"",COUNTIFS($D$7:$D587,$D587,$E$7:$E587,$E587))</f>
        <v/>
      </c>
      <c r="P587" s="16"/>
      <c r="Q587" s="19"/>
      <c r="R587" s="10"/>
      <c r="S587" s="16"/>
      <c r="T587" s="0" t="str">
        <f aca="false">IF(OR($D587="",单元查询!$B$3=""),"",IF($D587&lt;&gt;单元查询!$B$3,"",IF(OR(单元查询!$D$3="",$E587&amp;""=单元查询!$D$3&amp;""),IF(ISNUMBER($B587),$B587*10000,0)+ROW(),"")))</f>
        <v/>
      </c>
      <c r="U587" s="0" t="str">
        <f aca="false">IF(OR($B587="",$L587="已完成"),"",IF(ISNUMBER($B587),IF(设置!$B$6&lt;$B587,"",(设置!$B$6-$B587)*100000+ROW()),""))</f>
        <v/>
      </c>
      <c r="V587" s="0" t="str">
        <f aca="false">IF(ISNUMBER($O587),IF($O587&gt;=2,IF(COUNTIFS($D587:$D$2006,$D587,$E587:$E$2006,$E587)=1,ROW(),""),""),"")</f>
        <v/>
      </c>
    </row>
    <row r="588" customFormat="false" ht="15" hidden="false" customHeight="true" outlineLevel="0" collapsed="false">
      <c r="A588" s="13" t="str">
        <f aca="false">IF(AND($B588="",$D588="",$E588="",$F588=""),"",IF(OR($B588="",$D588="",$E588=""),"待补",IF($D588="公共区域","公",IF($D588="商铺","S",SUBSTITUTE($D588,"栋","")))&amp;"-"&amp;$E588&amp;"-"&amp;TEXT(MONTH($B588),"00")&amp;TEXT(DAY($B588),"00")&amp;IF(ISNUMBER($O588),IF($O588&gt;1,"-"&amp;TEXT($O588,"00"),""),"")))</f>
        <v/>
      </c>
      <c r="B588" s="14"/>
      <c r="C588" s="10"/>
      <c r="D588" s="10"/>
      <c r="E588" s="10"/>
      <c r="F588" s="16"/>
      <c r="G588" s="10"/>
      <c r="H588" s="10"/>
      <c r="I588" s="10"/>
      <c r="J588" s="10"/>
      <c r="K588" s="10"/>
      <c r="L588" s="10"/>
      <c r="M588" s="14"/>
      <c r="N588" s="17" t="str">
        <f aca="false">IF($B588="","",IF($L588="已完成",IF($M588="","",$M588-$B588),IF(设置!$B$6&lt;$B588,"",IF((设置!$B$6-$B588)&gt;=设置!$B$5,"超期"&amp;(设置!$B$6-$B588)&amp;"天","已等"&amp;(设置!$B$6-$B588)&amp;"天"))))</f>
        <v/>
      </c>
      <c r="O588" s="18" t="str">
        <f aca="false">IF(OR($D588="",$E588=""),"",COUNTIFS($D$7:$D588,$D588,$E$7:$E588,$E588))</f>
        <v/>
      </c>
      <c r="P588" s="16"/>
      <c r="Q588" s="19"/>
      <c r="R588" s="10"/>
      <c r="S588" s="16"/>
      <c r="T588" s="0" t="str">
        <f aca="false">IF(OR($D588="",单元查询!$B$3=""),"",IF($D588&lt;&gt;单元查询!$B$3,"",IF(OR(单元查询!$D$3="",$E588&amp;""=单元查询!$D$3&amp;""),IF(ISNUMBER($B588),$B588*10000,0)+ROW(),"")))</f>
        <v/>
      </c>
      <c r="U588" s="0" t="str">
        <f aca="false">IF(OR($B588="",$L588="已完成"),"",IF(ISNUMBER($B588),IF(设置!$B$6&lt;$B588,"",(设置!$B$6-$B588)*100000+ROW()),""))</f>
        <v/>
      </c>
      <c r="V588" s="0" t="str">
        <f aca="false">IF(ISNUMBER($O588),IF($O588&gt;=2,IF(COUNTIFS($D588:$D$2006,$D588,$E588:$E$2006,$E588)=1,ROW(),""),""),"")</f>
        <v/>
      </c>
    </row>
    <row r="589" customFormat="false" ht="15" hidden="false" customHeight="true" outlineLevel="0" collapsed="false">
      <c r="A589" s="13" t="str">
        <f aca="false">IF(AND($B589="",$D589="",$E589="",$F589=""),"",IF(OR($B589="",$D589="",$E589=""),"待补",IF($D589="公共区域","公",IF($D589="商铺","S",SUBSTITUTE($D589,"栋","")))&amp;"-"&amp;$E589&amp;"-"&amp;TEXT(MONTH($B589),"00")&amp;TEXT(DAY($B589),"00")&amp;IF(ISNUMBER($O589),IF($O589&gt;1,"-"&amp;TEXT($O589,"00"),""),"")))</f>
        <v/>
      </c>
      <c r="B589" s="14"/>
      <c r="C589" s="10"/>
      <c r="D589" s="10"/>
      <c r="E589" s="10"/>
      <c r="F589" s="16"/>
      <c r="G589" s="10"/>
      <c r="H589" s="10"/>
      <c r="I589" s="10"/>
      <c r="J589" s="10"/>
      <c r="K589" s="10"/>
      <c r="L589" s="10"/>
      <c r="M589" s="14"/>
      <c r="N589" s="17" t="str">
        <f aca="false">IF($B589="","",IF($L589="已完成",IF($M589="","",$M589-$B589),IF(设置!$B$6&lt;$B589,"",IF((设置!$B$6-$B589)&gt;=设置!$B$5,"超期"&amp;(设置!$B$6-$B589)&amp;"天","已等"&amp;(设置!$B$6-$B589)&amp;"天"))))</f>
        <v/>
      </c>
      <c r="O589" s="18" t="str">
        <f aca="false">IF(OR($D589="",$E589=""),"",COUNTIFS($D$7:$D589,$D589,$E$7:$E589,$E589))</f>
        <v/>
      </c>
      <c r="P589" s="16"/>
      <c r="Q589" s="19"/>
      <c r="R589" s="10"/>
      <c r="S589" s="16"/>
      <c r="T589" s="0" t="str">
        <f aca="false">IF(OR($D589="",单元查询!$B$3=""),"",IF($D589&lt;&gt;单元查询!$B$3,"",IF(OR(单元查询!$D$3="",$E589&amp;""=单元查询!$D$3&amp;""),IF(ISNUMBER($B589),$B589*10000,0)+ROW(),"")))</f>
        <v/>
      </c>
      <c r="U589" s="0" t="str">
        <f aca="false">IF(OR($B589="",$L589="已完成"),"",IF(ISNUMBER($B589),IF(设置!$B$6&lt;$B589,"",(设置!$B$6-$B589)*100000+ROW()),""))</f>
        <v/>
      </c>
      <c r="V589" s="0" t="str">
        <f aca="false">IF(ISNUMBER($O589),IF($O589&gt;=2,IF(COUNTIFS($D589:$D$2006,$D589,$E589:$E$2006,$E589)=1,ROW(),""),""),"")</f>
        <v/>
      </c>
    </row>
    <row r="590" customFormat="false" ht="15" hidden="false" customHeight="true" outlineLevel="0" collapsed="false">
      <c r="A590" s="13" t="str">
        <f aca="false">IF(AND($B590="",$D590="",$E590="",$F590=""),"",IF(OR($B590="",$D590="",$E590=""),"待补",IF($D590="公共区域","公",IF($D590="商铺","S",SUBSTITUTE($D590,"栋","")))&amp;"-"&amp;$E590&amp;"-"&amp;TEXT(MONTH($B590),"00")&amp;TEXT(DAY($B590),"00")&amp;IF(ISNUMBER($O590),IF($O590&gt;1,"-"&amp;TEXT($O590,"00"),""),"")))</f>
        <v/>
      </c>
      <c r="B590" s="14"/>
      <c r="C590" s="10"/>
      <c r="D590" s="10"/>
      <c r="E590" s="10"/>
      <c r="F590" s="16"/>
      <c r="G590" s="10"/>
      <c r="H590" s="10"/>
      <c r="I590" s="10"/>
      <c r="J590" s="10"/>
      <c r="K590" s="10"/>
      <c r="L590" s="10"/>
      <c r="M590" s="14"/>
      <c r="N590" s="17" t="str">
        <f aca="false">IF($B590="","",IF($L590="已完成",IF($M590="","",$M590-$B590),IF(设置!$B$6&lt;$B590,"",IF((设置!$B$6-$B590)&gt;=设置!$B$5,"超期"&amp;(设置!$B$6-$B590)&amp;"天","已等"&amp;(设置!$B$6-$B590)&amp;"天"))))</f>
        <v/>
      </c>
      <c r="O590" s="18" t="str">
        <f aca="false">IF(OR($D590="",$E590=""),"",COUNTIFS($D$7:$D590,$D590,$E$7:$E590,$E590))</f>
        <v/>
      </c>
      <c r="P590" s="16"/>
      <c r="Q590" s="19"/>
      <c r="R590" s="10"/>
      <c r="S590" s="16"/>
      <c r="T590" s="0" t="str">
        <f aca="false">IF(OR($D590="",单元查询!$B$3=""),"",IF($D590&lt;&gt;单元查询!$B$3,"",IF(OR(单元查询!$D$3="",$E590&amp;""=单元查询!$D$3&amp;""),IF(ISNUMBER($B590),$B590*10000,0)+ROW(),"")))</f>
        <v/>
      </c>
      <c r="U590" s="0" t="str">
        <f aca="false">IF(OR($B590="",$L590="已完成"),"",IF(ISNUMBER($B590),IF(设置!$B$6&lt;$B590,"",(设置!$B$6-$B590)*100000+ROW()),""))</f>
        <v/>
      </c>
      <c r="V590" s="0" t="str">
        <f aca="false">IF(ISNUMBER($O590),IF($O590&gt;=2,IF(COUNTIFS($D590:$D$2006,$D590,$E590:$E$2006,$E590)=1,ROW(),""),""),"")</f>
        <v/>
      </c>
    </row>
    <row r="591" customFormat="false" ht="15" hidden="false" customHeight="true" outlineLevel="0" collapsed="false">
      <c r="A591" s="13" t="str">
        <f aca="false">IF(AND($B591="",$D591="",$E591="",$F591=""),"",IF(OR($B591="",$D591="",$E591=""),"待补",IF($D591="公共区域","公",IF($D591="商铺","S",SUBSTITUTE($D591,"栋","")))&amp;"-"&amp;$E591&amp;"-"&amp;TEXT(MONTH($B591),"00")&amp;TEXT(DAY($B591),"00")&amp;IF(ISNUMBER($O591),IF($O591&gt;1,"-"&amp;TEXT($O591,"00"),""),"")))</f>
        <v/>
      </c>
      <c r="B591" s="14"/>
      <c r="C591" s="10"/>
      <c r="D591" s="10"/>
      <c r="E591" s="10"/>
      <c r="F591" s="16"/>
      <c r="G591" s="10"/>
      <c r="H591" s="10"/>
      <c r="I591" s="10"/>
      <c r="J591" s="10"/>
      <c r="K591" s="10"/>
      <c r="L591" s="10"/>
      <c r="M591" s="14"/>
      <c r="N591" s="17" t="str">
        <f aca="false">IF($B591="","",IF($L591="已完成",IF($M591="","",$M591-$B591),IF(设置!$B$6&lt;$B591,"",IF((设置!$B$6-$B591)&gt;=设置!$B$5,"超期"&amp;(设置!$B$6-$B591)&amp;"天","已等"&amp;(设置!$B$6-$B591)&amp;"天"))))</f>
        <v/>
      </c>
      <c r="O591" s="18" t="str">
        <f aca="false">IF(OR($D591="",$E591=""),"",COUNTIFS($D$7:$D591,$D591,$E$7:$E591,$E591))</f>
        <v/>
      </c>
      <c r="P591" s="16"/>
      <c r="Q591" s="19"/>
      <c r="R591" s="10"/>
      <c r="S591" s="16"/>
      <c r="T591" s="0" t="str">
        <f aca="false">IF(OR($D591="",单元查询!$B$3=""),"",IF($D591&lt;&gt;单元查询!$B$3,"",IF(OR(单元查询!$D$3="",$E591&amp;""=单元查询!$D$3&amp;""),IF(ISNUMBER($B591),$B591*10000,0)+ROW(),"")))</f>
        <v/>
      </c>
      <c r="U591" s="0" t="str">
        <f aca="false">IF(OR($B591="",$L591="已完成"),"",IF(ISNUMBER($B591),IF(设置!$B$6&lt;$B591,"",(设置!$B$6-$B591)*100000+ROW()),""))</f>
        <v/>
      </c>
      <c r="V591" s="0" t="str">
        <f aca="false">IF(ISNUMBER($O591),IF($O591&gt;=2,IF(COUNTIFS($D591:$D$2006,$D591,$E591:$E$2006,$E591)=1,ROW(),""),""),"")</f>
        <v/>
      </c>
    </row>
    <row r="592" customFormat="false" ht="15" hidden="false" customHeight="true" outlineLevel="0" collapsed="false">
      <c r="A592" s="13" t="str">
        <f aca="false">IF(AND($B592="",$D592="",$E592="",$F592=""),"",IF(OR($B592="",$D592="",$E592=""),"待补",IF($D592="公共区域","公",IF($D592="商铺","S",SUBSTITUTE($D592,"栋","")))&amp;"-"&amp;$E592&amp;"-"&amp;TEXT(MONTH($B592),"00")&amp;TEXT(DAY($B592),"00")&amp;IF(ISNUMBER($O592),IF($O592&gt;1,"-"&amp;TEXT($O592,"00"),""),"")))</f>
        <v/>
      </c>
      <c r="B592" s="14"/>
      <c r="C592" s="10"/>
      <c r="D592" s="10"/>
      <c r="E592" s="10"/>
      <c r="F592" s="16"/>
      <c r="G592" s="10"/>
      <c r="H592" s="10"/>
      <c r="I592" s="10"/>
      <c r="J592" s="10"/>
      <c r="K592" s="10"/>
      <c r="L592" s="10"/>
      <c r="M592" s="14"/>
      <c r="N592" s="17" t="str">
        <f aca="false">IF($B592="","",IF($L592="已完成",IF($M592="","",$M592-$B592),IF(设置!$B$6&lt;$B592,"",IF((设置!$B$6-$B592)&gt;=设置!$B$5,"超期"&amp;(设置!$B$6-$B592)&amp;"天","已等"&amp;(设置!$B$6-$B592)&amp;"天"))))</f>
        <v/>
      </c>
      <c r="O592" s="18" t="str">
        <f aca="false">IF(OR($D592="",$E592=""),"",COUNTIFS($D$7:$D592,$D592,$E$7:$E592,$E592))</f>
        <v/>
      </c>
      <c r="P592" s="16"/>
      <c r="Q592" s="19"/>
      <c r="R592" s="10"/>
      <c r="S592" s="16"/>
      <c r="T592" s="0" t="str">
        <f aca="false">IF(OR($D592="",单元查询!$B$3=""),"",IF($D592&lt;&gt;单元查询!$B$3,"",IF(OR(单元查询!$D$3="",$E592&amp;""=单元查询!$D$3&amp;""),IF(ISNUMBER($B592),$B592*10000,0)+ROW(),"")))</f>
        <v/>
      </c>
      <c r="U592" s="0" t="str">
        <f aca="false">IF(OR($B592="",$L592="已完成"),"",IF(ISNUMBER($B592),IF(设置!$B$6&lt;$B592,"",(设置!$B$6-$B592)*100000+ROW()),""))</f>
        <v/>
      </c>
      <c r="V592" s="0" t="str">
        <f aca="false">IF(ISNUMBER($O592),IF($O592&gt;=2,IF(COUNTIFS($D592:$D$2006,$D592,$E592:$E$2006,$E592)=1,ROW(),""),""),"")</f>
        <v/>
      </c>
    </row>
    <row r="593" customFormat="false" ht="15" hidden="false" customHeight="true" outlineLevel="0" collapsed="false">
      <c r="A593" s="13" t="str">
        <f aca="false">IF(AND($B593="",$D593="",$E593="",$F593=""),"",IF(OR($B593="",$D593="",$E593=""),"待补",IF($D593="公共区域","公",IF($D593="商铺","S",SUBSTITUTE($D593,"栋","")))&amp;"-"&amp;$E593&amp;"-"&amp;TEXT(MONTH($B593),"00")&amp;TEXT(DAY($B593),"00")&amp;IF(ISNUMBER($O593),IF($O593&gt;1,"-"&amp;TEXT($O593,"00"),""),"")))</f>
        <v/>
      </c>
      <c r="B593" s="14"/>
      <c r="C593" s="10"/>
      <c r="D593" s="10"/>
      <c r="E593" s="10"/>
      <c r="F593" s="16"/>
      <c r="G593" s="10"/>
      <c r="H593" s="10"/>
      <c r="I593" s="10"/>
      <c r="J593" s="10"/>
      <c r="K593" s="10"/>
      <c r="L593" s="10"/>
      <c r="M593" s="14"/>
      <c r="N593" s="17" t="str">
        <f aca="false">IF($B593="","",IF($L593="已完成",IF($M593="","",$M593-$B593),IF(设置!$B$6&lt;$B593,"",IF((设置!$B$6-$B593)&gt;=设置!$B$5,"超期"&amp;(设置!$B$6-$B593)&amp;"天","已等"&amp;(设置!$B$6-$B593)&amp;"天"))))</f>
        <v/>
      </c>
      <c r="O593" s="18" t="str">
        <f aca="false">IF(OR($D593="",$E593=""),"",COUNTIFS($D$7:$D593,$D593,$E$7:$E593,$E593))</f>
        <v/>
      </c>
      <c r="P593" s="16"/>
      <c r="Q593" s="19"/>
      <c r="R593" s="10"/>
      <c r="S593" s="16"/>
      <c r="T593" s="0" t="str">
        <f aca="false">IF(OR($D593="",单元查询!$B$3=""),"",IF($D593&lt;&gt;单元查询!$B$3,"",IF(OR(单元查询!$D$3="",$E593&amp;""=单元查询!$D$3&amp;""),IF(ISNUMBER($B593),$B593*10000,0)+ROW(),"")))</f>
        <v/>
      </c>
      <c r="U593" s="0" t="str">
        <f aca="false">IF(OR($B593="",$L593="已完成"),"",IF(ISNUMBER($B593),IF(设置!$B$6&lt;$B593,"",(设置!$B$6-$B593)*100000+ROW()),""))</f>
        <v/>
      </c>
      <c r="V593" s="0" t="str">
        <f aca="false">IF(ISNUMBER($O593),IF($O593&gt;=2,IF(COUNTIFS($D593:$D$2006,$D593,$E593:$E$2006,$E593)=1,ROW(),""),""),"")</f>
        <v/>
      </c>
    </row>
    <row r="594" customFormat="false" ht="15" hidden="false" customHeight="true" outlineLevel="0" collapsed="false">
      <c r="A594" s="13" t="str">
        <f aca="false">IF(AND($B594="",$D594="",$E594="",$F594=""),"",IF(OR($B594="",$D594="",$E594=""),"待补",IF($D594="公共区域","公",IF($D594="商铺","S",SUBSTITUTE($D594,"栋","")))&amp;"-"&amp;$E594&amp;"-"&amp;TEXT(MONTH($B594),"00")&amp;TEXT(DAY($B594),"00")&amp;IF(ISNUMBER($O594),IF($O594&gt;1,"-"&amp;TEXT($O594,"00"),""),"")))</f>
        <v/>
      </c>
      <c r="B594" s="14"/>
      <c r="C594" s="10"/>
      <c r="D594" s="10"/>
      <c r="E594" s="10"/>
      <c r="F594" s="16"/>
      <c r="G594" s="10"/>
      <c r="H594" s="10"/>
      <c r="I594" s="10"/>
      <c r="J594" s="10"/>
      <c r="K594" s="10"/>
      <c r="L594" s="10"/>
      <c r="M594" s="14"/>
      <c r="N594" s="17" t="str">
        <f aca="false">IF($B594="","",IF($L594="已完成",IF($M594="","",$M594-$B594),IF(设置!$B$6&lt;$B594,"",IF((设置!$B$6-$B594)&gt;=设置!$B$5,"超期"&amp;(设置!$B$6-$B594)&amp;"天","已等"&amp;(设置!$B$6-$B594)&amp;"天"))))</f>
        <v/>
      </c>
      <c r="O594" s="18" t="str">
        <f aca="false">IF(OR($D594="",$E594=""),"",COUNTIFS($D$7:$D594,$D594,$E$7:$E594,$E594))</f>
        <v/>
      </c>
      <c r="P594" s="16"/>
      <c r="Q594" s="19"/>
      <c r="R594" s="10"/>
      <c r="S594" s="16"/>
      <c r="T594" s="0" t="str">
        <f aca="false">IF(OR($D594="",单元查询!$B$3=""),"",IF($D594&lt;&gt;单元查询!$B$3,"",IF(OR(单元查询!$D$3="",$E594&amp;""=单元查询!$D$3&amp;""),IF(ISNUMBER($B594),$B594*10000,0)+ROW(),"")))</f>
        <v/>
      </c>
      <c r="U594" s="0" t="str">
        <f aca="false">IF(OR($B594="",$L594="已完成"),"",IF(ISNUMBER($B594),IF(设置!$B$6&lt;$B594,"",(设置!$B$6-$B594)*100000+ROW()),""))</f>
        <v/>
      </c>
      <c r="V594" s="0" t="str">
        <f aca="false">IF(ISNUMBER($O594),IF($O594&gt;=2,IF(COUNTIFS($D594:$D$2006,$D594,$E594:$E$2006,$E594)=1,ROW(),""),""),"")</f>
        <v/>
      </c>
    </row>
    <row r="595" customFormat="false" ht="15" hidden="false" customHeight="true" outlineLevel="0" collapsed="false">
      <c r="A595" s="13" t="str">
        <f aca="false">IF(AND($B595="",$D595="",$E595="",$F595=""),"",IF(OR($B595="",$D595="",$E595=""),"待补",IF($D595="公共区域","公",IF($D595="商铺","S",SUBSTITUTE($D595,"栋","")))&amp;"-"&amp;$E595&amp;"-"&amp;TEXT(MONTH($B595),"00")&amp;TEXT(DAY($B595),"00")&amp;IF(ISNUMBER($O595),IF($O595&gt;1,"-"&amp;TEXT($O595,"00"),""),"")))</f>
        <v/>
      </c>
      <c r="B595" s="14"/>
      <c r="C595" s="10"/>
      <c r="D595" s="10"/>
      <c r="E595" s="10"/>
      <c r="F595" s="16"/>
      <c r="G595" s="10"/>
      <c r="H595" s="10"/>
      <c r="I595" s="10"/>
      <c r="J595" s="10"/>
      <c r="K595" s="10"/>
      <c r="L595" s="10"/>
      <c r="M595" s="14"/>
      <c r="N595" s="17" t="str">
        <f aca="false">IF($B595="","",IF($L595="已完成",IF($M595="","",$M595-$B595),IF(设置!$B$6&lt;$B595,"",IF((设置!$B$6-$B595)&gt;=设置!$B$5,"超期"&amp;(设置!$B$6-$B595)&amp;"天","已等"&amp;(设置!$B$6-$B595)&amp;"天"))))</f>
        <v/>
      </c>
      <c r="O595" s="18" t="str">
        <f aca="false">IF(OR($D595="",$E595=""),"",COUNTIFS($D$7:$D595,$D595,$E$7:$E595,$E595))</f>
        <v/>
      </c>
      <c r="P595" s="16"/>
      <c r="Q595" s="19"/>
      <c r="R595" s="10"/>
      <c r="S595" s="16"/>
      <c r="T595" s="0" t="str">
        <f aca="false">IF(OR($D595="",单元查询!$B$3=""),"",IF($D595&lt;&gt;单元查询!$B$3,"",IF(OR(单元查询!$D$3="",$E595&amp;""=单元查询!$D$3&amp;""),IF(ISNUMBER($B595),$B595*10000,0)+ROW(),"")))</f>
        <v/>
      </c>
      <c r="U595" s="0" t="str">
        <f aca="false">IF(OR($B595="",$L595="已完成"),"",IF(ISNUMBER($B595),IF(设置!$B$6&lt;$B595,"",(设置!$B$6-$B595)*100000+ROW()),""))</f>
        <v/>
      </c>
      <c r="V595" s="0" t="str">
        <f aca="false">IF(ISNUMBER($O595),IF($O595&gt;=2,IF(COUNTIFS($D595:$D$2006,$D595,$E595:$E$2006,$E595)=1,ROW(),""),""),"")</f>
        <v/>
      </c>
    </row>
    <row r="596" customFormat="false" ht="15" hidden="false" customHeight="true" outlineLevel="0" collapsed="false">
      <c r="A596" s="13" t="str">
        <f aca="false">IF(AND($B596="",$D596="",$E596="",$F596=""),"",IF(OR($B596="",$D596="",$E596=""),"待补",IF($D596="公共区域","公",IF($D596="商铺","S",SUBSTITUTE($D596,"栋","")))&amp;"-"&amp;$E596&amp;"-"&amp;TEXT(MONTH($B596),"00")&amp;TEXT(DAY($B596),"00")&amp;IF(ISNUMBER($O596),IF($O596&gt;1,"-"&amp;TEXT($O596,"00"),""),"")))</f>
        <v/>
      </c>
      <c r="B596" s="14"/>
      <c r="C596" s="10"/>
      <c r="D596" s="10"/>
      <c r="E596" s="10"/>
      <c r="F596" s="16"/>
      <c r="G596" s="10"/>
      <c r="H596" s="10"/>
      <c r="I596" s="10"/>
      <c r="J596" s="10"/>
      <c r="K596" s="10"/>
      <c r="L596" s="10"/>
      <c r="M596" s="14"/>
      <c r="N596" s="17" t="str">
        <f aca="false">IF($B596="","",IF($L596="已完成",IF($M596="","",$M596-$B596),IF(设置!$B$6&lt;$B596,"",IF((设置!$B$6-$B596)&gt;=设置!$B$5,"超期"&amp;(设置!$B$6-$B596)&amp;"天","已等"&amp;(设置!$B$6-$B596)&amp;"天"))))</f>
        <v/>
      </c>
      <c r="O596" s="18" t="str">
        <f aca="false">IF(OR($D596="",$E596=""),"",COUNTIFS($D$7:$D596,$D596,$E$7:$E596,$E596))</f>
        <v/>
      </c>
      <c r="P596" s="16"/>
      <c r="Q596" s="19"/>
      <c r="R596" s="10"/>
      <c r="S596" s="16"/>
      <c r="T596" s="0" t="str">
        <f aca="false">IF(OR($D596="",单元查询!$B$3=""),"",IF($D596&lt;&gt;单元查询!$B$3,"",IF(OR(单元查询!$D$3="",$E596&amp;""=单元查询!$D$3&amp;""),IF(ISNUMBER($B596),$B596*10000,0)+ROW(),"")))</f>
        <v/>
      </c>
      <c r="U596" s="0" t="str">
        <f aca="false">IF(OR($B596="",$L596="已完成"),"",IF(ISNUMBER($B596),IF(设置!$B$6&lt;$B596,"",(设置!$B$6-$B596)*100000+ROW()),""))</f>
        <v/>
      </c>
      <c r="V596" s="0" t="str">
        <f aca="false">IF(ISNUMBER($O596),IF($O596&gt;=2,IF(COUNTIFS($D596:$D$2006,$D596,$E596:$E$2006,$E596)=1,ROW(),""),""),"")</f>
        <v/>
      </c>
    </row>
    <row r="597" customFormat="false" ht="15" hidden="false" customHeight="true" outlineLevel="0" collapsed="false">
      <c r="A597" s="13" t="str">
        <f aca="false">IF(AND($B597="",$D597="",$E597="",$F597=""),"",IF(OR($B597="",$D597="",$E597=""),"待补",IF($D597="公共区域","公",IF($D597="商铺","S",SUBSTITUTE($D597,"栋","")))&amp;"-"&amp;$E597&amp;"-"&amp;TEXT(MONTH($B597),"00")&amp;TEXT(DAY($B597),"00")&amp;IF(ISNUMBER($O597),IF($O597&gt;1,"-"&amp;TEXT($O597,"00"),""),"")))</f>
        <v/>
      </c>
      <c r="B597" s="14"/>
      <c r="C597" s="10"/>
      <c r="D597" s="10"/>
      <c r="E597" s="10"/>
      <c r="F597" s="16"/>
      <c r="G597" s="10"/>
      <c r="H597" s="10"/>
      <c r="I597" s="10"/>
      <c r="J597" s="10"/>
      <c r="K597" s="10"/>
      <c r="L597" s="10"/>
      <c r="M597" s="14"/>
      <c r="N597" s="17" t="str">
        <f aca="false">IF($B597="","",IF($L597="已完成",IF($M597="","",$M597-$B597),IF(设置!$B$6&lt;$B597,"",IF((设置!$B$6-$B597)&gt;=设置!$B$5,"超期"&amp;(设置!$B$6-$B597)&amp;"天","已等"&amp;(设置!$B$6-$B597)&amp;"天"))))</f>
        <v/>
      </c>
      <c r="O597" s="18" t="str">
        <f aca="false">IF(OR($D597="",$E597=""),"",COUNTIFS($D$7:$D597,$D597,$E$7:$E597,$E597))</f>
        <v/>
      </c>
      <c r="P597" s="16"/>
      <c r="Q597" s="19"/>
      <c r="R597" s="10"/>
      <c r="S597" s="16"/>
      <c r="T597" s="0" t="str">
        <f aca="false">IF(OR($D597="",单元查询!$B$3=""),"",IF($D597&lt;&gt;单元查询!$B$3,"",IF(OR(单元查询!$D$3="",$E597&amp;""=单元查询!$D$3&amp;""),IF(ISNUMBER($B597),$B597*10000,0)+ROW(),"")))</f>
        <v/>
      </c>
      <c r="U597" s="0" t="str">
        <f aca="false">IF(OR($B597="",$L597="已完成"),"",IF(ISNUMBER($B597),IF(设置!$B$6&lt;$B597,"",(设置!$B$6-$B597)*100000+ROW()),""))</f>
        <v/>
      </c>
      <c r="V597" s="0" t="str">
        <f aca="false">IF(ISNUMBER($O597),IF($O597&gt;=2,IF(COUNTIFS($D597:$D$2006,$D597,$E597:$E$2006,$E597)=1,ROW(),""),""),"")</f>
        <v/>
      </c>
    </row>
    <row r="598" customFormat="false" ht="15" hidden="false" customHeight="true" outlineLevel="0" collapsed="false">
      <c r="A598" s="13" t="str">
        <f aca="false">IF(AND($B598="",$D598="",$E598="",$F598=""),"",IF(OR($B598="",$D598="",$E598=""),"待补",IF($D598="公共区域","公",IF($D598="商铺","S",SUBSTITUTE($D598,"栋","")))&amp;"-"&amp;$E598&amp;"-"&amp;TEXT(MONTH($B598),"00")&amp;TEXT(DAY($B598),"00")&amp;IF(ISNUMBER($O598),IF($O598&gt;1,"-"&amp;TEXT($O598,"00"),""),"")))</f>
        <v/>
      </c>
      <c r="B598" s="14"/>
      <c r="C598" s="10"/>
      <c r="D598" s="10"/>
      <c r="E598" s="10"/>
      <c r="F598" s="16"/>
      <c r="G598" s="10"/>
      <c r="H598" s="10"/>
      <c r="I598" s="10"/>
      <c r="J598" s="10"/>
      <c r="K598" s="10"/>
      <c r="L598" s="10"/>
      <c r="M598" s="14"/>
      <c r="N598" s="17" t="str">
        <f aca="false">IF($B598="","",IF($L598="已完成",IF($M598="","",$M598-$B598),IF(设置!$B$6&lt;$B598,"",IF((设置!$B$6-$B598)&gt;=设置!$B$5,"超期"&amp;(设置!$B$6-$B598)&amp;"天","已等"&amp;(设置!$B$6-$B598)&amp;"天"))))</f>
        <v/>
      </c>
      <c r="O598" s="18" t="str">
        <f aca="false">IF(OR($D598="",$E598=""),"",COUNTIFS($D$7:$D598,$D598,$E$7:$E598,$E598))</f>
        <v/>
      </c>
      <c r="P598" s="16"/>
      <c r="Q598" s="19"/>
      <c r="R598" s="10"/>
      <c r="S598" s="16"/>
      <c r="T598" s="0" t="str">
        <f aca="false">IF(OR($D598="",单元查询!$B$3=""),"",IF($D598&lt;&gt;单元查询!$B$3,"",IF(OR(单元查询!$D$3="",$E598&amp;""=单元查询!$D$3&amp;""),IF(ISNUMBER($B598),$B598*10000,0)+ROW(),"")))</f>
        <v/>
      </c>
      <c r="U598" s="0" t="str">
        <f aca="false">IF(OR($B598="",$L598="已完成"),"",IF(ISNUMBER($B598),IF(设置!$B$6&lt;$B598,"",(设置!$B$6-$B598)*100000+ROW()),""))</f>
        <v/>
      </c>
      <c r="V598" s="0" t="str">
        <f aca="false">IF(ISNUMBER($O598),IF($O598&gt;=2,IF(COUNTIFS($D598:$D$2006,$D598,$E598:$E$2006,$E598)=1,ROW(),""),""),"")</f>
        <v/>
      </c>
    </row>
    <row r="599" customFormat="false" ht="15" hidden="false" customHeight="true" outlineLevel="0" collapsed="false">
      <c r="A599" s="13" t="str">
        <f aca="false">IF(AND($B599="",$D599="",$E599="",$F599=""),"",IF(OR($B599="",$D599="",$E599=""),"待补",IF($D599="公共区域","公",IF($D599="商铺","S",SUBSTITUTE($D599,"栋","")))&amp;"-"&amp;$E599&amp;"-"&amp;TEXT(MONTH($B599),"00")&amp;TEXT(DAY($B599),"00")&amp;IF(ISNUMBER($O599),IF($O599&gt;1,"-"&amp;TEXT($O599,"00"),""),"")))</f>
        <v/>
      </c>
      <c r="B599" s="14"/>
      <c r="C599" s="10"/>
      <c r="D599" s="10"/>
      <c r="E599" s="10"/>
      <c r="F599" s="16"/>
      <c r="G599" s="10"/>
      <c r="H599" s="10"/>
      <c r="I599" s="10"/>
      <c r="J599" s="10"/>
      <c r="K599" s="10"/>
      <c r="L599" s="10"/>
      <c r="M599" s="14"/>
      <c r="N599" s="17" t="str">
        <f aca="false">IF($B599="","",IF($L599="已完成",IF($M599="","",$M599-$B599),IF(设置!$B$6&lt;$B599,"",IF((设置!$B$6-$B599)&gt;=设置!$B$5,"超期"&amp;(设置!$B$6-$B599)&amp;"天","已等"&amp;(设置!$B$6-$B599)&amp;"天"))))</f>
        <v/>
      </c>
      <c r="O599" s="18" t="str">
        <f aca="false">IF(OR($D599="",$E599=""),"",COUNTIFS($D$7:$D599,$D599,$E$7:$E599,$E599))</f>
        <v/>
      </c>
      <c r="P599" s="16"/>
      <c r="Q599" s="19"/>
      <c r="R599" s="10"/>
      <c r="S599" s="16"/>
      <c r="T599" s="0" t="str">
        <f aca="false">IF(OR($D599="",单元查询!$B$3=""),"",IF($D599&lt;&gt;单元查询!$B$3,"",IF(OR(单元查询!$D$3="",$E599&amp;""=单元查询!$D$3&amp;""),IF(ISNUMBER($B599),$B599*10000,0)+ROW(),"")))</f>
        <v/>
      </c>
      <c r="U599" s="0" t="str">
        <f aca="false">IF(OR($B599="",$L599="已完成"),"",IF(ISNUMBER($B599),IF(设置!$B$6&lt;$B599,"",(设置!$B$6-$B599)*100000+ROW()),""))</f>
        <v/>
      </c>
      <c r="V599" s="0" t="str">
        <f aca="false">IF(ISNUMBER($O599),IF($O599&gt;=2,IF(COUNTIFS($D599:$D$2006,$D599,$E599:$E$2006,$E599)=1,ROW(),""),""),"")</f>
        <v/>
      </c>
    </row>
    <row r="600" customFormat="false" ht="15" hidden="false" customHeight="true" outlineLevel="0" collapsed="false">
      <c r="A600" s="13" t="str">
        <f aca="false">IF(AND($B600="",$D600="",$E600="",$F600=""),"",IF(OR($B600="",$D600="",$E600=""),"待补",IF($D600="公共区域","公",IF($D600="商铺","S",SUBSTITUTE($D600,"栋","")))&amp;"-"&amp;$E600&amp;"-"&amp;TEXT(MONTH($B600),"00")&amp;TEXT(DAY($B600),"00")&amp;IF(ISNUMBER($O600),IF($O600&gt;1,"-"&amp;TEXT($O600,"00"),""),"")))</f>
        <v/>
      </c>
      <c r="B600" s="14"/>
      <c r="C600" s="10"/>
      <c r="D600" s="10"/>
      <c r="E600" s="10"/>
      <c r="F600" s="16"/>
      <c r="G600" s="10"/>
      <c r="H600" s="10"/>
      <c r="I600" s="10"/>
      <c r="J600" s="10"/>
      <c r="K600" s="10"/>
      <c r="L600" s="10"/>
      <c r="M600" s="14"/>
      <c r="N600" s="17" t="str">
        <f aca="false">IF($B600="","",IF($L600="已完成",IF($M600="","",$M600-$B600),IF(设置!$B$6&lt;$B600,"",IF((设置!$B$6-$B600)&gt;=设置!$B$5,"超期"&amp;(设置!$B$6-$B600)&amp;"天","已等"&amp;(设置!$B$6-$B600)&amp;"天"))))</f>
        <v/>
      </c>
      <c r="O600" s="18" t="str">
        <f aca="false">IF(OR($D600="",$E600=""),"",COUNTIFS($D$7:$D600,$D600,$E$7:$E600,$E600))</f>
        <v/>
      </c>
      <c r="P600" s="16"/>
      <c r="Q600" s="19"/>
      <c r="R600" s="10"/>
      <c r="S600" s="16"/>
      <c r="T600" s="0" t="str">
        <f aca="false">IF(OR($D600="",单元查询!$B$3=""),"",IF($D600&lt;&gt;单元查询!$B$3,"",IF(OR(单元查询!$D$3="",$E600&amp;""=单元查询!$D$3&amp;""),IF(ISNUMBER($B600),$B600*10000,0)+ROW(),"")))</f>
        <v/>
      </c>
      <c r="U600" s="0" t="str">
        <f aca="false">IF(OR($B600="",$L600="已完成"),"",IF(ISNUMBER($B600),IF(设置!$B$6&lt;$B600,"",(设置!$B$6-$B600)*100000+ROW()),""))</f>
        <v/>
      </c>
      <c r="V600" s="0" t="str">
        <f aca="false">IF(ISNUMBER($O600),IF($O600&gt;=2,IF(COUNTIFS($D600:$D$2006,$D600,$E600:$E$2006,$E600)=1,ROW(),""),""),"")</f>
        <v/>
      </c>
    </row>
    <row r="601" customFormat="false" ht="15" hidden="false" customHeight="true" outlineLevel="0" collapsed="false">
      <c r="A601" s="13" t="str">
        <f aca="false">IF(AND($B601="",$D601="",$E601="",$F601=""),"",IF(OR($B601="",$D601="",$E601=""),"待补",IF($D601="公共区域","公",IF($D601="商铺","S",SUBSTITUTE($D601,"栋","")))&amp;"-"&amp;$E601&amp;"-"&amp;TEXT(MONTH($B601),"00")&amp;TEXT(DAY($B601),"00")&amp;IF(ISNUMBER($O601),IF($O601&gt;1,"-"&amp;TEXT($O601,"00"),""),"")))</f>
        <v/>
      </c>
      <c r="B601" s="14"/>
      <c r="C601" s="10"/>
      <c r="D601" s="10"/>
      <c r="E601" s="10"/>
      <c r="F601" s="16"/>
      <c r="G601" s="10"/>
      <c r="H601" s="10"/>
      <c r="I601" s="10"/>
      <c r="J601" s="10"/>
      <c r="K601" s="10"/>
      <c r="L601" s="10"/>
      <c r="M601" s="14"/>
      <c r="N601" s="17" t="str">
        <f aca="false">IF($B601="","",IF($L601="已完成",IF($M601="","",$M601-$B601),IF(设置!$B$6&lt;$B601,"",IF((设置!$B$6-$B601)&gt;=设置!$B$5,"超期"&amp;(设置!$B$6-$B601)&amp;"天","已等"&amp;(设置!$B$6-$B601)&amp;"天"))))</f>
        <v/>
      </c>
      <c r="O601" s="18" t="str">
        <f aca="false">IF(OR($D601="",$E601=""),"",COUNTIFS($D$7:$D601,$D601,$E$7:$E601,$E601))</f>
        <v/>
      </c>
      <c r="P601" s="16"/>
      <c r="Q601" s="19"/>
      <c r="R601" s="10"/>
      <c r="S601" s="16"/>
      <c r="T601" s="0" t="str">
        <f aca="false">IF(OR($D601="",单元查询!$B$3=""),"",IF($D601&lt;&gt;单元查询!$B$3,"",IF(OR(单元查询!$D$3="",$E601&amp;""=单元查询!$D$3&amp;""),IF(ISNUMBER($B601),$B601*10000,0)+ROW(),"")))</f>
        <v/>
      </c>
      <c r="U601" s="0" t="str">
        <f aca="false">IF(OR($B601="",$L601="已完成"),"",IF(ISNUMBER($B601),IF(设置!$B$6&lt;$B601,"",(设置!$B$6-$B601)*100000+ROW()),""))</f>
        <v/>
      </c>
      <c r="V601" s="0" t="str">
        <f aca="false">IF(ISNUMBER($O601),IF($O601&gt;=2,IF(COUNTIFS($D601:$D$2006,$D601,$E601:$E$2006,$E601)=1,ROW(),""),""),"")</f>
        <v/>
      </c>
    </row>
    <row r="602" customFormat="false" ht="15" hidden="false" customHeight="true" outlineLevel="0" collapsed="false">
      <c r="A602" s="13" t="str">
        <f aca="false">IF(AND($B602="",$D602="",$E602="",$F602=""),"",IF(OR($B602="",$D602="",$E602=""),"待补",IF($D602="公共区域","公",IF($D602="商铺","S",SUBSTITUTE($D602,"栋","")))&amp;"-"&amp;$E602&amp;"-"&amp;TEXT(MONTH($B602),"00")&amp;TEXT(DAY($B602),"00")&amp;IF(ISNUMBER($O602),IF($O602&gt;1,"-"&amp;TEXT($O602,"00"),""),"")))</f>
        <v/>
      </c>
      <c r="B602" s="14"/>
      <c r="C602" s="10"/>
      <c r="D602" s="10"/>
      <c r="E602" s="10"/>
      <c r="F602" s="16"/>
      <c r="G602" s="10"/>
      <c r="H602" s="10"/>
      <c r="I602" s="10"/>
      <c r="J602" s="10"/>
      <c r="K602" s="10"/>
      <c r="L602" s="10"/>
      <c r="M602" s="14"/>
      <c r="N602" s="17" t="str">
        <f aca="false">IF($B602="","",IF($L602="已完成",IF($M602="","",$M602-$B602),IF(设置!$B$6&lt;$B602,"",IF((设置!$B$6-$B602)&gt;=设置!$B$5,"超期"&amp;(设置!$B$6-$B602)&amp;"天","已等"&amp;(设置!$B$6-$B602)&amp;"天"))))</f>
        <v/>
      </c>
      <c r="O602" s="18" t="str">
        <f aca="false">IF(OR($D602="",$E602=""),"",COUNTIFS($D$7:$D602,$D602,$E$7:$E602,$E602))</f>
        <v/>
      </c>
      <c r="P602" s="16"/>
      <c r="Q602" s="19"/>
      <c r="R602" s="10"/>
      <c r="S602" s="16"/>
      <c r="T602" s="0" t="str">
        <f aca="false">IF(OR($D602="",单元查询!$B$3=""),"",IF($D602&lt;&gt;单元查询!$B$3,"",IF(OR(单元查询!$D$3="",$E602&amp;""=单元查询!$D$3&amp;""),IF(ISNUMBER($B602),$B602*10000,0)+ROW(),"")))</f>
        <v/>
      </c>
      <c r="U602" s="0" t="str">
        <f aca="false">IF(OR($B602="",$L602="已完成"),"",IF(ISNUMBER($B602),IF(设置!$B$6&lt;$B602,"",(设置!$B$6-$B602)*100000+ROW()),""))</f>
        <v/>
      </c>
      <c r="V602" s="0" t="str">
        <f aca="false">IF(ISNUMBER($O602),IF($O602&gt;=2,IF(COUNTIFS($D602:$D$2006,$D602,$E602:$E$2006,$E602)=1,ROW(),""),""),"")</f>
        <v/>
      </c>
    </row>
    <row r="603" customFormat="false" ht="15" hidden="false" customHeight="true" outlineLevel="0" collapsed="false">
      <c r="A603" s="13" t="str">
        <f aca="false">IF(AND($B603="",$D603="",$E603="",$F603=""),"",IF(OR($B603="",$D603="",$E603=""),"待补",IF($D603="公共区域","公",IF($D603="商铺","S",SUBSTITUTE($D603,"栋","")))&amp;"-"&amp;$E603&amp;"-"&amp;TEXT(MONTH($B603),"00")&amp;TEXT(DAY($B603),"00")&amp;IF(ISNUMBER($O603),IF($O603&gt;1,"-"&amp;TEXT($O603,"00"),""),"")))</f>
        <v/>
      </c>
      <c r="B603" s="14"/>
      <c r="C603" s="10"/>
      <c r="D603" s="10"/>
      <c r="E603" s="10"/>
      <c r="F603" s="16"/>
      <c r="G603" s="10"/>
      <c r="H603" s="10"/>
      <c r="I603" s="10"/>
      <c r="J603" s="10"/>
      <c r="K603" s="10"/>
      <c r="L603" s="10"/>
      <c r="M603" s="14"/>
      <c r="N603" s="17" t="str">
        <f aca="false">IF($B603="","",IF($L603="已完成",IF($M603="","",$M603-$B603),IF(设置!$B$6&lt;$B603,"",IF((设置!$B$6-$B603)&gt;=设置!$B$5,"超期"&amp;(设置!$B$6-$B603)&amp;"天","已等"&amp;(设置!$B$6-$B603)&amp;"天"))))</f>
        <v/>
      </c>
      <c r="O603" s="18" t="str">
        <f aca="false">IF(OR($D603="",$E603=""),"",COUNTIFS($D$7:$D603,$D603,$E$7:$E603,$E603))</f>
        <v/>
      </c>
      <c r="P603" s="16"/>
      <c r="Q603" s="19"/>
      <c r="R603" s="10"/>
      <c r="S603" s="16"/>
      <c r="T603" s="0" t="str">
        <f aca="false">IF(OR($D603="",单元查询!$B$3=""),"",IF($D603&lt;&gt;单元查询!$B$3,"",IF(OR(单元查询!$D$3="",$E603&amp;""=单元查询!$D$3&amp;""),IF(ISNUMBER($B603),$B603*10000,0)+ROW(),"")))</f>
        <v/>
      </c>
      <c r="U603" s="0" t="str">
        <f aca="false">IF(OR($B603="",$L603="已完成"),"",IF(ISNUMBER($B603),IF(设置!$B$6&lt;$B603,"",(设置!$B$6-$B603)*100000+ROW()),""))</f>
        <v/>
      </c>
      <c r="V603" s="0" t="str">
        <f aca="false">IF(ISNUMBER($O603),IF($O603&gt;=2,IF(COUNTIFS($D603:$D$2006,$D603,$E603:$E$2006,$E603)=1,ROW(),""),""),"")</f>
        <v/>
      </c>
    </row>
    <row r="604" customFormat="false" ht="15" hidden="false" customHeight="true" outlineLevel="0" collapsed="false">
      <c r="A604" s="13" t="str">
        <f aca="false">IF(AND($B604="",$D604="",$E604="",$F604=""),"",IF(OR($B604="",$D604="",$E604=""),"待补",IF($D604="公共区域","公",IF($D604="商铺","S",SUBSTITUTE($D604,"栋","")))&amp;"-"&amp;$E604&amp;"-"&amp;TEXT(MONTH($B604),"00")&amp;TEXT(DAY($B604),"00")&amp;IF(ISNUMBER($O604),IF($O604&gt;1,"-"&amp;TEXT($O604,"00"),""),"")))</f>
        <v/>
      </c>
      <c r="B604" s="14"/>
      <c r="C604" s="10"/>
      <c r="D604" s="10"/>
      <c r="E604" s="10"/>
      <c r="F604" s="16"/>
      <c r="G604" s="10"/>
      <c r="H604" s="10"/>
      <c r="I604" s="10"/>
      <c r="J604" s="10"/>
      <c r="K604" s="10"/>
      <c r="L604" s="10"/>
      <c r="M604" s="14"/>
      <c r="N604" s="17" t="str">
        <f aca="false">IF($B604="","",IF($L604="已完成",IF($M604="","",$M604-$B604),IF(设置!$B$6&lt;$B604,"",IF((设置!$B$6-$B604)&gt;=设置!$B$5,"超期"&amp;(设置!$B$6-$B604)&amp;"天","已等"&amp;(设置!$B$6-$B604)&amp;"天"))))</f>
        <v/>
      </c>
      <c r="O604" s="18" t="str">
        <f aca="false">IF(OR($D604="",$E604=""),"",COUNTIFS($D$7:$D604,$D604,$E$7:$E604,$E604))</f>
        <v/>
      </c>
      <c r="P604" s="16"/>
      <c r="Q604" s="19"/>
      <c r="R604" s="10"/>
      <c r="S604" s="16"/>
      <c r="T604" s="0" t="str">
        <f aca="false">IF(OR($D604="",单元查询!$B$3=""),"",IF($D604&lt;&gt;单元查询!$B$3,"",IF(OR(单元查询!$D$3="",$E604&amp;""=单元查询!$D$3&amp;""),IF(ISNUMBER($B604),$B604*10000,0)+ROW(),"")))</f>
        <v/>
      </c>
      <c r="U604" s="0" t="str">
        <f aca="false">IF(OR($B604="",$L604="已完成"),"",IF(ISNUMBER($B604),IF(设置!$B$6&lt;$B604,"",(设置!$B$6-$B604)*100000+ROW()),""))</f>
        <v/>
      </c>
      <c r="V604" s="0" t="str">
        <f aca="false">IF(ISNUMBER($O604),IF($O604&gt;=2,IF(COUNTIFS($D604:$D$2006,$D604,$E604:$E$2006,$E604)=1,ROW(),""),""),"")</f>
        <v/>
      </c>
    </row>
    <row r="605" customFormat="false" ht="15" hidden="false" customHeight="true" outlineLevel="0" collapsed="false">
      <c r="A605" s="13" t="str">
        <f aca="false">IF(AND($B605="",$D605="",$E605="",$F605=""),"",IF(OR($B605="",$D605="",$E605=""),"待补",IF($D605="公共区域","公",IF($D605="商铺","S",SUBSTITUTE($D605,"栋","")))&amp;"-"&amp;$E605&amp;"-"&amp;TEXT(MONTH($B605),"00")&amp;TEXT(DAY($B605),"00")&amp;IF(ISNUMBER($O605),IF($O605&gt;1,"-"&amp;TEXT($O605,"00"),""),"")))</f>
        <v/>
      </c>
      <c r="B605" s="14"/>
      <c r="C605" s="10"/>
      <c r="D605" s="10"/>
      <c r="E605" s="10"/>
      <c r="F605" s="16"/>
      <c r="G605" s="10"/>
      <c r="H605" s="10"/>
      <c r="I605" s="10"/>
      <c r="J605" s="10"/>
      <c r="K605" s="10"/>
      <c r="L605" s="10"/>
      <c r="M605" s="14"/>
      <c r="N605" s="17" t="str">
        <f aca="false">IF($B605="","",IF($L605="已完成",IF($M605="","",$M605-$B605),IF(设置!$B$6&lt;$B605,"",IF((设置!$B$6-$B605)&gt;=设置!$B$5,"超期"&amp;(设置!$B$6-$B605)&amp;"天","已等"&amp;(设置!$B$6-$B605)&amp;"天"))))</f>
        <v/>
      </c>
      <c r="O605" s="18" t="str">
        <f aca="false">IF(OR($D605="",$E605=""),"",COUNTIFS($D$7:$D605,$D605,$E$7:$E605,$E605))</f>
        <v/>
      </c>
      <c r="P605" s="16"/>
      <c r="Q605" s="19"/>
      <c r="R605" s="10"/>
      <c r="S605" s="16"/>
      <c r="T605" s="0" t="str">
        <f aca="false">IF(OR($D605="",单元查询!$B$3=""),"",IF($D605&lt;&gt;单元查询!$B$3,"",IF(OR(单元查询!$D$3="",$E605&amp;""=单元查询!$D$3&amp;""),IF(ISNUMBER($B605),$B605*10000,0)+ROW(),"")))</f>
        <v/>
      </c>
      <c r="U605" s="0" t="str">
        <f aca="false">IF(OR($B605="",$L605="已完成"),"",IF(ISNUMBER($B605),IF(设置!$B$6&lt;$B605,"",(设置!$B$6-$B605)*100000+ROW()),""))</f>
        <v/>
      </c>
      <c r="V605" s="0" t="str">
        <f aca="false">IF(ISNUMBER($O605),IF($O605&gt;=2,IF(COUNTIFS($D605:$D$2006,$D605,$E605:$E$2006,$E605)=1,ROW(),""),""),"")</f>
        <v/>
      </c>
    </row>
    <row r="606" customFormat="false" ht="15" hidden="false" customHeight="true" outlineLevel="0" collapsed="false">
      <c r="A606" s="13" t="str">
        <f aca="false">IF(AND($B606="",$D606="",$E606="",$F606=""),"",IF(OR($B606="",$D606="",$E606=""),"待补",IF($D606="公共区域","公",IF($D606="商铺","S",SUBSTITUTE($D606,"栋","")))&amp;"-"&amp;$E606&amp;"-"&amp;TEXT(MONTH($B606),"00")&amp;TEXT(DAY($B606),"00")&amp;IF(ISNUMBER($O606),IF($O606&gt;1,"-"&amp;TEXT($O606,"00"),""),"")))</f>
        <v/>
      </c>
      <c r="B606" s="14"/>
      <c r="C606" s="10"/>
      <c r="D606" s="10"/>
      <c r="E606" s="10"/>
      <c r="F606" s="16"/>
      <c r="G606" s="10"/>
      <c r="H606" s="10"/>
      <c r="I606" s="10"/>
      <c r="J606" s="10"/>
      <c r="K606" s="10"/>
      <c r="L606" s="10"/>
      <c r="M606" s="14"/>
      <c r="N606" s="17" t="str">
        <f aca="false">IF($B606="","",IF($L606="已完成",IF($M606="","",$M606-$B606),IF(设置!$B$6&lt;$B606,"",IF((设置!$B$6-$B606)&gt;=设置!$B$5,"超期"&amp;(设置!$B$6-$B606)&amp;"天","已等"&amp;(设置!$B$6-$B606)&amp;"天"))))</f>
        <v/>
      </c>
      <c r="O606" s="18" t="str">
        <f aca="false">IF(OR($D606="",$E606=""),"",COUNTIFS($D$7:$D606,$D606,$E$7:$E606,$E606))</f>
        <v/>
      </c>
      <c r="P606" s="16"/>
      <c r="Q606" s="19"/>
      <c r="R606" s="10"/>
      <c r="S606" s="16"/>
      <c r="T606" s="0" t="str">
        <f aca="false">IF(OR($D606="",单元查询!$B$3=""),"",IF($D606&lt;&gt;单元查询!$B$3,"",IF(OR(单元查询!$D$3="",$E606&amp;""=单元查询!$D$3&amp;""),IF(ISNUMBER($B606),$B606*10000,0)+ROW(),"")))</f>
        <v/>
      </c>
      <c r="U606" s="0" t="str">
        <f aca="false">IF(OR($B606="",$L606="已完成"),"",IF(ISNUMBER($B606),IF(设置!$B$6&lt;$B606,"",(设置!$B$6-$B606)*100000+ROW()),""))</f>
        <v/>
      </c>
      <c r="V606" s="0" t="str">
        <f aca="false">IF(ISNUMBER($O606),IF($O606&gt;=2,IF(COUNTIFS($D606:$D$2006,$D606,$E606:$E$2006,$E606)=1,ROW(),""),""),"")</f>
        <v/>
      </c>
    </row>
    <row r="607" customFormat="false" ht="15" hidden="false" customHeight="true" outlineLevel="0" collapsed="false">
      <c r="A607" s="13" t="str">
        <f aca="false">IF(AND($B607="",$D607="",$E607="",$F607=""),"",IF(OR($B607="",$D607="",$E607=""),"待补",IF($D607="公共区域","公",IF($D607="商铺","S",SUBSTITUTE($D607,"栋","")))&amp;"-"&amp;$E607&amp;"-"&amp;TEXT(MONTH($B607),"00")&amp;TEXT(DAY($B607),"00")&amp;IF(ISNUMBER($O607),IF($O607&gt;1,"-"&amp;TEXT($O607,"00"),""),"")))</f>
        <v/>
      </c>
      <c r="B607" s="14"/>
      <c r="C607" s="10"/>
      <c r="D607" s="10"/>
      <c r="E607" s="10"/>
      <c r="F607" s="16"/>
      <c r="G607" s="10"/>
      <c r="H607" s="10"/>
      <c r="I607" s="10"/>
      <c r="J607" s="10"/>
      <c r="K607" s="10"/>
      <c r="L607" s="10"/>
      <c r="M607" s="14"/>
      <c r="N607" s="17" t="str">
        <f aca="false">IF($B607="","",IF($L607="已完成",IF($M607="","",$M607-$B607),IF(设置!$B$6&lt;$B607,"",IF((设置!$B$6-$B607)&gt;=设置!$B$5,"超期"&amp;(设置!$B$6-$B607)&amp;"天","已等"&amp;(设置!$B$6-$B607)&amp;"天"))))</f>
        <v/>
      </c>
      <c r="O607" s="18" t="str">
        <f aca="false">IF(OR($D607="",$E607=""),"",COUNTIFS($D$7:$D607,$D607,$E$7:$E607,$E607))</f>
        <v/>
      </c>
      <c r="P607" s="16"/>
      <c r="Q607" s="19"/>
      <c r="R607" s="10"/>
      <c r="S607" s="16"/>
      <c r="T607" s="0" t="str">
        <f aca="false">IF(OR($D607="",单元查询!$B$3=""),"",IF($D607&lt;&gt;单元查询!$B$3,"",IF(OR(单元查询!$D$3="",$E607&amp;""=单元查询!$D$3&amp;""),IF(ISNUMBER($B607),$B607*10000,0)+ROW(),"")))</f>
        <v/>
      </c>
      <c r="U607" s="0" t="str">
        <f aca="false">IF(OR($B607="",$L607="已完成"),"",IF(ISNUMBER($B607),IF(设置!$B$6&lt;$B607,"",(设置!$B$6-$B607)*100000+ROW()),""))</f>
        <v/>
      </c>
      <c r="V607" s="0" t="str">
        <f aca="false">IF(ISNUMBER($O607),IF($O607&gt;=2,IF(COUNTIFS($D607:$D$2006,$D607,$E607:$E$2006,$E607)=1,ROW(),""),""),"")</f>
        <v/>
      </c>
    </row>
    <row r="608" customFormat="false" ht="15" hidden="false" customHeight="true" outlineLevel="0" collapsed="false">
      <c r="A608" s="13" t="str">
        <f aca="false">IF(AND($B608="",$D608="",$E608="",$F608=""),"",IF(OR($B608="",$D608="",$E608=""),"待补",IF($D608="公共区域","公",IF($D608="商铺","S",SUBSTITUTE($D608,"栋","")))&amp;"-"&amp;$E608&amp;"-"&amp;TEXT(MONTH($B608),"00")&amp;TEXT(DAY($B608),"00")&amp;IF(ISNUMBER($O608),IF($O608&gt;1,"-"&amp;TEXT($O608,"00"),""),"")))</f>
        <v/>
      </c>
      <c r="B608" s="14"/>
      <c r="C608" s="10"/>
      <c r="D608" s="10"/>
      <c r="E608" s="10"/>
      <c r="F608" s="16"/>
      <c r="G608" s="10"/>
      <c r="H608" s="10"/>
      <c r="I608" s="10"/>
      <c r="J608" s="10"/>
      <c r="K608" s="10"/>
      <c r="L608" s="10"/>
      <c r="M608" s="14"/>
      <c r="N608" s="17" t="str">
        <f aca="false">IF($B608="","",IF($L608="已完成",IF($M608="","",$M608-$B608),IF(设置!$B$6&lt;$B608,"",IF((设置!$B$6-$B608)&gt;=设置!$B$5,"超期"&amp;(设置!$B$6-$B608)&amp;"天","已等"&amp;(设置!$B$6-$B608)&amp;"天"))))</f>
        <v/>
      </c>
      <c r="O608" s="18" t="str">
        <f aca="false">IF(OR($D608="",$E608=""),"",COUNTIFS($D$7:$D608,$D608,$E$7:$E608,$E608))</f>
        <v/>
      </c>
      <c r="P608" s="16"/>
      <c r="Q608" s="19"/>
      <c r="R608" s="10"/>
      <c r="S608" s="16"/>
      <c r="T608" s="0" t="str">
        <f aca="false">IF(OR($D608="",单元查询!$B$3=""),"",IF($D608&lt;&gt;单元查询!$B$3,"",IF(OR(单元查询!$D$3="",$E608&amp;""=单元查询!$D$3&amp;""),IF(ISNUMBER($B608),$B608*10000,0)+ROW(),"")))</f>
        <v/>
      </c>
      <c r="U608" s="0" t="str">
        <f aca="false">IF(OR($B608="",$L608="已完成"),"",IF(ISNUMBER($B608),IF(设置!$B$6&lt;$B608,"",(设置!$B$6-$B608)*100000+ROW()),""))</f>
        <v/>
      </c>
      <c r="V608" s="0" t="str">
        <f aca="false">IF(ISNUMBER($O608),IF($O608&gt;=2,IF(COUNTIFS($D608:$D$2006,$D608,$E608:$E$2006,$E608)=1,ROW(),""),""),"")</f>
        <v/>
      </c>
    </row>
    <row r="609" customFormat="false" ht="15" hidden="false" customHeight="true" outlineLevel="0" collapsed="false">
      <c r="A609" s="13" t="str">
        <f aca="false">IF(AND($B609="",$D609="",$E609="",$F609=""),"",IF(OR($B609="",$D609="",$E609=""),"待补",IF($D609="公共区域","公",IF($D609="商铺","S",SUBSTITUTE($D609,"栋","")))&amp;"-"&amp;$E609&amp;"-"&amp;TEXT(MONTH($B609),"00")&amp;TEXT(DAY($B609),"00")&amp;IF(ISNUMBER($O609),IF($O609&gt;1,"-"&amp;TEXT($O609,"00"),""),"")))</f>
        <v/>
      </c>
      <c r="B609" s="14"/>
      <c r="C609" s="10"/>
      <c r="D609" s="10"/>
      <c r="E609" s="10"/>
      <c r="F609" s="16"/>
      <c r="G609" s="10"/>
      <c r="H609" s="10"/>
      <c r="I609" s="10"/>
      <c r="J609" s="10"/>
      <c r="K609" s="10"/>
      <c r="L609" s="10"/>
      <c r="M609" s="14"/>
      <c r="N609" s="17" t="str">
        <f aca="false">IF($B609="","",IF($L609="已完成",IF($M609="","",$M609-$B609),IF(设置!$B$6&lt;$B609,"",IF((设置!$B$6-$B609)&gt;=设置!$B$5,"超期"&amp;(设置!$B$6-$B609)&amp;"天","已等"&amp;(设置!$B$6-$B609)&amp;"天"))))</f>
        <v/>
      </c>
      <c r="O609" s="18" t="str">
        <f aca="false">IF(OR($D609="",$E609=""),"",COUNTIFS($D$7:$D609,$D609,$E$7:$E609,$E609))</f>
        <v/>
      </c>
      <c r="P609" s="16"/>
      <c r="Q609" s="19"/>
      <c r="R609" s="10"/>
      <c r="S609" s="16"/>
      <c r="T609" s="0" t="str">
        <f aca="false">IF(OR($D609="",单元查询!$B$3=""),"",IF($D609&lt;&gt;单元查询!$B$3,"",IF(OR(单元查询!$D$3="",$E609&amp;""=单元查询!$D$3&amp;""),IF(ISNUMBER($B609),$B609*10000,0)+ROW(),"")))</f>
        <v/>
      </c>
      <c r="U609" s="0" t="str">
        <f aca="false">IF(OR($B609="",$L609="已完成"),"",IF(ISNUMBER($B609),IF(设置!$B$6&lt;$B609,"",(设置!$B$6-$B609)*100000+ROW()),""))</f>
        <v/>
      </c>
      <c r="V609" s="0" t="str">
        <f aca="false">IF(ISNUMBER($O609),IF($O609&gt;=2,IF(COUNTIFS($D609:$D$2006,$D609,$E609:$E$2006,$E609)=1,ROW(),""),""),"")</f>
        <v/>
      </c>
    </row>
    <row r="610" customFormat="false" ht="15" hidden="false" customHeight="true" outlineLevel="0" collapsed="false">
      <c r="A610" s="13" t="str">
        <f aca="false">IF(AND($B610="",$D610="",$E610="",$F610=""),"",IF(OR($B610="",$D610="",$E610=""),"待补",IF($D610="公共区域","公",IF($D610="商铺","S",SUBSTITUTE($D610,"栋","")))&amp;"-"&amp;$E610&amp;"-"&amp;TEXT(MONTH($B610),"00")&amp;TEXT(DAY($B610),"00")&amp;IF(ISNUMBER($O610),IF($O610&gt;1,"-"&amp;TEXT($O610,"00"),""),"")))</f>
        <v/>
      </c>
      <c r="B610" s="14"/>
      <c r="C610" s="10"/>
      <c r="D610" s="10"/>
      <c r="E610" s="10"/>
      <c r="F610" s="16"/>
      <c r="G610" s="10"/>
      <c r="H610" s="10"/>
      <c r="I610" s="10"/>
      <c r="J610" s="10"/>
      <c r="K610" s="10"/>
      <c r="L610" s="10"/>
      <c r="M610" s="14"/>
      <c r="N610" s="17" t="str">
        <f aca="false">IF($B610="","",IF($L610="已完成",IF($M610="","",$M610-$B610),IF(设置!$B$6&lt;$B610,"",IF((设置!$B$6-$B610)&gt;=设置!$B$5,"超期"&amp;(设置!$B$6-$B610)&amp;"天","已等"&amp;(设置!$B$6-$B610)&amp;"天"))))</f>
        <v/>
      </c>
      <c r="O610" s="18" t="str">
        <f aca="false">IF(OR($D610="",$E610=""),"",COUNTIFS($D$7:$D610,$D610,$E$7:$E610,$E610))</f>
        <v/>
      </c>
      <c r="P610" s="16"/>
      <c r="Q610" s="19"/>
      <c r="R610" s="10"/>
      <c r="S610" s="16"/>
      <c r="T610" s="0" t="str">
        <f aca="false">IF(OR($D610="",单元查询!$B$3=""),"",IF($D610&lt;&gt;单元查询!$B$3,"",IF(OR(单元查询!$D$3="",$E610&amp;""=单元查询!$D$3&amp;""),IF(ISNUMBER($B610),$B610*10000,0)+ROW(),"")))</f>
        <v/>
      </c>
      <c r="U610" s="0" t="str">
        <f aca="false">IF(OR($B610="",$L610="已完成"),"",IF(ISNUMBER($B610),IF(设置!$B$6&lt;$B610,"",(设置!$B$6-$B610)*100000+ROW()),""))</f>
        <v/>
      </c>
      <c r="V610" s="0" t="str">
        <f aca="false">IF(ISNUMBER($O610),IF($O610&gt;=2,IF(COUNTIFS($D610:$D$2006,$D610,$E610:$E$2006,$E610)=1,ROW(),""),""),"")</f>
        <v/>
      </c>
    </row>
    <row r="611" customFormat="false" ht="15" hidden="false" customHeight="true" outlineLevel="0" collapsed="false">
      <c r="A611" s="13" t="str">
        <f aca="false">IF(AND($B611="",$D611="",$E611="",$F611=""),"",IF(OR($B611="",$D611="",$E611=""),"待补",IF($D611="公共区域","公",IF($D611="商铺","S",SUBSTITUTE($D611,"栋","")))&amp;"-"&amp;$E611&amp;"-"&amp;TEXT(MONTH($B611),"00")&amp;TEXT(DAY($B611),"00")&amp;IF(ISNUMBER($O611),IF($O611&gt;1,"-"&amp;TEXT($O611,"00"),""),"")))</f>
        <v/>
      </c>
      <c r="B611" s="14"/>
      <c r="C611" s="10"/>
      <c r="D611" s="10"/>
      <c r="E611" s="10"/>
      <c r="F611" s="16"/>
      <c r="G611" s="10"/>
      <c r="H611" s="10"/>
      <c r="I611" s="10"/>
      <c r="J611" s="10"/>
      <c r="K611" s="10"/>
      <c r="L611" s="10"/>
      <c r="M611" s="14"/>
      <c r="N611" s="17" t="str">
        <f aca="false">IF($B611="","",IF($L611="已完成",IF($M611="","",$M611-$B611),IF(设置!$B$6&lt;$B611,"",IF((设置!$B$6-$B611)&gt;=设置!$B$5,"超期"&amp;(设置!$B$6-$B611)&amp;"天","已等"&amp;(设置!$B$6-$B611)&amp;"天"))))</f>
        <v/>
      </c>
      <c r="O611" s="18" t="str">
        <f aca="false">IF(OR($D611="",$E611=""),"",COUNTIFS($D$7:$D611,$D611,$E$7:$E611,$E611))</f>
        <v/>
      </c>
      <c r="P611" s="16"/>
      <c r="Q611" s="19"/>
      <c r="R611" s="10"/>
      <c r="S611" s="16"/>
      <c r="T611" s="0" t="str">
        <f aca="false">IF(OR($D611="",单元查询!$B$3=""),"",IF($D611&lt;&gt;单元查询!$B$3,"",IF(OR(单元查询!$D$3="",$E611&amp;""=单元查询!$D$3&amp;""),IF(ISNUMBER($B611),$B611*10000,0)+ROW(),"")))</f>
        <v/>
      </c>
      <c r="U611" s="0" t="str">
        <f aca="false">IF(OR($B611="",$L611="已完成"),"",IF(ISNUMBER($B611),IF(设置!$B$6&lt;$B611,"",(设置!$B$6-$B611)*100000+ROW()),""))</f>
        <v/>
      </c>
      <c r="V611" s="0" t="str">
        <f aca="false">IF(ISNUMBER($O611),IF($O611&gt;=2,IF(COUNTIFS($D611:$D$2006,$D611,$E611:$E$2006,$E611)=1,ROW(),""),""),"")</f>
        <v/>
      </c>
    </row>
    <row r="612" customFormat="false" ht="15" hidden="false" customHeight="true" outlineLevel="0" collapsed="false">
      <c r="A612" s="13" t="str">
        <f aca="false">IF(AND($B612="",$D612="",$E612="",$F612=""),"",IF(OR($B612="",$D612="",$E612=""),"待补",IF($D612="公共区域","公",IF($D612="商铺","S",SUBSTITUTE($D612,"栋","")))&amp;"-"&amp;$E612&amp;"-"&amp;TEXT(MONTH($B612),"00")&amp;TEXT(DAY($B612),"00")&amp;IF(ISNUMBER($O612),IF($O612&gt;1,"-"&amp;TEXT($O612,"00"),""),"")))</f>
        <v/>
      </c>
      <c r="B612" s="14"/>
      <c r="C612" s="10"/>
      <c r="D612" s="10"/>
      <c r="E612" s="10"/>
      <c r="F612" s="16"/>
      <c r="G612" s="10"/>
      <c r="H612" s="10"/>
      <c r="I612" s="10"/>
      <c r="J612" s="10"/>
      <c r="K612" s="10"/>
      <c r="L612" s="10"/>
      <c r="M612" s="14"/>
      <c r="N612" s="17" t="str">
        <f aca="false">IF($B612="","",IF($L612="已完成",IF($M612="","",$M612-$B612),IF(设置!$B$6&lt;$B612,"",IF((设置!$B$6-$B612)&gt;=设置!$B$5,"超期"&amp;(设置!$B$6-$B612)&amp;"天","已等"&amp;(设置!$B$6-$B612)&amp;"天"))))</f>
        <v/>
      </c>
      <c r="O612" s="18" t="str">
        <f aca="false">IF(OR($D612="",$E612=""),"",COUNTIFS($D$7:$D612,$D612,$E$7:$E612,$E612))</f>
        <v/>
      </c>
      <c r="P612" s="16"/>
      <c r="Q612" s="19"/>
      <c r="R612" s="10"/>
      <c r="S612" s="16"/>
      <c r="T612" s="0" t="str">
        <f aca="false">IF(OR($D612="",单元查询!$B$3=""),"",IF($D612&lt;&gt;单元查询!$B$3,"",IF(OR(单元查询!$D$3="",$E612&amp;""=单元查询!$D$3&amp;""),IF(ISNUMBER($B612),$B612*10000,0)+ROW(),"")))</f>
        <v/>
      </c>
      <c r="U612" s="0" t="str">
        <f aca="false">IF(OR($B612="",$L612="已完成"),"",IF(ISNUMBER($B612),IF(设置!$B$6&lt;$B612,"",(设置!$B$6-$B612)*100000+ROW()),""))</f>
        <v/>
      </c>
      <c r="V612" s="0" t="str">
        <f aca="false">IF(ISNUMBER($O612),IF($O612&gt;=2,IF(COUNTIFS($D612:$D$2006,$D612,$E612:$E$2006,$E612)=1,ROW(),""),""),"")</f>
        <v/>
      </c>
    </row>
    <row r="613" customFormat="false" ht="15" hidden="false" customHeight="true" outlineLevel="0" collapsed="false">
      <c r="A613" s="13" t="str">
        <f aca="false">IF(AND($B613="",$D613="",$E613="",$F613=""),"",IF(OR($B613="",$D613="",$E613=""),"待补",IF($D613="公共区域","公",IF($D613="商铺","S",SUBSTITUTE($D613,"栋","")))&amp;"-"&amp;$E613&amp;"-"&amp;TEXT(MONTH($B613),"00")&amp;TEXT(DAY($B613),"00")&amp;IF(ISNUMBER($O613),IF($O613&gt;1,"-"&amp;TEXT($O613,"00"),""),"")))</f>
        <v/>
      </c>
      <c r="B613" s="14"/>
      <c r="C613" s="10"/>
      <c r="D613" s="10"/>
      <c r="E613" s="10"/>
      <c r="F613" s="16"/>
      <c r="G613" s="10"/>
      <c r="H613" s="10"/>
      <c r="I613" s="10"/>
      <c r="J613" s="10"/>
      <c r="K613" s="10"/>
      <c r="L613" s="10"/>
      <c r="M613" s="14"/>
      <c r="N613" s="17" t="str">
        <f aca="false">IF($B613="","",IF($L613="已完成",IF($M613="","",$M613-$B613),IF(设置!$B$6&lt;$B613,"",IF((设置!$B$6-$B613)&gt;=设置!$B$5,"超期"&amp;(设置!$B$6-$B613)&amp;"天","已等"&amp;(设置!$B$6-$B613)&amp;"天"))))</f>
        <v/>
      </c>
      <c r="O613" s="18" t="str">
        <f aca="false">IF(OR($D613="",$E613=""),"",COUNTIFS($D$7:$D613,$D613,$E$7:$E613,$E613))</f>
        <v/>
      </c>
      <c r="P613" s="16"/>
      <c r="Q613" s="19"/>
      <c r="R613" s="10"/>
      <c r="S613" s="16"/>
      <c r="T613" s="0" t="str">
        <f aca="false">IF(OR($D613="",单元查询!$B$3=""),"",IF($D613&lt;&gt;单元查询!$B$3,"",IF(OR(单元查询!$D$3="",$E613&amp;""=单元查询!$D$3&amp;""),IF(ISNUMBER($B613),$B613*10000,0)+ROW(),"")))</f>
        <v/>
      </c>
      <c r="U613" s="0" t="str">
        <f aca="false">IF(OR($B613="",$L613="已完成"),"",IF(ISNUMBER($B613),IF(设置!$B$6&lt;$B613,"",(设置!$B$6-$B613)*100000+ROW()),""))</f>
        <v/>
      </c>
      <c r="V613" s="0" t="str">
        <f aca="false">IF(ISNUMBER($O613),IF($O613&gt;=2,IF(COUNTIFS($D613:$D$2006,$D613,$E613:$E$2006,$E613)=1,ROW(),""),""),"")</f>
        <v/>
      </c>
    </row>
    <row r="614" customFormat="false" ht="15" hidden="false" customHeight="true" outlineLevel="0" collapsed="false">
      <c r="A614" s="13" t="str">
        <f aca="false">IF(AND($B614="",$D614="",$E614="",$F614=""),"",IF(OR($B614="",$D614="",$E614=""),"待补",IF($D614="公共区域","公",IF($D614="商铺","S",SUBSTITUTE($D614,"栋","")))&amp;"-"&amp;$E614&amp;"-"&amp;TEXT(MONTH($B614),"00")&amp;TEXT(DAY($B614),"00")&amp;IF(ISNUMBER($O614),IF($O614&gt;1,"-"&amp;TEXT($O614,"00"),""),"")))</f>
        <v/>
      </c>
      <c r="B614" s="14"/>
      <c r="C614" s="10"/>
      <c r="D614" s="10"/>
      <c r="E614" s="10"/>
      <c r="F614" s="16"/>
      <c r="G614" s="10"/>
      <c r="H614" s="10"/>
      <c r="I614" s="10"/>
      <c r="J614" s="10"/>
      <c r="K614" s="10"/>
      <c r="L614" s="10"/>
      <c r="M614" s="14"/>
      <c r="N614" s="17" t="str">
        <f aca="false">IF($B614="","",IF($L614="已完成",IF($M614="","",$M614-$B614),IF(设置!$B$6&lt;$B614,"",IF((设置!$B$6-$B614)&gt;=设置!$B$5,"超期"&amp;(设置!$B$6-$B614)&amp;"天","已等"&amp;(设置!$B$6-$B614)&amp;"天"))))</f>
        <v/>
      </c>
      <c r="O614" s="18" t="str">
        <f aca="false">IF(OR($D614="",$E614=""),"",COUNTIFS($D$7:$D614,$D614,$E$7:$E614,$E614))</f>
        <v/>
      </c>
      <c r="P614" s="16"/>
      <c r="Q614" s="19"/>
      <c r="R614" s="10"/>
      <c r="S614" s="16"/>
      <c r="T614" s="0" t="str">
        <f aca="false">IF(OR($D614="",单元查询!$B$3=""),"",IF($D614&lt;&gt;单元查询!$B$3,"",IF(OR(单元查询!$D$3="",$E614&amp;""=单元查询!$D$3&amp;""),IF(ISNUMBER($B614),$B614*10000,0)+ROW(),"")))</f>
        <v/>
      </c>
      <c r="U614" s="0" t="str">
        <f aca="false">IF(OR($B614="",$L614="已完成"),"",IF(ISNUMBER($B614),IF(设置!$B$6&lt;$B614,"",(设置!$B$6-$B614)*100000+ROW()),""))</f>
        <v/>
      </c>
      <c r="V614" s="0" t="str">
        <f aca="false">IF(ISNUMBER($O614),IF($O614&gt;=2,IF(COUNTIFS($D614:$D$2006,$D614,$E614:$E$2006,$E614)=1,ROW(),""),""),"")</f>
        <v/>
      </c>
    </row>
    <row r="615" customFormat="false" ht="15" hidden="false" customHeight="true" outlineLevel="0" collapsed="false">
      <c r="A615" s="13" t="str">
        <f aca="false">IF(AND($B615="",$D615="",$E615="",$F615=""),"",IF(OR($B615="",$D615="",$E615=""),"待补",IF($D615="公共区域","公",IF($D615="商铺","S",SUBSTITUTE($D615,"栋","")))&amp;"-"&amp;$E615&amp;"-"&amp;TEXT(MONTH($B615),"00")&amp;TEXT(DAY($B615),"00")&amp;IF(ISNUMBER($O615),IF($O615&gt;1,"-"&amp;TEXT($O615,"00"),""),"")))</f>
        <v/>
      </c>
      <c r="B615" s="14"/>
      <c r="C615" s="10"/>
      <c r="D615" s="10"/>
      <c r="E615" s="10"/>
      <c r="F615" s="16"/>
      <c r="G615" s="10"/>
      <c r="H615" s="10"/>
      <c r="I615" s="10"/>
      <c r="J615" s="10"/>
      <c r="K615" s="10"/>
      <c r="L615" s="10"/>
      <c r="M615" s="14"/>
      <c r="N615" s="17" t="str">
        <f aca="false">IF($B615="","",IF($L615="已完成",IF($M615="","",$M615-$B615),IF(设置!$B$6&lt;$B615,"",IF((设置!$B$6-$B615)&gt;=设置!$B$5,"超期"&amp;(设置!$B$6-$B615)&amp;"天","已等"&amp;(设置!$B$6-$B615)&amp;"天"))))</f>
        <v/>
      </c>
      <c r="O615" s="18" t="str">
        <f aca="false">IF(OR($D615="",$E615=""),"",COUNTIFS($D$7:$D615,$D615,$E$7:$E615,$E615))</f>
        <v/>
      </c>
      <c r="P615" s="16"/>
      <c r="Q615" s="19"/>
      <c r="R615" s="10"/>
      <c r="S615" s="16"/>
      <c r="T615" s="0" t="str">
        <f aca="false">IF(OR($D615="",单元查询!$B$3=""),"",IF($D615&lt;&gt;单元查询!$B$3,"",IF(OR(单元查询!$D$3="",$E615&amp;""=单元查询!$D$3&amp;""),IF(ISNUMBER($B615),$B615*10000,0)+ROW(),"")))</f>
        <v/>
      </c>
      <c r="U615" s="0" t="str">
        <f aca="false">IF(OR($B615="",$L615="已完成"),"",IF(ISNUMBER($B615),IF(设置!$B$6&lt;$B615,"",(设置!$B$6-$B615)*100000+ROW()),""))</f>
        <v/>
      </c>
      <c r="V615" s="0" t="str">
        <f aca="false">IF(ISNUMBER($O615),IF($O615&gt;=2,IF(COUNTIFS($D615:$D$2006,$D615,$E615:$E$2006,$E615)=1,ROW(),""),""),"")</f>
        <v/>
      </c>
    </row>
    <row r="616" customFormat="false" ht="15" hidden="false" customHeight="true" outlineLevel="0" collapsed="false">
      <c r="A616" s="13" t="str">
        <f aca="false">IF(AND($B616="",$D616="",$E616="",$F616=""),"",IF(OR($B616="",$D616="",$E616=""),"待补",IF($D616="公共区域","公",IF($D616="商铺","S",SUBSTITUTE($D616,"栋","")))&amp;"-"&amp;$E616&amp;"-"&amp;TEXT(MONTH($B616),"00")&amp;TEXT(DAY($B616),"00")&amp;IF(ISNUMBER($O616),IF($O616&gt;1,"-"&amp;TEXT($O616,"00"),""),"")))</f>
        <v/>
      </c>
      <c r="B616" s="14"/>
      <c r="C616" s="10"/>
      <c r="D616" s="10"/>
      <c r="E616" s="10"/>
      <c r="F616" s="16"/>
      <c r="G616" s="10"/>
      <c r="H616" s="10"/>
      <c r="I616" s="10"/>
      <c r="J616" s="10"/>
      <c r="K616" s="10"/>
      <c r="L616" s="10"/>
      <c r="M616" s="14"/>
      <c r="N616" s="17" t="str">
        <f aca="false">IF($B616="","",IF($L616="已完成",IF($M616="","",$M616-$B616),IF(设置!$B$6&lt;$B616,"",IF((设置!$B$6-$B616)&gt;=设置!$B$5,"超期"&amp;(设置!$B$6-$B616)&amp;"天","已等"&amp;(设置!$B$6-$B616)&amp;"天"))))</f>
        <v/>
      </c>
      <c r="O616" s="18" t="str">
        <f aca="false">IF(OR($D616="",$E616=""),"",COUNTIFS($D$7:$D616,$D616,$E$7:$E616,$E616))</f>
        <v/>
      </c>
      <c r="P616" s="16"/>
      <c r="Q616" s="19"/>
      <c r="R616" s="10"/>
      <c r="S616" s="16"/>
      <c r="T616" s="0" t="str">
        <f aca="false">IF(OR($D616="",单元查询!$B$3=""),"",IF($D616&lt;&gt;单元查询!$B$3,"",IF(OR(单元查询!$D$3="",$E616&amp;""=单元查询!$D$3&amp;""),IF(ISNUMBER($B616),$B616*10000,0)+ROW(),"")))</f>
        <v/>
      </c>
      <c r="U616" s="0" t="str">
        <f aca="false">IF(OR($B616="",$L616="已完成"),"",IF(ISNUMBER($B616),IF(设置!$B$6&lt;$B616,"",(设置!$B$6-$B616)*100000+ROW()),""))</f>
        <v/>
      </c>
      <c r="V616" s="0" t="str">
        <f aca="false">IF(ISNUMBER($O616),IF($O616&gt;=2,IF(COUNTIFS($D616:$D$2006,$D616,$E616:$E$2006,$E616)=1,ROW(),""),""),"")</f>
        <v/>
      </c>
    </row>
    <row r="617" customFormat="false" ht="15" hidden="false" customHeight="true" outlineLevel="0" collapsed="false">
      <c r="A617" s="13" t="str">
        <f aca="false">IF(AND($B617="",$D617="",$E617="",$F617=""),"",IF(OR($B617="",$D617="",$E617=""),"待补",IF($D617="公共区域","公",IF($D617="商铺","S",SUBSTITUTE($D617,"栋","")))&amp;"-"&amp;$E617&amp;"-"&amp;TEXT(MONTH($B617),"00")&amp;TEXT(DAY($B617),"00")&amp;IF(ISNUMBER($O617),IF($O617&gt;1,"-"&amp;TEXT($O617,"00"),""),"")))</f>
        <v/>
      </c>
      <c r="B617" s="14"/>
      <c r="C617" s="10"/>
      <c r="D617" s="10"/>
      <c r="E617" s="10"/>
      <c r="F617" s="16"/>
      <c r="G617" s="10"/>
      <c r="H617" s="10"/>
      <c r="I617" s="10"/>
      <c r="J617" s="10"/>
      <c r="K617" s="10"/>
      <c r="L617" s="10"/>
      <c r="M617" s="14"/>
      <c r="N617" s="17" t="str">
        <f aca="false">IF($B617="","",IF($L617="已完成",IF($M617="","",$M617-$B617),IF(设置!$B$6&lt;$B617,"",IF((设置!$B$6-$B617)&gt;=设置!$B$5,"超期"&amp;(设置!$B$6-$B617)&amp;"天","已等"&amp;(设置!$B$6-$B617)&amp;"天"))))</f>
        <v/>
      </c>
      <c r="O617" s="18" t="str">
        <f aca="false">IF(OR($D617="",$E617=""),"",COUNTIFS($D$7:$D617,$D617,$E$7:$E617,$E617))</f>
        <v/>
      </c>
      <c r="P617" s="16"/>
      <c r="Q617" s="19"/>
      <c r="R617" s="10"/>
      <c r="S617" s="16"/>
      <c r="T617" s="0" t="str">
        <f aca="false">IF(OR($D617="",单元查询!$B$3=""),"",IF($D617&lt;&gt;单元查询!$B$3,"",IF(OR(单元查询!$D$3="",$E617&amp;""=单元查询!$D$3&amp;""),IF(ISNUMBER($B617),$B617*10000,0)+ROW(),"")))</f>
        <v/>
      </c>
      <c r="U617" s="0" t="str">
        <f aca="false">IF(OR($B617="",$L617="已完成"),"",IF(ISNUMBER($B617),IF(设置!$B$6&lt;$B617,"",(设置!$B$6-$B617)*100000+ROW()),""))</f>
        <v/>
      </c>
      <c r="V617" s="0" t="str">
        <f aca="false">IF(ISNUMBER($O617),IF($O617&gt;=2,IF(COUNTIFS($D617:$D$2006,$D617,$E617:$E$2006,$E617)=1,ROW(),""),""),"")</f>
        <v/>
      </c>
    </row>
    <row r="618" customFormat="false" ht="15" hidden="false" customHeight="true" outlineLevel="0" collapsed="false">
      <c r="A618" s="13" t="str">
        <f aca="false">IF(AND($B618="",$D618="",$E618="",$F618=""),"",IF(OR($B618="",$D618="",$E618=""),"待补",IF($D618="公共区域","公",IF($D618="商铺","S",SUBSTITUTE($D618,"栋","")))&amp;"-"&amp;$E618&amp;"-"&amp;TEXT(MONTH($B618),"00")&amp;TEXT(DAY($B618),"00")&amp;IF(ISNUMBER($O618),IF($O618&gt;1,"-"&amp;TEXT($O618,"00"),""),"")))</f>
        <v/>
      </c>
      <c r="B618" s="14"/>
      <c r="C618" s="10"/>
      <c r="D618" s="10"/>
      <c r="E618" s="10"/>
      <c r="F618" s="16"/>
      <c r="G618" s="10"/>
      <c r="H618" s="10"/>
      <c r="I618" s="10"/>
      <c r="J618" s="10"/>
      <c r="K618" s="10"/>
      <c r="L618" s="10"/>
      <c r="M618" s="14"/>
      <c r="N618" s="17" t="str">
        <f aca="false">IF($B618="","",IF($L618="已完成",IF($M618="","",$M618-$B618),IF(设置!$B$6&lt;$B618,"",IF((设置!$B$6-$B618)&gt;=设置!$B$5,"超期"&amp;(设置!$B$6-$B618)&amp;"天","已等"&amp;(设置!$B$6-$B618)&amp;"天"))))</f>
        <v/>
      </c>
      <c r="O618" s="18" t="str">
        <f aca="false">IF(OR($D618="",$E618=""),"",COUNTIFS($D$7:$D618,$D618,$E$7:$E618,$E618))</f>
        <v/>
      </c>
      <c r="P618" s="16"/>
      <c r="Q618" s="19"/>
      <c r="R618" s="10"/>
      <c r="S618" s="16"/>
      <c r="T618" s="0" t="str">
        <f aca="false">IF(OR($D618="",单元查询!$B$3=""),"",IF($D618&lt;&gt;单元查询!$B$3,"",IF(OR(单元查询!$D$3="",$E618&amp;""=单元查询!$D$3&amp;""),IF(ISNUMBER($B618),$B618*10000,0)+ROW(),"")))</f>
        <v/>
      </c>
      <c r="U618" s="0" t="str">
        <f aca="false">IF(OR($B618="",$L618="已完成"),"",IF(ISNUMBER($B618),IF(设置!$B$6&lt;$B618,"",(设置!$B$6-$B618)*100000+ROW()),""))</f>
        <v/>
      </c>
      <c r="V618" s="0" t="str">
        <f aca="false">IF(ISNUMBER($O618),IF($O618&gt;=2,IF(COUNTIFS($D618:$D$2006,$D618,$E618:$E$2006,$E618)=1,ROW(),""),""),"")</f>
        <v/>
      </c>
    </row>
    <row r="619" customFormat="false" ht="15" hidden="false" customHeight="true" outlineLevel="0" collapsed="false">
      <c r="A619" s="13" t="str">
        <f aca="false">IF(AND($B619="",$D619="",$E619="",$F619=""),"",IF(OR($B619="",$D619="",$E619=""),"待补",IF($D619="公共区域","公",IF($D619="商铺","S",SUBSTITUTE($D619,"栋","")))&amp;"-"&amp;$E619&amp;"-"&amp;TEXT(MONTH($B619),"00")&amp;TEXT(DAY($B619),"00")&amp;IF(ISNUMBER($O619),IF($O619&gt;1,"-"&amp;TEXT($O619,"00"),""),"")))</f>
        <v/>
      </c>
      <c r="B619" s="14"/>
      <c r="C619" s="10"/>
      <c r="D619" s="10"/>
      <c r="E619" s="10"/>
      <c r="F619" s="16"/>
      <c r="G619" s="10"/>
      <c r="H619" s="10"/>
      <c r="I619" s="10"/>
      <c r="J619" s="10"/>
      <c r="K619" s="10"/>
      <c r="L619" s="10"/>
      <c r="M619" s="14"/>
      <c r="N619" s="17" t="str">
        <f aca="false">IF($B619="","",IF($L619="已完成",IF($M619="","",$M619-$B619),IF(设置!$B$6&lt;$B619,"",IF((设置!$B$6-$B619)&gt;=设置!$B$5,"超期"&amp;(设置!$B$6-$B619)&amp;"天","已等"&amp;(设置!$B$6-$B619)&amp;"天"))))</f>
        <v/>
      </c>
      <c r="O619" s="18" t="str">
        <f aca="false">IF(OR($D619="",$E619=""),"",COUNTIFS($D$7:$D619,$D619,$E$7:$E619,$E619))</f>
        <v/>
      </c>
      <c r="P619" s="16"/>
      <c r="Q619" s="19"/>
      <c r="R619" s="10"/>
      <c r="S619" s="16"/>
      <c r="T619" s="0" t="str">
        <f aca="false">IF(OR($D619="",单元查询!$B$3=""),"",IF($D619&lt;&gt;单元查询!$B$3,"",IF(OR(单元查询!$D$3="",$E619&amp;""=单元查询!$D$3&amp;""),IF(ISNUMBER($B619),$B619*10000,0)+ROW(),"")))</f>
        <v/>
      </c>
      <c r="U619" s="0" t="str">
        <f aca="false">IF(OR($B619="",$L619="已完成"),"",IF(ISNUMBER($B619),IF(设置!$B$6&lt;$B619,"",(设置!$B$6-$B619)*100000+ROW()),""))</f>
        <v/>
      </c>
      <c r="V619" s="0" t="str">
        <f aca="false">IF(ISNUMBER($O619),IF($O619&gt;=2,IF(COUNTIFS($D619:$D$2006,$D619,$E619:$E$2006,$E619)=1,ROW(),""),""),"")</f>
        <v/>
      </c>
    </row>
    <row r="620" customFormat="false" ht="15" hidden="false" customHeight="true" outlineLevel="0" collapsed="false">
      <c r="A620" s="13" t="str">
        <f aca="false">IF(AND($B620="",$D620="",$E620="",$F620=""),"",IF(OR($B620="",$D620="",$E620=""),"待补",IF($D620="公共区域","公",IF($D620="商铺","S",SUBSTITUTE($D620,"栋","")))&amp;"-"&amp;$E620&amp;"-"&amp;TEXT(MONTH($B620),"00")&amp;TEXT(DAY($B620),"00")&amp;IF(ISNUMBER($O620),IF($O620&gt;1,"-"&amp;TEXT($O620,"00"),""),"")))</f>
        <v/>
      </c>
      <c r="B620" s="14"/>
      <c r="C620" s="10"/>
      <c r="D620" s="10"/>
      <c r="E620" s="10"/>
      <c r="F620" s="16"/>
      <c r="G620" s="10"/>
      <c r="H620" s="10"/>
      <c r="I620" s="10"/>
      <c r="J620" s="10"/>
      <c r="K620" s="10"/>
      <c r="L620" s="10"/>
      <c r="M620" s="14"/>
      <c r="N620" s="17" t="str">
        <f aca="false">IF($B620="","",IF($L620="已完成",IF($M620="","",$M620-$B620),IF(设置!$B$6&lt;$B620,"",IF((设置!$B$6-$B620)&gt;=设置!$B$5,"超期"&amp;(设置!$B$6-$B620)&amp;"天","已等"&amp;(设置!$B$6-$B620)&amp;"天"))))</f>
        <v/>
      </c>
      <c r="O620" s="18" t="str">
        <f aca="false">IF(OR($D620="",$E620=""),"",COUNTIFS($D$7:$D620,$D620,$E$7:$E620,$E620))</f>
        <v/>
      </c>
      <c r="P620" s="16"/>
      <c r="Q620" s="19"/>
      <c r="R620" s="10"/>
      <c r="S620" s="16"/>
      <c r="T620" s="0" t="str">
        <f aca="false">IF(OR($D620="",单元查询!$B$3=""),"",IF($D620&lt;&gt;单元查询!$B$3,"",IF(OR(单元查询!$D$3="",$E620&amp;""=单元查询!$D$3&amp;""),IF(ISNUMBER($B620),$B620*10000,0)+ROW(),"")))</f>
        <v/>
      </c>
      <c r="U620" s="0" t="str">
        <f aca="false">IF(OR($B620="",$L620="已完成"),"",IF(ISNUMBER($B620),IF(设置!$B$6&lt;$B620,"",(设置!$B$6-$B620)*100000+ROW()),""))</f>
        <v/>
      </c>
      <c r="V620" s="0" t="str">
        <f aca="false">IF(ISNUMBER($O620),IF($O620&gt;=2,IF(COUNTIFS($D620:$D$2006,$D620,$E620:$E$2006,$E620)=1,ROW(),""),""),"")</f>
        <v/>
      </c>
    </row>
    <row r="621" customFormat="false" ht="15" hidden="false" customHeight="true" outlineLevel="0" collapsed="false">
      <c r="A621" s="13" t="str">
        <f aca="false">IF(AND($B621="",$D621="",$E621="",$F621=""),"",IF(OR($B621="",$D621="",$E621=""),"待补",IF($D621="公共区域","公",IF($D621="商铺","S",SUBSTITUTE($D621,"栋","")))&amp;"-"&amp;$E621&amp;"-"&amp;TEXT(MONTH($B621),"00")&amp;TEXT(DAY($B621),"00")&amp;IF(ISNUMBER($O621),IF($O621&gt;1,"-"&amp;TEXT($O621,"00"),""),"")))</f>
        <v/>
      </c>
      <c r="B621" s="14"/>
      <c r="C621" s="10"/>
      <c r="D621" s="10"/>
      <c r="E621" s="10"/>
      <c r="F621" s="16"/>
      <c r="G621" s="10"/>
      <c r="H621" s="10"/>
      <c r="I621" s="10"/>
      <c r="J621" s="10"/>
      <c r="K621" s="10"/>
      <c r="L621" s="10"/>
      <c r="M621" s="14"/>
      <c r="N621" s="17" t="str">
        <f aca="false">IF($B621="","",IF($L621="已完成",IF($M621="","",$M621-$B621),IF(设置!$B$6&lt;$B621,"",IF((设置!$B$6-$B621)&gt;=设置!$B$5,"超期"&amp;(设置!$B$6-$B621)&amp;"天","已等"&amp;(设置!$B$6-$B621)&amp;"天"))))</f>
        <v/>
      </c>
      <c r="O621" s="18" t="str">
        <f aca="false">IF(OR($D621="",$E621=""),"",COUNTIFS($D$7:$D621,$D621,$E$7:$E621,$E621))</f>
        <v/>
      </c>
      <c r="P621" s="16"/>
      <c r="Q621" s="19"/>
      <c r="R621" s="10"/>
      <c r="S621" s="16"/>
      <c r="T621" s="0" t="str">
        <f aca="false">IF(OR($D621="",单元查询!$B$3=""),"",IF($D621&lt;&gt;单元查询!$B$3,"",IF(OR(单元查询!$D$3="",$E621&amp;""=单元查询!$D$3&amp;""),IF(ISNUMBER($B621),$B621*10000,0)+ROW(),"")))</f>
        <v/>
      </c>
      <c r="U621" s="0" t="str">
        <f aca="false">IF(OR($B621="",$L621="已完成"),"",IF(ISNUMBER($B621),IF(设置!$B$6&lt;$B621,"",(设置!$B$6-$B621)*100000+ROW()),""))</f>
        <v/>
      </c>
      <c r="V621" s="0" t="str">
        <f aca="false">IF(ISNUMBER($O621),IF($O621&gt;=2,IF(COUNTIFS($D621:$D$2006,$D621,$E621:$E$2006,$E621)=1,ROW(),""),""),"")</f>
        <v/>
      </c>
    </row>
    <row r="622" customFormat="false" ht="15" hidden="false" customHeight="true" outlineLevel="0" collapsed="false">
      <c r="A622" s="13" t="str">
        <f aca="false">IF(AND($B622="",$D622="",$E622="",$F622=""),"",IF(OR($B622="",$D622="",$E622=""),"待补",IF($D622="公共区域","公",IF($D622="商铺","S",SUBSTITUTE($D622,"栋","")))&amp;"-"&amp;$E622&amp;"-"&amp;TEXT(MONTH($B622),"00")&amp;TEXT(DAY($B622),"00")&amp;IF(ISNUMBER($O622),IF($O622&gt;1,"-"&amp;TEXT($O622,"00"),""),"")))</f>
        <v/>
      </c>
      <c r="B622" s="14"/>
      <c r="C622" s="10"/>
      <c r="D622" s="10"/>
      <c r="E622" s="10"/>
      <c r="F622" s="16"/>
      <c r="G622" s="10"/>
      <c r="H622" s="10"/>
      <c r="I622" s="10"/>
      <c r="J622" s="10"/>
      <c r="K622" s="10"/>
      <c r="L622" s="10"/>
      <c r="M622" s="14"/>
      <c r="N622" s="17" t="str">
        <f aca="false">IF($B622="","",IF($L622="已完成",IF($M622="","",$M622-$B622),IF(设置!$B$6&lt;$B622,"",IF((设置!$B$6-$B622)&gt;=设置!$B$5,"超期"&amp;(设置!$B$6-$B622)&amp;"天","已等"&amp;(设置!$B$6-$B622)&amp;"天"))))</f>
        <v/>
      </c>
      <c r="O622" s="18" t="str">
        <f aca="false">IF(OR($D622="",$E622=""),"",COUNTIFS($D$7:$D622,$D622,$E$7:$E622,$E622))</f>
        <v/>
      </c>
      <c r="P622" s="16"/>
      <c r="Q622" s="19"/>
      <c r="R622" s="10"/>
      <c r="S622" s="16"/>
      <c r="T622" s="0" t="str">
        <f aca="false">IF(OR($D622="",单元查询!$B$3=""),"",IF($D622&lt;&gt;单元查询!$B$3,"",IF(OR(单元查询!$D$3="",$E622&amp;""=单元查询!$D$3&amp;""),IF(ISNUMBER($B622),$B622*10000,0)+ROW(),"")))</f>
        <v/>
      </c>
      <c r="U622" s="0" t="str">
        <f aca="false">IF(OR($B622="",$L622="已完成"),"",IF(ISNUMBER($B622),IF(设置!$B$6&lt;$B622,"",(设置!$B$6-$B622)*100000+ROW()),""))</f>
        <v/>
      </c>
      <c r="V622" s="0" t="str">
        <f aca="false">IF(ISNUMBER($O622),IF($O622&gt;=2,IF(COUNTIFS($D622:$D$2006,$D622,$E622:$E$2006,$E622)=1,ROW(),""),""),"")</f>
        <v/>
      </c>
    </row>
    <row r="623" customFormat="false" ht="15" hidden="false" customHeight="true" outlineLevel="0" collapsed="false">
      <c r="A623" s="13" t="str">
        <f aca="false">IF(AND($B623="",$D623="",$E623="",$F623=""),"",IF(OR($B623="",$D623="",$E623=""),"待补",IF($D623="公共区域","公",IF($D623="商铺","S",SUBSTITUTE($D623,"栋","")))&amp;"-"&amp;$E623&amp;"-"&amp;TEXT(MONTH($B623),"00")&amp;TEXT(DAY($B623),"00")&amp;IF(ISNUMBER($O623),IF($O623&gt;1,"-"&amp;TEXT($O623,"00"),""),"")))</f>
        <v/>
      </c>
      <c r="B623" s="14"/>
      <c r="C623" s="10"/>
      <c r="D623" s="10"/>
      <c r="E623" s="10"/>
      <c r="F623" s="16"/>
      <c r="G623" s="10"/>
      <c r="H623" s="10"/>
      <c r="I623" s="10"/>
      <c r="J623" s="10"/>
      <c r="K623" s="10"/>
      <c r="L623" s="10"/>
      <c r="M623" s="14"/>
      <c r="N623" s="17" t="str">
        <f aca="false">IF($B623="","",IF($L623="已完成",IF($M623="","",$M623-$B623),IF(设置!$B$6&lt;$B623,"",IF((设置!$B$6-$B623)&gt;=设置!$B$5,"超期"&amp;(设置!$B$6-$B623)&amp;"天","已等"&amp;(设置!$B$6-$B623)&amp;"天"))))</f>
        <v/>
      </c>
      <c r="O623" s="18" t="str">
        <f aca="false">IF(OR($D623="",$E623=""),"",COUNTIFS($D$7:$D623,$D623,$E$7:$E623,$E623))</f>
        <v/>
      </c>
      <c r="P623" s="16"/>
      <c r="Q623" s="19"/>
      <c r="R623" s="10"/>
      <c r="S623" s="16"/>
      <c r="T623" s="0" t="str">
        <f aca="false">IF(OR($D623="",单元查询!$B$3=""),"",IF($D623&lt;&gt;单元查询!$B$3,"",IF(OR(单元查询!$D$3="",$E623&amp;""=单元查询!$D$3&amp;""),IF(ISNUMBER($B623),$B623*10000,0)+ROW(),"")))</f>
        <v/>
      </c>
      <c r="U623" s="0" t="str">
        <f aca="false">IF(OR($B623="",$L623="已完成"),"",IF(ISNUMBER($B623),IF(设置!$B$6&lt;$B623,"",(设置!$B$6-$B623)*100000+ROW()),""))</f>
        <v/>
      </c>
      <c r="V623" s="0" t="str">
        <f aca="false">IF(ISNUMBER($O623),IF($O623&gt;=2,IF(COUNTIFS($D623:$D$2006,$D623,$E623:$E$2006,$E623)=1,ROW(),""),""),"")</f>
        <v/>
      </c>
    </row>
    <row r="624" customFormat="false" ht="15" hidden="false" customHeight="true" outlineLevel="0" collapsed="false">
      <c r="A624" s="13" t="str">
        <f aca="false">IF(AND($B624="",$D624="",$E624="",$F624=""),"",IF(OR($B624="",$D624="",$E624=""),"待补",IF($D624="公共区域","公",IF($D624="商铺","S",SUBSTITUTE($D624,"栋","")))&amp;"-"&amp;$E624&amp;"-"&amp;TEXT(MONTH($B624),"00")&amp;TEXT(DAY($B624),"00")&amp;IF(ISNUMBER($O624),IF($O624&gt;1,"-"&amp;TEXT($O624,"00"),""),"")))</f>
        <v/>
      </c>
      <c r="B624" s="14"/>
      <c r="C624" s="10"/>
      <c r="D624" s="10"/>
      <c r="E624" s="10"/>
      <c r="F624" s="16"/>
      <c r="G624" s="10"/>
      <c r="H624" s="10"/>
      <c r="I624" s="10"/>
      <c r="J624" s="10"/>
      <c r="K624" s="10"/>
      <c r="L624" s="10"/>
      <c r="M624" s="14"/>
      <c r="N624" s="17" t="str">
        <f aca="false">IF($B624="","",IF($L624="已完成",IF($M624="","",$M624-$B624),IF(设置!$B$6&lt;$B624,"",IF((设置!$B$6-$B624)&gt;=设置!$B$5,"超期"&amp;(设置!$B$6-$B624)&amp;"天","已等"&amp;(设置!$B$6-$B624)&amp;"天"))))</f>
        <v/>
      </c>
      <c r="O624" s="18" t="str">
        <f aca="false">IF(OR($D624="",$E624=""),"",COUNTIFS($D$7:$D624,$D624,$E$7:$E624,$E624))</f>
        <v/>
      </c>
      <c r="P624" s="16"/>
      <c r="Q624" s="19"/>
      <c r="R624" s="10"/>
      <c r="S624" s="16"/>
      <c r="T624" s="0" t="str">
        <f aca="false">IF(OR($D624="",单元查询!$B$3=""),"",IF($D624&lt;&gt;单元查询!$B$3,"",IF(OR(单元查询!$D$3="",$E624&amp;""=单元查询!$D$3&amp;""),IF(ISNUMBER($B624),$B624*10000,0)+ROW(),"")))</f>
        <v/>
      </c>
      <c r="U624" s="0" t="str">
        <f aca="false">IF(OR($B624="",$L624="已完成"),"",IF(ISNUMBER($B624),IF(设置!$B$6&lt;$B624,"",(设置!$B$6-$B624)*100000+ROW()),""))</f>
        <v/>
      </c>
      <c r="V624" s="0" t="str">
        <f aca="false">IF(ISNUMBER($O624),IF($O624&gt;=2,IF(COUNTIFS($D624:$D$2006,$D624,$E624:$E$2006,$E624)=1,ROW(),""),""),"")</f>
        <v/>
      </c>
    </row>
    <row r="625" customFormat="false" ht="15" hidden="false" customHeight="true" outlineLevel="0" collapsed="false">
      <c r="A625" s="13" t="str">
        <f aca="false">IF(AND($B625="",$D625="",$E625="",$F625=""),"",IF(OR($B625="",$D625="",$E625=""),"待补",IF($D625="公共区域","公",IF($D625="商铺","S",SUBSTITUTE($D625,"栋","")))&amp;"-"&amp;$E625&amp;"-"&amp;TEXT(MONTH($B625),"00")&amp;TEXT(DAY($B625),"00")&amp;IF(ISNUMBER($O625),IF($O625&gt;1,"-"&amp;TEXT($O625,"00"),""),"")))</f>
        <v/>
      </c>
      <c r="B625" s="14"/>
      <c r="C625" s="10"/>
      <c r="D625" s="10"/>
      <c r="E625" s="10"/>
      <c r="F625" s="16"/>
      <c r="G625" s="10"/>
      <c r="H625" s="10"/>
      <c r="I625" s="10"/>
      <c r="J625" s="10"/>
      <c r="K625" s="10"/>
      <c r="L625" s="10"/>
      <c r="M625" s="14"/>
      <c r="N625" s="17" t="str">
        <f aca="false">IF($B625="","",IF($L625="已完成",IF($M625="","",$M625-$B625),IF(设置!$B$6&lt;$B625,"",IF((设置!$B$6-$B625)&gt;=设置!$B$5,"超期"&amp;(设置!$B$6-$B625)&amp;"天","已等"&amp;(设置!$B$6-$B625)&amp;"天"))))</f>
        <v/>
      </c>
      <c r="O625" s="18" t="str">
        <f aca="false">IF(OR($D625="",$E625=""),"",COUNTIFS($D$7:$D625,$D625,$E$7:$E625,$E625))</f>
        <v/>
      </c>
      <c r="P625" s="16"/>
      <c r="Q625" s="19"/>
      <c r="R625" s="10"/>
      <c r="S625" s="16"/>
      <c r="T625" s="0" t="str">
        <f aca="false">IF(OR($D625="",单元查询!$B$3=""),"",IF($D625&lt;&gt;单元查询!$B$3,"",IF(OR(单元查询!$D$3="",$E625&amp;""=单元查询!$D$3&amp;""),IF(ISNUMBER($B625),$B625*10000,0)+ROW(),"")))</f>
        <v/>
      </c>
      <c r="U625" s="0" t="str">
        <f aca="false">IF(OR($B625="",$L625="已完成"),"",IF(ISNUMBER($B625),IF(设置!$B$6&lt;$B625,"",(设置!$B$6-$B625)*100000+ROW()),""))</f>
        <v/>
      </c>
      <c r="V625" s="0" t="str">
        <f aca="false">IF(ISNUMBER($O625),IF($O625&gt;=2,IF(COUNTIFS($D625:$D$2006,$D625,$E625:$E$2006,$E625)=1,ROW(),""),""),"")</f>
        <v/>
      </c>
    </row>
    <row r="626" customFormat="false" ht="15" hidden="false" customHeight="true" outlineLevel="0" collapsed="false">
      <c r="A626" s="13" t="str">
        <f aca="false">IF(AND($B626="",$D626="",$E626="",$F626=""),"",IF(OR($B626="",$D626="",$E626=""),"待补",IF($D626="公共区域","公",IF($D626="商铺","S",SUBSTITUTE($D626,"栋","")))&amp;"-"&amp;$E626&amp;"-"&amp;TEXT(MONTH($B626),"00")&amp;TEXT(DAY($B626),"00")&amp;IF(ISNUMBER($O626),IF($O626&gt;1,"-"&amp;TEXT($O626,"00"),""),"")))</f>
        <v/>
      </c>
      <c r="B626" s="14"/>
      <c r="C626" s="10"/>
      <c r="D626" s="10"/>
      <c r="E626" s="10"/>
      <c r="F626" s="16"/>
      <c r="G626" s="10"/>
      <c r="H626" s="10"/>
      <c r="I626" s="10"/>
      <c r="J626" s="10"/>
      <c r="K626" s="10"/>
      <c r="L626" s="10"/>
      <c r="M626" s="14"/>
      <c r="N626" s="17" t="str">
        <f aca="false">IF($B626="","",IF($L626="已完成",IF($M626="","",$M626-$B626),IF(设置!$B$6&lt;$B626,"",IF((设置!$B$6-$B626)&gt;=设置!$B$5,"超期"&amp;(设置!$B$6-$B626)&amp;"天","已等"&amp;(设置!$B$6-$B626)&amp;"天"))))</f>
        <v/>
      </c>
      <c r="O626" s="18" t="str">
        <f aca="false">IF(OR($D626="",$E626=""),"",COUNTIFS($D$7:$D626,$D626,$E$7:$E626,$E626))</f>
        <v/>
      </c>
      <c r="P626" s="16"/>
      <c r="Q626" s="19"/>
      <c r="R626" s="10"/>
      <c r="S626" s="16"/>
      <c r="T626" s="0" t="str">
        <f aca="false">IF(OR($D626="",单元查询!$B$3=""),"",IF($D626&lt;&gt;单元查询!$B$3,"",IF(OR(单元查询!$D$3="",$E626&amp;""=单元查询!$D$3&amp;""),IF(ISNUMBER($B626),$B626*10000,0)+ROW(),"")))</f>
        <v/>
      </c>
      <c r="U626" s="0" t="str">
        <f aca="false">IF(OR($B626="",$L626="已完成"),"",IF(ISNUMBER($B626),IF(设置!$B$6&lt;$B626,"",(设置!$B$6-$B626)*100000+ROW()),""))</f>
        <v/>
      </c>
      <c r="V626" s="0" t="str">
        <f aca="false">IF(ISNUMBER($O626),IF($O626&gt;=2,IF(COUNTIFS($D626:$D$2006,$D626,$E626:$E$2006,$E626)=1,ROW(),""),""),"")</f>
        <v/>
      </c>
    </row>
    <row r="627" customFormat="false" ht="15" hidden="false" customHeight="true" outlineLevel="0" collapsed="false">
      <c r="A627" s="13" t="str">
        <f aca="false">IF(AND($B627="",$D627="",$E627="",$F627=""),"",IF(OR($B627="",$D627="",$E627=""),"待补",IF($D627="公共区域","公",IF($D627="商铺","S",SUBSTITUTE($D627,"栋","")))&amp;"-"&amp;$E627&amp;"-"&amp;TEXT(MONTH($B627),"00")&amp;TEXT(DAY($B627),"00")&amp;IF(ISNUMBER($O627),IF($O627&gt;1,"-"&amp;TEXT($O627,"00"),""),"")))</f>
        <v/>
      </c>
      <c r="B627" s="14"/>
      <c r="C627" s="10"/>
      <c r="D627" s="10"/>
      <c r="E627" s="10"/>
      <c r="F627" s="16"/>
      <c r="G627" s="10"/>
      <c r="H627" s="10"/>
      <c r="I627" s="10"/>
      <c r="J627" s="10"/>
      <c r="K627" s="10"/>
      <c r="L627" s="10"/>
      <c r="M627" s="14"/>
      <c r="N627" s="17" t="str">
        <f aca="false">IF($B627="","",IF($L627="已完成",IF($M627="","",$M627-$B627),IF(设置!$B$6&lt;$B627,"",IF((设置!$B$6-$B627)&gt;=设置!$B$5,"超期"&amp;(设置!$B$6-$B627)&amp;"天","已等"&amp;(设置!$B$6-$B627)&amp;"天"))))</f>
        <v/>
      </c>
      <c r="O627" s="18" t="str">
        <f aca="false">IF(OR($D627="",$E627=""),"",COUNTIFS($D$7:$D627,$D627,$E$7:$E627,$E627))</f>
        <v/>
      </c>
      <c r="P627" s="16"/>
      <c r="Q627" s="19"/>
      <c r="R627" s="10"/>
      <c r="S627" s="16"/>
      <c r="T627" s="0" t="str">
        <f aca="false">IF(OR($D627="",单元查询!$B$3=""),"",IF($D627&lt;&gt;单元查询!$B$3,"",IF(OR(单元查询!$D$3="",$E627&amp;""=单元查询!$D$3&amp;""),IF(ISNUMBER($B627),$B627*10000,0)+ROW(),"")))</f>
        <v/>
      </c>
      <c r="U627" s="0" t="str">
        <f aca="false">IF(OR($B627="",$L627="已完成"),"",IF(ISNUMBER($B627),IF(设置!$B$6&lt;$B627,"",(设置!$B$6-$B627)*100000+ROW()),""))</f>
        <v/>
      </c>
      <c r="V627" s="0" t="str">
        <f aca="false">IF(ISNUMBER($O627),IF($O627&gt;=2,IF(COUNTIFS($D627:$D$2006,$D627,$E627:$E$2006,$E627)=1,ROW(),""),""),"")</f>
        <v/>
      </c>
    </row>
    <row r="628" customFormat="false" ht="15" hidden="false" customHeight="true" outlineLevel="0" collapsed="false">
      <c r="A628" s="13" t="str">
        <f aca="false">IF(AND($B628="",$D628="",$E628="",$F628=""),"",IF(OR($B628="",$D628="",$E628=""),"待补",IF($D628="公共区域","公",IF($D628="商铺","S",SUBSTITUTE($D628,"栋","")))&amp;"-"&amp;$E628&amp;"-"&amp;TEXT(MONTH($B628),"00")&amp;TEXT(DAY($B628),"00")&amp;IF(ISNUMBER($O628),IF($O628&gt;1,"-"&amp;TEXT($O628,"00"),""),"")))</f>
        <v/>
      </c>
      <c r="B628" s="14"/>
      <c r="C628" s="10"/>
      <c r="D628" s="10"/>
      <c r="E628" s="10"/>
      <c r="F628" s="16"/>
      <c r="G628" s="10"/>
      <c r="H628" s="10"/>
      <c r="I628" s="10"/>
      <c r="J628" s="10"/>
      <c r="K628" s="10"/>
      <c r="L628" s="10"/>
      <c r="M628" s="14"/>
      <c r="N628" s="17" t="str">
        <f aca="false">IF($B628="","",IF($L628="已完成",IF($M628="","",$M628-$B628),IF(设置!$B$6&lt;$B628,"",IF((设置!$B$6-$B628)&gt;=设置!$B$5,"超期"&amp;(设置!$B$6-$B628)&amp;"天","已等"&amp;(设置!$B$6-$B628)&amp;"天"))))</f>
        <v/>
      </c>
      <c r="O628" s="18" t="str">
        <f aca="false">IF(OR($D628="",$E628=""),"",COUNTIFS($D$7:$D628,$D628,$E$7:$E628,$E628))</f>
        <v/>
      </c>
      <c r="P628" s="16"/>
      <c r="Q628" s="19"/>
      <c r="R628" s="10"/>
      <c r="S628" s="16"/>
      <c r="T628" s="0" t="str">
        <f aca="false">IF(OR($D628="",单元查询!$B$3=""),"",IF($D628&lt;&gt;单元查询!$B$3,"",IF(OR(单元查询!$D$3="",$E628&amp;""=单元查询!$D$3&amp;""),IF(ISNUMBER($B628),$B628*10000,0)+ROW(),"")))</f>
        <v/>
      </c>
      <c r="U628" s="0" t="str">
        <f aca="false">IF(OR($B628="",$L628="已完成"),"",IF(ISNUMBER($B628),IF(设置!$B$6&lt;$B628,"",(设置!$B$6-$B628)*100000+ROW()),""))</f>
        <v/>
      </c>
      <c r="V628" s="0" t="str">
        <f aca="false">IF(ISNUMBER($O628),IF($O628&gt;=2,IF(COUNTIFS($D628:$D$2006,$D628,$E628:$E$2006,$E628)=1,ROW(),""),""),"")</f>
        <v/>
      </c>
    </row>
    <row r="629" customFormat="false" ht="15" hidden="false" customHeight="true" outlineLevel="0" collapsed="false">
      <c r="A629" s="13" t="str">
        <f aca="false">IF(AND($B629="",$D629="",$E629="",$F629=""),"",IF(OR($B629="",$D629="",$E629=""),"待补",IF($D629="公共区域","公",IF($D629="商铺","S",SUBSTITUTE($D629,"栋","")))&amp;"-"&amp;$E629&amp;"-"&amp;TEXT(MONTH($B629),"00")&amp;TEXT(DAY($B629),"00")&amp;IF(ISNUMBER($O629),IF($O629&gt;1,"-"&amp;TEXT($O629,"00"),""),"")))</f>
        <v/>
      </c>
      <c r="B629" s="14"/>
      <c r="C629" s="10"/>
      <c r="D629" s="10"/>
      <c r="E629" s="10"/>
      <c r="F629" s="16"/>
      <c r="G629" s="10"/>
      <c r="H629" s="10"/>
      <c r="I629" s="10"/>
      <c r="J629" s="10"/>
      <c r="K629" s="10"/>
      <c r="L629" s="10"/>
      <c r="M629" s="14"/>
      <c r="N629" s="17" t="str">
        <f aca="false">IF($B629="","",IF($L629="已完成",IF($M629="","",$M629-$B629),IF(设置!$B$6&lt;$B629,"",IF((设置!$B$6-$B629)&gt;=设置!$B$5,"超期"&amp;(设置!$B$6-$B629)&amp;"天","已等"&amp;(设置!$B$6-$B629)&amp;"天"))))</f>
        <v/>
      </c>
      <c r="O629" s="18" t="str">
        <f aca="false">IF(OR($D629="",$E629=""),"",COUNTIFS($D$7:$D629,$D629,$E$7:$E629,$E629))</f>
        <v/>
      </c>
      <c r="P629" s="16"/>
      <c r="Q629" s="19"/>
      <c r="R629" s="10"/>
      <c r="S629" s="16"/>
      <c r="T629" s="0" t="str">
        <f aca="false">IF(OR($D629="",单元查询!$B$3=""),"",IF($D629&lt;&gt;单元查询!$B$3,"",IF(OR(单元查询!$D$3="",$E629&amp;""=单元查询!$D$3&amp;""),IF(ISNUMBER($B629),$B629*10000,0)+ROW(),"")))</f>
        <v/>
      </c>
      <c r="U629" s="0" t="str">
        <f aca="false">IF(OR($B629="",$L629="已完成"),"",IF(ISNUMBER($B629),IF(设置!$B$6&lt;$B629,"",(设置!$B$6-$B629)*100000+ROW()),""))</f>
        <v/>
      </c>
      <c r="V629" s="0" t="str">
        <f aca="false">IF(ISNUMBER($O629),IF($O629&gt;=2,IF(COUNTIFS($D629:$D$2006,$D629,$E629:$E$2006,$E629)=1,ROW(),""),""),"")</f>
        <v/>
      </c>
    </row>
    <row r="630" customFormat="false" ht="15" hidden="false" customHeight="true" outlineLevel="0" collapsed="false">
      <c r="A630" s="13" t="str">
        <f aca="false">IF(AND($B630="",$D630="",$E630="",$F630=""),"",IF(OR($B630="",$D630="",$E630=""),"待补",IF($D630="公共区域","公",IF($D630="商铺","S",SUBSTITUTE($D630,"栋","")))&amp;"-"&amp;$E630&amp;"-"&amp;TEXT(MONTH($B630),"00")&amp;TEXT(DAY($B630),"00")&amp;IF(ISNUMBER($O630),IF($O630&gt;1,"-"&amp;TEXT($O630,"00"),""),"")))</f>
        <v/>
      </c>
      <c r="B630" s="14"/>
      <c r="C630" s="10"/>
      <c r="D630" s="10"/>
      <c r="E630" s="10"/>
      <c r="F630" s="16"/>
      <c r="G630" s="10"/>
      <c r="H630" s="10"/>
      <c r="I630" s="10"/>
      <c r="J630" s="10"/>
      <c r="K630" s="10"/>
      <c r="L630" s="10"/>
      <c r="M630" s="14"/>
      <c r="N630" s="17" t="str">
        <f aca="false">IF($B630="","",IF($L630="已完成",IF($M630="","",$M630-$B630),IF(设置!$B$6&lt;$B630,"",IF((设置!$B$6-$B630)&gt;=设置!$B$5,"超期"&amp;(设置!$B$6-$B630)&amp;"天","已等"&amp;(设置!$B$6-$B630)&amp;"天"))))</f>
        <v/>
      </c>
      <c r="O630" s="18" t="str">
        <f aca="false">IF(OR($D630="",$E630=""),"",COUNTIFS($D$7:$D630,$D630,$E$7:$E630,$E630))</f>
        <v/>
      </c>
      <c r="P630" s="16"/>
      <c r="Q630" s="19"/>
      <c r="R630" s="10"/>
      <c r="S630" s="16"/>
      <c r="T630" s="0" t="str">
        <f aca="false">IF(OR($D630="",单元查询!$B$3=""),"",IF($D630&lt;&gt;单元查询!$B$3,"",IF(OR(单元查询!$D$3="",$E630&amp;""=单元查询!$D$3&amp;""),IF(ISNUMBER($B630),$B630*10000,0)+ROW(),"")))</f>
        <v/>
      </c>
      <c r="U630" s="0" t="str">
        <f aca="false">IF(OR($B630="",$L630="已完成"),"",IF(ISNUMBER($B630),IF(设置!$B$6&lt;$B630,"",(设置!$B$6-$B630)*100000+ROW()),""))</f>
        <v/>
      </c>
      <c r="V630" s="0" t="str">
        <f aca="false">IF(ISNUMBER($O630),IF($O630&gt;=2,IF(COUNTIFS($D630:$D$2006,$D630,$E630:$E$2006,$E630)=1,ROW(),""),""),"")</f>
        <v/>
      </c>
    </row>
    <row r="631" customFormat="false" ht="15" hidden="false" customHeight="true" outlineLevel="0" collapsed="false">
      <c r="A631" s="13" t="str">
        <f aca="false">IF(AND($B631="",$D631="",$E631="",$F631=""),"",IF(OR($B631="",$D631="",$E631=""),"待补",IF($D631="公共区域","公",IF($D631="商铺","S",SUBSTITUTE($D631,"栋","")))&amp;"-"&amp;$E631&amp;"-"&amp;TEXT(MONTH($B631),"00")&amp;TEXT(DAY($B631),"00")&amp;IF(ISNUMBER($O631),IF($O631&gt;1,"-"&amp;TEXT($O631,"00"),""),"")))</f>
        <v/>
      </c>
      <c r="B631" s="14"/>
      <c r="C631" s="10"/>
      <c r="D631" s="10"/>
      <c r="E631" s="10"/>
      <c r="F631" s="16"/>
      <c r="G631" s="10"/>
      <c r="H631" s="10"/>
      <c r="I631" s="10"/>
      <c r="J631" s="10"/>
      <c r="K631" s="10"/>
      <c r="L631" s="10"/>
      <c r="M631" s="14"/>
      <c r="N631" s="17" t="str">
        <f aca="false">IF($B631="","",IF($L631="已完成",IF($M631="","",$M631-$B631),IF(设置!$B$6&lt;$B631,"",IF((设置!$B$6-$B631)&gt;=设置!$B$5,"超期"&amp;(设置!$B$6-$B631)&amp;"天","已等"&amp;(设置!$B$6-$B631)&amp;"天"))))</f>
        <v/>
      </c>
      <c r="O631" s="18" t="str">
        <f aca="false">IF(OR($D631="",$E631=""),"",COUNTIFS($D$7:$D631,$D631,$E$7:$E631,$E631))</f>
        <v/>
      </c>
      <c r="P631" s="16"/>
      <c r="Q631" s="19"/>
      <c r="R631" s="10"/>
      <c r="S631" s="16"/>
      <c r="T631" s="0" t="str">
        <f aca="false">IF(OR($D631="",单元查询!$B$3=""),"",IF($D631&lt;&gt;单元查询!$B$3,"",IF(OR(单元查询!$D$3="",$E631&amp;""=单元查询!$D$3&amp;""),IF(ISNUMBER($B631),$B631*10000,0)+ROW(),"")))</f>
        <v/>
      </c>
      <c r="U631" s="0" t="str">
        <f aca="false">IF(OR($B631="",$L631="已完成"),"",IF(ISNUMBER($B631),IF(设置!$B$6&lt;$B631,"",(设置!$B$6-$B631)*100000+ROW()),""))</f>
        <v/>
      </c>
      <c r="V631" s="0" t="str">
        <f aca="false">IF(ISNUMBER($O631),IF($O631&gt;=2,IF(COUNTIFS($D631:$D$2006,$D631,$E631:$E$2006,$E631)=1,ROW(),""),""),"")</f>
        <v/>
      </c>
    </row>
    <row r="632" customFormat="false" ht="15" hidden="false" customHeight="true" outlineLevel="0" collapsed="false">
      <c r="A632" s="13" t="str">
        <f aca="false">IF(AND($B632="",$D632="",$E632="",$F632=""),"",IF(OR($B632="",$D632="",$E632=""),"待补",IF($D632="公共区域","公",IF($D632="商铺","S",SUBSTITUTE($D632,"栋","")))&amp;"-"&amp;$E632&amp;"-"&amp;TEXT(MONTH($B632),"00")&amp;TEXT(DAY($B632),"00")&amp;IF(ISNUMBER($O632),IF($O632&gt;1,"-"&amp;TEXT($O632,"00"),""),"")))</f>
        <v/>
      </c>
      <c r="B632" s="14"/>
      <c r="C632" s="10"/>
      <c r="D632" s="10"/>
      <c r="E632" s="10"/>
      <c r="F632" s="16"/>
      <c r="G632" s="10"/>
      <c r="H632" s="10"/>
      <c r="I632" s="10"/>
      <c r="J632" s="10"/>
      <c r="K632" s="10"/>
      <c r="L632" s="10"/>
      <c r="M632" s="14"/>
      <c r="N632" s="17" t="str">
        <f aca="false">IF($B632="","",IF($L632="已完成",IF($M632="","",$M632-$B632),IF(设置!$B$6&lt;$B632,"",IF((设置!$B$6-$B632)&gt;=设置!$B$5,"超期"&amp;(设置!$B$6-$B632)&amp;"天","已等"&amp;(设置!$B$6-$B632)&amp;"天"))))</f>
        <v/>
      </c>
      <c r="O632" s="18" t="str">
        <f aca="false">IF(OR($D632="",$E632=""),"",COUNTIFS($D$7:$D632,$D632,$E$7:$E632,$E632))</f>
        <v/>
      </c>
      <c r="P632" s="16"/>
      <c r="Q632" s="19"/>
      <c r="R632" s="10"/>
      <c r="S632" s="16"/>
      <c r="T632" s="0" t="str">
        <f aca="false">IF(OR($D632="",单元查询!$B$3=""),"",IF($D632&lt;&gt;单元查询!$B$3,"",IF(OR(单元查询!$D$3="",$E632&amp;""=单元查询!$D$3&amp;""),IF(ISNUMBER($B632),$B632*10000,0)+ROW(),"")))</f>
        <v/>
      </c>
      <c r="U632" s="0" t="str">
        <f aca="false">IF(OR($B632="",$L632="已完成"),"",IF(ISNUMBER($B632),IF(设置!$B$6&lt;$B632,"",(设置!$B$6-$B632)*100000+ROW()),""))</f>
        <v/>
      </c>
      <c r="V632" s="0" t="str">
        <f aca="false">IF(ISNUMBER($O632),IF($O632&gt;=2,IF(COUNTIFS($D632:$D$2006,$D632,$E632:$E$2006,$E632)=1,ROW(),""),""),"")</f>
        <v/>
      </c>
    </row>
    <row r="633" customFormat="false" ht="15" hidden="false" customHeight="true" outlineLevel="0" collapsed="false">
      <c r="A633" s="13" t="str">
        <f aca="false">IF(AND($B633="",$D633="",$E633="",$F633=""),"",IF(OR($B633="",$D633="",$E633=""),"待补",IF($D633="公共区域","公",IF($D633="商铺","S",SUBSTITUTE($D633,"栋","")))&amp;"-"&amp;$E633&amp;"-"&amp;TEXT(MONTH($B633),"00")&amp;TEXT(DAY($B633),"00")&amp;IF(ISNUMBER($O633),IF($O633&gt;1,"-"&amp;TEXT($O633,"00"),""),"")))</f>
        <v/>
      </c>
      <c r="B633" s="14"/>
      <c r="C633" s="10"/>
      <c r="D633" s="10"/>
      <c r="E633" s="10"/>
      <c r="F633" s="16"/>
      <c r="G633" s="10"/>
      <c r="H633" s="10"/>
      <c r="I633" s="10"/>
      <c r="J633" s="10"/>
      <c r="K633" s="10"/>
      <c r="L633" s="10"/>
      <c r="M633" s="14"/>
      <c r="N633" s="17" t="str">
        <f aca="false">IF($B633="","",IF($L633="已完成",IF($M633="","",$M633-$B633),IF(设置!$B$6&lt;$B633,"",IF((设置!$B$6-$B633)&gt;=设置!$B$5,"超期"&amp;(设置!$B$6-$B633)&amp;"天","已等"&amp;(设置!$B$6-$B633)&amp;"天"))))</f>
        <v/>
      </c>
      <c r="O633" s="18" t="str">
        <f aca="false">IF(OR($D633="",$E633=""),"",COUNTIFS($D$7:$D633,$D633,$E$7:$E633,$E633))</f>
        <v/>
      </c>
      <c r="P633" s="16"/>
      <c r="Q633" s="19"/>
      <c r="R633" s="10"/>
      <c r="S633" s="16"/>
      <c r="T633" s="0" t="str">
        <f aca="false">IF(OR($D633="",单元查询!$B$3=""),"",IF($D633&lt;&gt;单元查询!$B$3,"",IF(OR(单元查询!$D$3="",$E633&amp;""=单元查询!$D$3&amp;""),IF(ISNUMBER($B633),$B633*10000,0)+ROW(),"")))</f>
        <v/>
      </c>
      <c r="U633" s="0" t="str">
        <f aca="false">IF(OR($B633="",$L633="已完成"),"",IF(ISNUMBER($B633),IF(设置!$B$6&lt;$B633,"",(设置!$B$6-$B633)*100000+ROW()),""))</f>
        <v/>
      </c>
      <c r="V633" s="0" t="str">
        <f aca="false">IF(ISNUMBER($O633),IF($O633&gt;=2,IF(COUNTIFS($D633:$D$2006,$D633,$E633:$E$2006,$E633)=1,ROW(),""),""),"")</f>
        <v/>
      </c>
    </row>
    <row r="634" customFormat="false" ht="15" hidden="false" customHeight="true" outlineLevel="0" collapsed="false">
      <c r="A634" s="13" t="str">
        <f aca="false">IF(AND($B634="",$D634="",$E634="",$F634=""),"",IF(OR($B634="",$D634="",$E634=""),"待补",IF($D634="公共区域","公",IF($D634="商铺","S",SUBSTITUTE($D634,"栋","")))&amp;"-"&amp;$E634&amp;"-"&amp;TEXT(MONTH($B634),"00")&amp;TEXT(DAY($B634),"00")&amp;IF(ISNUMBER($O634),IF($O634&gt;1,"-"&amp;TEXT($O634,"00"),""),"")))</f>
        <v/>
      </c>
      <c r="B634" s="14"/>
      <c r="C634" s="10"/>
      <c r="D634" s="10"/>
      <c r="E634" s="10"/>
      <c r="F634" s="16"/>
      <c r="G634" s="10"/>
      <c r="H634" s="10"/>
      <c r="I634" s="10"/>
      <c r="J634" s="10"/>
      <c r="K634" s="10"/>
      <c r="L634" s="10"/>
      <c r="M634" s="14"/>
      <c r="N634" s="17" t="str">
        <f aca="false">IF($B634="","",IF($L634="已完成",IF($M634="","",$M634-$B634),IF(设置!$B$6&lt;$B634,"",IF((设置!$B$6-$B634)&gt;=设置!$B$5,"超期"&amp;(设置!$B$6-$B634)&amp;"天","已等"&amp;(设置!$B$6-$B634)&amp;"天"))))</f>
        <v/>
      </c>
      <c r="O634" s="18" t="str">
        <f aca="false">IF(OR($D634="",$E634=""),"",COUNTIFS($D$7:$D634,$D634,$E$7:$E634,$E634))</f>
        <v/>
      </c>
      <c r="P634" s="16"/>
      <c r="Q634" s="19"/>
      <c r="R634" s="10"/>
      <c r="S634" s="16"/>
      <c r="T634" s="0" t="str">
        <f aca="false">IF(OR($D634="",单元查询!$B$3=""),"",IF($D634&lt;&gt;单元查询!$B$3,"",IF(OR(单元查询!$D$3="",$E634&amp;""=单元查询!$D$3&amp;""),IF(ISNUMBER($B634),$B634*10000,0)+ROW(),"")))</f>
        <v/>
      </c>
      <c r="U634" s="0" t="str">
        <f aca="false">IF(OR($B634="",$L634="已完成"),"",IF(ISNUMBER($B634),IF(设置!$B$6&lt;$B634,"",(设置!$B$6-$B634)*100000+ROW()),""))</f>
        <v/>
      </c>
      <c r="V634" s="0" t="str">
        <f aca="false">IF(ISNUMBER($O634),IF($O634&gt;=2,IF(COUNTIFS($D634:$D$2006,$D634,$E634:$E$2006,$E634)=1,ROW(),""),""),"")</f>
        <v/>
      </c>
    </row>
    <row r="635" customFormat="false" ht="15" hidden="false" customHeight="true" outlineLevel="0" collapsed="false">
      <c r="A635" s="13" t="str">
        <f aca="false">IF(AND($B635="",$D635="",$E635="",$F635=""),"",IF(OR($B635="",$D635="",$E635=""),"待补",IF($D635="公共区域","公",IF($D635="商铺","S",SUBSTITUTE($D635,"栋","")))&amp;"-"&amp;$E635&amp;"-"&amp;TEXT(MONTH($B635),"00")&amp;TEXT(DAY($B635),"00")&amp;IF(ISNUMBER($O635),IF($O635&gt;1,"-"&amp;TEXT($O635,"00"),""),"")))</f>
        <v/>
      </c>
      <c r="B635" s="14"/>
      <c r="C635" s="10"/>
      <c r="D635" s="10"/>
      <c r="E635" s="10"/>
      <c r="F635" s="16"/>
      <c r="G635" s="10"/>
      <c r="H635" s="10"/>
      <c r="I635" s="10"/>
      <c r="J635" s="10"/>
      <c r="K635" s="10"/>
      <c r="L635" s="10"/>
      <c r="M635" s="14"/>
      <c r="N635" s="17" t="str">
        <f aca="false">IF($B635="","",IF($L635="已完成",IF($M635="","",$M635-$B635),IF(设置!$B$6&lt;$B635,"",IF((设置!$B$6-$B635)&gt;=设置!$B$5,"超期"&amp;(设置!$B$6-$B635)&amp;"天","已等"&amp;(设置!$B$6-$B635)&amp;"天"))))</f>
        <v/>
      </c>
      <c r="O635" s="18" t="str">
        <f aca="false">IF(OR($D635="",$E635=""),"",COUNTIFS($D$7:$D635,$D635,$E$7:$E635,$E635))</f>
        <v/>
      </c>
      <c r="P635" s="16"/>
      <c r="Q635" s="19"/>
      <c r="R635" s="10"/>
      <c r="S635" s="16"/>
      <c r="T635" s="0" t="str">
        <f aca="false">IF(OR($D635="",单元查询!$B$3=""),"",IF($D635&lt;&gt;单元查询!$B$3,"",IF(OR(单元查询!$D$3="",$E635&amp;""=单元查询!$D$3&amp;""),IF(ISNUMBER($B635),$B635*10000,0)+ROW(),"")))</f>
        <v/>
      </c>
      <c r="U635" s="0" t="str">
        <f aca="false">IF(OR($B635="",$L635="已完成"),"",IF(ISNUMBER($B635),IF(设置!$B$6&lt;$B635,"",(设置!$B$6-$B635)*100000+ROW()),""))</f>
        <v/>
      </c>
      <c r="V635" s="0" t="str">
        <f aca="false">IF(ISNUMBER($O635),IF($O635&gt;=2,IF(COUNTIFS($D635:$D$2006,$D635,$E635:$E$2006,$E635)=1,ROW(),""),""),"")</f>
        <v/>
      </c>
    </row>
    <row r="636" customFormat="false" ht="15" hidden="false" customHeight="true" outlineLevel="0" collapsed="false">
      <c r="A636" s="13" t="str">
        <f aca="false">IF(AND($B636="",$D636="",$E636="",$F636=""),"",IF(OR($B636="",$D636="",$E636=""),"待补",IF($D636="公共区域","公",IF($D636="商铺","S",SUBSTITUTE($D636,"栋","")))&amp;"-"&amp;$E636&amp;"-"&amp;TEXT(MONTH($B636),"00")&amp;TEXT(DAY($B636),"00")&amp;IF(ISNUMBER($O636),IF($O636&gt;1,"-"&amp;TEXT($O636,"00"),""),"")))</f>
        <v/>
      </c>
      <c r="B636" s="14"/>
      <c r="C636" s="10"/>
      <c r="D636" s="10"/>
      <c r="E636" s="10"/>
      <c r="F636" s="16"/>
      <c r="G636" s="10"/>
      <c r="H636" s="10"/>
      <c r="I636" s="10"/>
      <c r="J636" s="10"/>
      <c r="K636" s="10"/>
      <c r="L636" s="10"/>
      <c r="M636" s="14"/>
      <c r="N636" s="17" t="str">
        <f aca="false">IF($B636="","",IF($L636="已完成",IF($M636="","",$M636-$B636),IF(设置!$B$6&lt;$B636,"",IF((设置!$B$6-$B636)&gt;=设置!$B$5,"超期"&amp;(设置!$B$6-$B636)&amp;"天","已等"&amp;(设置!$B$6-$B636)&amp;"天"))))</f>
        <v/>
      </c>
      <c r="O636" s="18" t="str">
        <f aca="false">IF(OR($D636="",$E636=""),"",COUNTIFS($D$7:$D636,$D636,$E$7:$E636,$E636))</f>
        <v/>
      </c>
      <c r="P636" s="16"/>
      <c r="Q636" s="19"/>
      <c r="R636" s="10"/>
      <c r="S636" s="16"/>
      <c r="T636" s="0" t="str">
        <f aca="false">IF(OR($D636="",单元查询!$B$3=""),"",IF($D636&lt;&gt;单元查询!$B$3,"",IF(OR(单元查询!$D$3="",$E636&amp;""=单元查询!$D$3&amp;""),IF(ISNUMBER($B636),$B636*10000,0)+ROW(),"")))</f>
        <v/>
      </c>
      <c r="U636" s="0" t="str">
        <f aca="false">IF(OR($B636="",$L636="已完成"),"",IF(ISNUMBER($B636),IF(设置!$B$6&lt;$B636,"",(设置!$B$6-$B636)*100000+ROW()),""))</f>
        <v/>
      </c>
      <c r="V636" s="0" t="str">
        <f aca="false">IF(ISNUMBER($O636),IF($O636&gt;=2,IF(COUNTIFS($D636:$D$2006,$D636,$E636:$E$2006,$E636)=1,ROW(),""),""),"")</f>
        <v/>
      </c>
    </row>
    <row r="637" customFormat="false" ht="15" hidden="false" customHeight="true" outlineLevel="0" collapsed="false">
      <c r="A637" s="13" t="str">
        <f aca="false">IF(AND($B637="",$D637="",$E637="",$F637=""),"",IF(OR($B637="",$D637="",$E637=""),"待补",IF($D637="公共区域","公",IF($D637="商铺","S",SUBSTITUTE($D637,"栋","")))&amp;"-"&amp;$E637&amp;"-"&amp;TEXT(MONTH($B637),"00")&amp;TEXT(DAY($B637),"00")&amp;IF(ISNUMBER($O637),IF($O637&gt;1,"-"&amp;TEXT($O637,"00"),""),"")))</f>
        <v/>
      </c>
      <c r="B637" s="14"/>
      <c r="C637" s="10"/>
      <c r="D637" s="10"/>
      <c r="E637" s="10"/>
      <c r="F637" s="16"/>
      <c r="G637" s="10"/>
      <c r="H637" s="10"/>
      <c r="I637" s="10"/>
      <c r="J637" s="10"/>
      <c r="K637" s="10"/>
      <c r="L637" s="10"/>
      <c r="M637" s="14"/>
      <c r="N637" s="17" t="str">
        <f aca="false">IF($B637="","",IF($L637="已完成",IF($M637="","",$M637-$B637),IF(设置!$B$6&lt;$B637,"",IF((设置!$B$6-$B637)&gt;=设置!$B$5,"超期"&amp;(设置!$B$6-$B637)&amp;"天","已等"&amp;(设置!$B$6-$B637)&amp;"天"))))</f>
        <v/>
      </c>
      <c r="O637" s="18" t="str">
        <f aca="false">IF(OR($D637="",$E637=""),"",COUNTIFS($D$7:$D637,$D637,$E$7:$E637,$E637))</f>
        <v/>
      </c>
      <c r="P637" s="16"/>
      <c r="Q637" s="19"/>
      <c r="R637" s="10"/>
      <c r="S637" s="16"/>
      <c r="T637" s="0" t="str">
        <f aca="false">IF(OR($D637="",单元查询!$B$3=""),"",IF($D637&lt;&gt;单元查询!$B$3,"",IF(OR(单元查询!$D$3="",$E637&amp;""=单元查询!$D$3&amp;""),IF(ISNUMBER($B637),$B637*10000,0)+ROW(),"")))</f>
        <v/>
      </c>
      <c r="U637" s="0" t="str">
        <f aca="false">IF(OR($B637="",$L637="已完成"),"",IF(ISNUMBER($B637),IF(设置!$B$6&lt;$B637,"",(设置!$B$6-$B637)*100000+ROW()),""))</f>
        <v/>
      </c>
      <c r="V637" s="0" t="str">
        <f aca="false">IF(ISNUMBER($O637),IF($O637&gt;=2,IF(COUNTIFS($D637:$D$2006,$D637,$E637:$E$2006,$E637)=1,ROW(),""),""),"")</f>
        <v/>
      </c>
    </row>
    <row r="638" customFormat="false" ht="15" hidden="false" customHeight="true" outlineLevel="0" collapsed="false">
      <c r="A638" s="13" t="str">
        <f aca="false">IF(AND($B638="",$D638="",$E638="",$F638=""),"",IF(OR($B638="",$D638="",$E638=""),"待补",IF($D638="公共区域","公",IF($D638="商铺","S",SUBSTITUTE($D638,"栋","")))&amp;"-"&amp;$E638&amp;"-"&amp;TEXT(MONTH($B638),"00")&amp;TEXT(DAY($B638),"00")&amp;IF(ISNUMBER($O638),IF($O638&gt;1,"-"&amp;TEXT($O638,"00"),""),"")))</f>
        <v/>
      </c>
      <c r="B638" s="14"/>
      <c r="C638" s="10"/>
      <c r="D638" s="10"/>
      <c r="E638" s="10"/>
      <c r="F638" s="16"/>
      <c r="G638" s="10"/>
      <c r="H638" s="10"/>
      <c r="I638" s="10"/>
      <c r="J638" s="10"/>
      <c r="K638" s="10"/>
      <c r="L638" s="10"/>
      <c r="M638" s="14"/>
      <c r="N638" s="17" t="str">
        <f aca="false">IF($B638="","",IF($L638="已完成",IF($M638="","",$M638-$B638),IF(设置!$B$6&lt;$B638,"",IF((设置!$B$6-$B638)&gt;=设置!$B$5,"超期"&amp;(设置!$B$6-$B638)&amp;"天","已等"&amp;(设置!$B$6-$B638)&amp;"天"))))</f>
        <v/>
      </c>
      <c r="O638" s="18" t="str">
        <f aca="false">IF(OR($D638="",$E638=""),"",COUNTIFS($D$7:$D638,$D638,$E$7:$E638,$E638))</f>
        <v/>
      </c>
      <c r="P638" s="16"/>
      <c r="Q638" s="19"/>
      <c r="R638" s="10"/>
      <c r="S638" s="16"/>
      <c r="T638" s="0" t="str">
        <f aca="false">IF(OR($D638="",单元查询!$B$3=""),"",IF($D638&lt;&gt;单元查询!$B$3,"",IF(OR(单元查询!$D$3="",$E638&amp;""=单元查询!$D$3&amp;""),IF(ISNUMBER($B638),$B638*10000,0)+ROW(),"")))</f>
        <v/>
      </c>
      <c r="U638" s="0" t="str">
        <f aca="false">IF(OR($B638="",$L638="已完成"),"",IF(ISNUMBER($B638),IF(设置!$B$6&lt;$B638,"",(设置!$B$6-$B638)*100000+ROW()),""))</f>
        <v/>
      </c>
      <c r="V638" s="0" t="str">
        <f aca="false">IF(ISNUMBER($O638),IF($O638&gt;=2,IF(COUNTIFS($D638:$D$2006,$D638,$E638:$E$2006,$E638)=1,ROW(),""),""),"")</f>
        <v/>
      </c>
    </row>
    <row r="639" customFormat="false" ht="15" hidden="false" customHeight="true" outlineLevel="0" collapsed="false">
      <c r="A639" s="13" t="str">
        <f aca="false">IF(AND($B639="",$D639="",$E639="",$F639=""),"",IF(OR($B639="",$D639="",$E639=""),"待补",IF($D639="公共区域","公",IF($D639="商铺","S",SUBSTITUTE($D639,"栋","")))&amp;"-"&amp;$E639&amp;"-"&amp;TEXT(MONTH($B639),"00")&amp;TEXT(DAY($B639),"00")&amp;IF(ISNUMBER($O639),IF($O639&gt;1,"-"&amp;TEXT($O639,"00"),""),"")))</f>
        <v/>
      </c>
      <c r="B639" s="14"/>
      <c r="C639" s="10"/>
      <c r="D639" s="10"/>
      <c r="E639" s="10"/>
      <c r="F639" s="16"/>
      <c r="G639" s="10"/>
      <c r="H639" s="10"/>
      <c r="I639" s="10"/>
      <c r="J639" s="10"/>
      <c r="K639" s="10"/>
      <c r="L639" s="10"/>
      <c r="M639" s="14"/>
      <c r="N639" s="17" t="str">
        <f aca="false">IF($B639="","",IF($L639="已完成",IF($M639="","",$M639-$B639),IF(设置!$B$6&lt;$B639,"",IF((设置!$B$6-$B639)&gt;=设置!$B$5,"超期"&amp;(设置!$B$6-$B639)&amp;"天","已等"&amp;(设置!$B$6-$B639)&amp;"天"))))</f>
        <v/>
      </c>
      <c r="O639" s="18" t="str">
        <f aca="false">IF(OR($D639="",$E639=""),"",COUNTIFS($D$7:$D639,$D639,$E$7:$E639,$E639))</f>
        <v/>
      </c>
      <c r="P639" s="16"/>
      <c r="Q639" s="19"/>
      <c r="R639" s="10"/>
      <c r="S639" s="16"/>
      <c r="T639" s="0" t="str">
        <f aca="false">IF(OR($D639="",单元查询!$B$3=""),"",IF($D639&lt;&gt;单元查询!$B$3,"",IF(OR(单元查询!$D$3="",$E639&amp;""=单元查询!$D$3&amp;""),IF(ISNUMBER($B639),$B639*10000,0)+ROW(),"")))</f>
        <v/>
      </c>
      <c r="U639" s="0" t="str">
        <f aca="false">IF(OR($B639="",$L639="已完成"),"",IF(ISNUMBER($B639),IF(设置!$B$6&lt;$B639,"",(设置!$B$6-$B639)*100000+ROW()),""))</f>
        <v/>
      </c>
      <c r="V639" s="0" t="str">
        <f aca="false">IF(ISNUMBER($O639),IF($O639&gt;=2,IF(COUNTIFS($D639:$D$2006,$D639,$E639:$E$2006,$E639)=1,ROW(),""),""),"")</f>
        <v/>
      </c>
    </row>
    <row r="640" customFormat="false" ht="15" hidden="false" customHeight="true" outlineLevel="0" collapsed="false">
      <c r="A640" s="13" t="str">
        <f aca="false">IF(AND($B640="",$D640="",$E640="",$F640=""),"",IF(OR($B640="",$D640="",$E640=""),"待补",IF($D640="公共区域","公",IF($D640="商铺","S",SUBSTITUTE($D640,"栋","")))&amp;"-"&amp;$E640&amp;"-"&amp;TEXT(MONTH($B640),"00")&amp;TEXT(DAY($B640),"00")&amp;IF(ISNUMBER($O640),IF($O640&gt;1,"-"&amp;TEXT($O640,"00"),""),"")))</f>
        <v/>
      </c>
      <c r="B640" s="14"/>
      <c r="C640" s="10"/>
      <c r="D640" s="10"/>
      <c r="E640" s="10"/>
      <c r="F640" s="16"/>
      <c r="G640" s="10"/>
      <c r="H640" s="10"/>
      <c r="I640" s="10"/>
      <c r="J640" s="10"/>
      <c r="K640" s="10"/>
      <c r="L640" s="10"/>
      <c r="M640" s="14"/>
      <c r="N640" s="17" t="str">
        <f aca="false">IF($B640="","",IF($L640="已完成",IF($M640="","",$M640-$B640),IF(设置!$B$6&lt;$B640,"",IF((设置!$B$6-$B640)&gt;=设置!$B$5,"超期"&amp;(设置!$B$6-$B640)&amp;"天","已等"&amp;(设置!$B$6-$B640)&amp;"天"))))</f>
        <v/>
      </c>
      <c r="O640" s="18" t="str">
        <f aca="false">IF(OR($D640="",$E640=""),"",COUNTIFS($D$7:$D640,$D640,$E$7:$E640,$E640))</f>
        <v/>
      </c>
      <c r="P640" s="16"/>
      <c r="Q640" s="19"/>
      <c r="R640" s="10"/>
      <c r="S640" s="16"/>
      <c r="T640" s="0" t="str">
        <f aca="false">IF(OR($D640="",单元查询!$B$3=""),"",IF($D640&lt;&gt;单元查询!$B$3,"",IF(OR(单元查询!$D$3="",$E640&amp;""=单元查询!$D$3&amp;""),IF(ISNUMBER($B640),$B640*10000,0)+ROW(),"")))</f>
        <v/>
      </c>
      <c r="U640" s="0" t="str">
        <f aca="false">IF(OR($B640="",$L640="已完成"),"",IF(ISNUMBER($B640),IF(设置!$B$6&lt;$B640,"",(设置!$B$6-$B640)*100000+ROW()),""))</f>
        <v/>
      </c>
      <c r="V640" s="0" t="str">
        <f aca="false">IF(ISNUMBER($O640),IF($O640&gt;=2,IF(COUNTIFS($D640:$D$2006,$D640,$E640:$E$2006,$E640)=1,ROW(),""),""),"")</f>
        <v/>
      </c>
    </row>
    <row r="641" customFormat="false" ht="15" hidden="false" customHeight="true" outlineLevel="0" collapsed="false">
      <c r="A641" s="13" t="str">
        <f aca="false">IF(AND($B641="",$D641="",$E641="",$F641=""),"",IF(OR($B641="",$D641="",$E641=""),"待补",IF($D641="公共区域","公",IF($D641="商铺","S",SUBSTITUTE($D641,"栋","")))&amp;"-"&amp;$E641&amp;"-"&amp;TEXT(MONTH($B641),"00")&amp;TEXT(DAY($B641),"00")&amp;IF(ISNUMBER($O641),IF($O641&gt;1,"-"&amp;TEXT($O641,"00"),""),"")))</f>
        <v/>
      </c>
      <c r="B641" s="14"/>
      <c r="C641" s="10"/>
      <c r="D641" s="10"/>
      <c r="E641" s="10"/>
      <c r="F641" s="16"/>
      <c r="G641" s="10"/>
      <c r="H641" s="10"/>
      <c r="I641" s="10"/>
      <c r="J641" s="10"/>
      <c r="K641" s="10"/>
      <c r="L641" s="10"/>
      <c r="M641" s="14"/>
      <c r="N641" s="17" t="str">
        <f aca="false">IF($B641="","",IF($L641="已完成",IF($M641="","",$M641-$B641),IF(设置!$B$6&lt;$B641,"",IF((设置!$B$6-$B641)&gt;=设置!$B$5,"超期"&amp;(设置!$B$6-$B641)&amp;"天","已等"&amp;(设置!$B$6-$B641)&amp;"天"))))</f>
        <v/>
      </c>
      <c r="O641" s="18" t="str">
        <f aca="false">IF(OR($D641="",$E641=""),"",COUNTIFS($D$7:$D641,$D641,$E$7:$E641,$E641))</f>
        <v/>
      </c>
      <c r="P641" s="16"/>
      <c r="Q641" s="19"/>
      <c r="R641" s="10"/>
      <c r="S641" s="16"/>
      <c r="T641" s="0" t="str">
        <f aca="false">IF(OR($D641="",单元查询!$B$3=""),"",IF($D641&lt;&gt;单元查询!$B$3,"",IF(OR(单元查询!$D$3="",$E641&amp;""=单元查询!$D$3&amp;""),IF(ISNUMBER($B641),$B641*10000,0)+ROW(),"")))</f>
        <v/>
      </c>
      <c r="U641" s="0" t="str">
        <f aca="false">IF(OR($B641="",$L641="已完成"),"",IF(ISNUMBER($B641),IF(设置!$B$6&lt;$B641,"",(设置!$B$6-$B641)*100000+ROW()),""))</f>
        <v/>
      </c>
      <c r="V641" s="0" t="str">
        <f aca="false">IF(ISNUMBER($O641),IF($O641&gt;=2,IF(COUNTIFS($D641:$D$2006,$D641,$E641:$E$2006,$E641)=1,ROW(),""),""),"")</f>
        <v/>
      </c>
    </row>
    <row r="642" customFormat="false" ht="15" hidden="false" customHeight="true" outlineLevel="0" collapsed="false">
      <c r="A642" s="13" t="str">
        <f aca="false">IF(AND($B642="",$D642="",$E642="",$F642=""),"",IF(OR($B642="",$D642="",$E642=""),"待补",IF($D642="公共区域","公",IF($D642="商铺","S",SUBSTITUTE($D642,"栋","")))&amp;"-"&amp;$E642&amp;"-"&amp;TEXT(MONTH($B642),"00")&amp;TEXT(DAY($B642),"00")&amp;IF(ISNUMBER($O642),IF($O642&gt;1,"-"&amp;TEXT($O642,"00"),""),"")))</f>
        <v/>
      </c>
      <c r="B642" s="14"/>
      <c r="C642" s="10"/>
      <c r="D642" s="10"/>
      <c r="E642" s="10"/>
      <c r="F642" s="16"/>
      <c r="G642" s="10"/>
      <c r="H642" s="10"/>
      <c r="I642" s="10"/>
      <c r="J642" s="10"/>
      <c r="K642" s="10"/>
      <c r="L642" s="10"/>
      <c r="M642" s="14"/>
      <c r="N642" s="17" t="str">
        <f aca="false">IF($B642="","",IF($L642="已完成",IF($M642="","",$M642-$B642),IF(设置!$B$6&lt;$B642,"",IF((设置!$B$6-$B642)&gt;=设置!$B$5,"超期"&amp;(设置!$B$6-$B642)&amp;"天","已等"&amp;(设置!$B$6-$B642)&amp;"天"))))</f>
        <v/>
      </c>
      <c r="O642" s="18" t="str">
        <f aca="false">IF(OR($D642="",$E642=""),"",COUNTIFS($D$7:$D642,$D642,$E$7:$E642,$E642))</f>
        <v/>
      </c>
      <c r="P642" s="16"/>
      <c r="Q642" s="19"/>
      <c r="R642" s="10"/>
      <c r="S642" s="16"/>
      <c r="T642" s="0" t="str">
        <f aca="false">IF(OR($D642="",单元查询!$B$3=""),"",IF($D642&lt;&gt;单元查询!$B$3,"",IF(OR(单元查询!$D$3="",$E642&amp;""=单元查询!$D$3&amp;""),IF(ISNUMBER($B642),$B642*10000,0)+ROW(),"")))</f>
        <v/>
      </c>
      <c r="U642" s="0" t="str">
        <f aca="false">IF(OR($B642="",$L642="已完成"),"",IF(ISNUMBER($B642),IF(设置!$B$6&lt;$B642,"",(设置!$B$6-$B642)*100000+ROW()),""))</f>
        <v/>
      </c>
      <c r="V642" s="0" t="str">
        <f aca="false">IF(ISNUMBER($O642),IF($O642&gt;=2,IF(COUNTIFS($D642:$D$2006,$D642,$E642:$E$2006,$E642)=1,ROW(),""),""),"")</f>
        <v/>
      </c>
    </row>
    <row r="643" customFormat="false" ht="15" hidden="false" customHeight="true" outlineLevel="0" collapsed="false">
      <c r="A643" s="13" t="str">
        <f aca="false">IF(AND($B643="",$D643="",$E643="",$F643=""),"",IF(OR($B643="",$D643="",$E643=""),"待补",IF($D643="公共区域","公",IF($D643="商铺","S",SUBSTITUTE($D643,"栋","")))&amp;"-"&amp;$E643&amp;"-"&amp;TEXT(MONTH($B643),"00")&amp;TEXT(DAY($B643),"00")&amp;IF(ISNUMBER($O643),IF($O643&gt;1,"-"&amp;TEXT($O643,"00"),""),"")))</f>
        <v/>
      </c>
      <c r="B643" s="14"/>
      <c r="C643" s="10"/>
      <c r="D643" s="10"/>
      <c r="E643" s="10"/>
      <c r="F643" s="16"/>
      <c r="G643" s="10"/>
      <c r="H643" s="10"/>
      <c r="I643" s="10"/>
      <c r="J643" s="10"/>
      <c r="K643" s="10"/>
      <c r="L643" s="10"/>
      <c r="M643" s="14"/>
      <c r="N643" s="17" t="str">
        <f aca="false">IF($B643="","",IF($L643="已完成",IF($M643="","",$M643-$B643),IF(设置!$B$6&lt;$B643,"",IF((设置!$B$6-$B643)&gt;=设置!$B$5,"超期"&amp;(设置!$B$6-$B643)&amp;"天","已等"&amp;(设置!$B$6-$B643)&amp;"天"))))</f>
        <v/>
      </c>
      <c r="O643" s="18" t="str">
        <f aca="false">IF(OR($D643="",$E643=""),"",COUNTIFS($D$7:$D643,$D643,$E$7:$E643,$E643))</f>
        <v/>
      </c>
      <c r="P643" s="16"/>
      <c r="Q643" s="19"/>
      <c r="R643" s="10"/>
      <c r="S643" s="16"/>
      <c r="T643" s="0" t="str">
        <f aca="false">IF(OR($D643="",单元查询!$B$3=""),"",IF($D643&lt;&gt;单元查询!$B$3,"",IF(OR(单元查询!$D$3="",$E643&amp;""=单元查询!$D$3&amp;""),IF(ISNUMBER($B643),$B643*10000,0)+ROW(),"")))</f>
        <v/>
      </c>
      <c r="U643" s="0" t="str">
        <f aca="false">IF(OR($B643="",$L643="已完成"),"",IF(ISNUMBER($B643),IF(设置!$B$6&lt;$B643,"",(设置!$B$6-$B643)*100000+ROW()),""))</f>
        <v/>
      </c>
      <c r="V643" s="0" t="str">
        <f aca="false">IF(ISNUMBER($O643),IF($O643&gt;=2,IF(COUNTIFS($D643:$D$2006,$D643,$E643:$E$2006,$E643)=1,ROW(),""),""),"")</f>
        <v/>
      </c>
    </row>
    <row r="644" customFormat="false" ht="15" hidden="false" customHeight="true" outlineLevel="0" collapsed="false">
      <c r="A644" s="13" t="str">
        <f aca="false">IF(AND($B644="",$D644="",$E644="",$F644=""),"",IF(OR($B644="",$D644="",$E644=""),"待补",IF($D644="公共区域","公",IF($D644="商铺","S",SUBSTITUTE($D644,"栋","")))&amp;"-"&amp;$E644&amp;"-"&amp;TEXT(MONTH($B644),"00")&amp;TEXT(DAY($B644),"00")&amp;IF(ISNUMBER($O644),IF($O644&gt;1,"-"&amp;TEXT($O644,"00"),""),"")))</f>
        <v/>
      </c>
      <c r="B644" s="14"/>
      <c r="C644" s="10"/>
      <c r="D644" s="10"/>
      <c r="E644" s="10"/>
      <c r="F644" s="16"/>
      <c r="G644" s="10"/>
      <c r="H644" s="10"/>
      <c r="I644" s="10"/>
      <c r="J644" s="10"/>
      <c r="K644" s="10"/>
      <c r="L644" s="10"/>
      <c r="M644" s="14"/>
      <c r="N644" s="17" t="str">
        <f aca="false">IF($B644="","",IF($L644="已完成",IF($M644="","",$M644-$B644),IF(设置!$B$6&lt;$B644,"",IF((设置!$B$6-$B644)&gt;=设置!$B$5,"超期"&amp;(设置!$B$6-$B644)&amp;"天","已等"&amp;(设置!$B$6-$B644)&amp;"天"))))</f>
        <v/>
      </c>
      <c r="O644" s="18" t="str">
        <f aca="false">IF(OR($D644="",$E644=""),"",COUNTIFS($D$7:$D644,$D644,$E$7:$E644,$E644))</f>
        <v/>
      </c>
      <c r="P644" s="16"/>
      <c r="Q644" s="19"/>
      <c r="R644" s="10"/>
      <c r="S644" s="16"/>
      <c r="T644" s="0" t="str">
        <f aca="false">IF(OR($D644="",单元查询!$B$3=""),"",IF($D644&lt;&gt;单元查询!$B$3,"",IF(OR(单元查询!$D$3="",$E644&amp;""=单元查询!$D$3&amp;""),IF(ISNUMBER($B644),$B644*10000,0)+ROW(),"")))</f>
        <v/>
      </c>
      <c r="U644" s="0" t="str">
        <f aca="false">IF(OR($B644="",$L644="已完成"),"",IF(ISNUMBER($B644),IF(设置!$B$6&lt;$B644,"",(设置!$B$6-$B644)*100000+ROW()),""))</f>
        <v/>
      </c>
      <c r="V644" s="0" t="str">
        <f aca="false">IF(ISNUMBER($O644),IF($O644&gt;=2,IF(COUNTIFS($D644:$D$2006,$D644,$E644:$E$2006,$E644)=1,ROW(),""),""),"")</f>
        <v/>
      </c>
    </row>
    <row r="645" customFormat="false" ht="15" hidden="false" customHeight="true" outlineLevel="0" collapsed="false">
      <c r="A645" s="13" t="str">
        <f aca="false">IF(AND($B645="",$D645="",$E645="",$F645=""),"",IF(OR($B645="",$D645="",$E645=""),"待补",IF($D645="公共区域","公",IF($D645="商铺","S",SUBSTITUTE($D645,"栋","")))&amp;"-"&amp;$E645&amp;"-"&amp;TEXT(MONTH($B645),"00")&amp;TEXT(DAY($B645),"00")&amp;IF(ISNUMBER($O645),IF($O645&gt;1,"-"&amp;TEXT($O645,"00"),""),"")))</f>
        <v/>
      </c>
      <c r="B645" s="14"/>
      <c r="C645" s="10"/>
      <c r="D645" s="10"/>
      <c r="E645" s="10"/>
      <c r="F645" s="16"/>
      <c r="G645" s="10"/>
      <c r="H645" s="10"/>
      <c r="I645" s="10"/>
      <c r="J645" s="10"/>
      <c r="K645" s="10"/>
      <c r="L645" s="10"/>
      <c r="M645" s="14"/>
      <c r="N645" s="17" t="str">
        <f aca="false">IF($B645="","",IF($L645="已完成",IF($M645="","",$M645-$B645),IF(设置!$B$6&lt;$B645,"",IF((设置!$B$6-$B645)&gt;=设置!$B$5,"超期"&amp;(设置!$B$6-$B645)&amp;"天","已等"&amp;(设置!$B$6-$B645)&amp;"天"))))</f>
        <v/>
      </c>
      <c r="O645" s="18" t="str">
        <f aca="false">IF(OR($D645="",$E645=""),"",COUNTIFS($D$7:$D645,$D645,$E$7:$E645,$E645))</f>
        <v/>
      </c>
      <c r="P645" s="16"/>
      <c r="Q645" s="19"/>
      <c r="R645" s="10"/>
      <c r="S645" s="16"/>
      <c r="T645" s="0" t="str">
        <f aca="false">IF(OR($D645="",单元查询!$B$3=""),"",IF($D645&lt;&gt;单元查询!$B$3,"",IF(OR(单元查询!$D$3="",$E645&amp;""=单元查询!$D$3&amp;""),IF(ISNUMBER($B645),$B645*10000,0)+ROW(),"")))</f>
        <v/>
      </c>
      <c r="U645" s="0" t="str">
        <f aca="false">IF(OR($B645="",$L645="已完成"),"",IF(ISNUMBER($B645),IF(设置!$B$6&lt;$B645,"",(设置!$B$6-$B645)*100000+ROW()),""))</f>
        <v/>
      </c>
      <c r="V645" s="0" t="str">
        <f aca="false">IF(ISNUMBER($O645),IF($O645&gt;=2,IF(COUNTIFS($D645:$D$2006,$D645,$E645:$E$2006,$E645)=1,ROW(),""),""),"")</f>
        <v/>
      </c>
    </row>
    <row r="646" customFormat="false" ht="15" hidden="false" customHeight="true" outlineLevel="0" collapsed="false">
      <c r="A646" s="13" t="str">
        <f aca="false">IF(AND($B646="",$D646="",$E646="",$F646=""),"",IF(OR($B646="",$D646="",$E646=""),"待补",IF($D646="公共区域","公",IF($D646="商铺","S",SUBSTITUTE($D646,"栋","")))&amp;"-"&amp;$E646&amp;"-"&amp;TEXT(MONTH($B646),"00")&amp;TEXT(DAY($B646),"00")&amp;IF(ISNUMBER($O646),IF($O646&gt;1,"-"&amp;TEXT($O646,"00"),""),"")))</f>
        <v/>
      </c>
      <c r="B646" s="14"/>
      <c r="C646" s="10"/>
      <c r="D646" s="10"/>
      <c r="E646" s="10"/>
      <c r="F646" s="16"/>
      <c r="G646" s="10"/>
      <c r="H646" s="10"/>
      <c r="I646" s="10"/>
      <c r="J646" s="10"/>
      <c r="K646" s="10"/>
      <c r="L646" s="10"/>
      <c r="M646" s="14"/>
      <c r="N646" s="17" t="str">
        <f aca="false">IF($B646="","",IF($L646="已完成",IF($M646="","",$M646-$B646),IF(设置!$B$6&lt;$B646,"",IF((设置!$B$6-$B646)&gt;=设置!$B$5,"超期"&amp;(设置!$B$6-$B646)&amp;"天","已等"&amp;(设置!$B$6-$B646)&amp;"天"))))</f>
        <v/>
      </c>
      <c r="O646" s="18" t="str">
        <f aca="false">IF(OR($D646="",$E646=""),"",COUNTIFS($D$7:$D646,$D646,$E$7:$E646,$E646))</f>
        <v/>
      </c>
      <c r="P646" s="16"/>
      <c r="Q646" s="19"/>
      <c r="R646" s="10"/>
      <c r="S646" s="16"/>
      <c r="T646" s="0" t="str">
        <f aca="false">IF(OR($D646="",单元查询!$B$3=""),"",IF($D646&lt;&gt;单元查询!$B$3,"",IF(OR(单元查询!$D$3="",$E646&amp;""=单元查询!$D$3&amp;""),IF(ISNUMBER($B646),$B646*10000,0)+ROW(),"")))</f>
        <v/>
      </c>
      <c r="U646" s="0" t="str">
        <f aca="false">IF(OR($B646="",$L646="已完成"),"",IF(ISNUMBER($B646),IF(设置!$B$6&lt;$B646,"",(设置!$B$6-$B646)*100000+ROW()),""))</f>
        <v/>
      </c>
      <c r="V646" s="0" t="str">
        <f aca="false">IF(ISNUMBER($O646),IF($O646&gt;=2,IF(COUNTIFS($D646:$D$2006,$D646,$E646:$E$2006,$E646)=1,ROW(),""),""),"")</f>
        <v/>
      </c>
    </row>
    <row r="647" customFormat="false" ht="15" hidden="false" customHeight="true" outlineLevel="0" collapsed="false">
      <c r="A647" s="13" t="str">
        <f aca="false">IF(AND($B647="",$D647="",$E647="",$F647=""),"",IF(OR($B647="",$D647="",$E647=""),"待补",IF($D647="公共区域","公",IF($D647="商铺","S",SUBSTITUTE($D647,"栋","")))&amp;"-"&amp;$E647&amp;"-"&amp;TEXT(MONTH($B647),"00")&amp;TEXT(DAY($B647),"00")&amp;IF(ISNUMBER($O647),IF($O647&gt;1,"-"&amp;TEXT($O647,"00"),""),"")))</f>
        <v/>
      </c>
      <c r="B647" s="14"/>
      <c r="C647" s="10"/>
      <c r="D647" s="10"/>
      <c r="E647" s="10"/>
      <c r="F647" s="16"/>
      <c r="G647" s="10"/>
      <c r="H647" s="10"/>
      <c r="I647" s="10"/>
      <c r="J647" s="10"/>
      <c r="K647" s="10"/>
      <c r="L647" s="10"/>
      <c r="M647" s="14"/>
      <c r="N647" s="17" t="str">
        <f aca="false">IF($B647="","",IF($L647="已完成",IF($M647="","",$M647-$B647),IF(设置!$B$6&lt;$B647,"",IF((设置!$B$6-$B647)&gt;=设置!$B$5,"超期"&amp;(设置!$B$6-$B647)&amp;"天","已等"&amp;(设置!$B$6-$B647)&amp;"天"))))</f>
        <v/>
      </c>
      <c r="O647" s="18" t="str">
        <f aca="false">IF(OR($D647="",$E647=""),"",COUNTIFS($D$7:$D647,$D647,$E$7:$E647,$E647))</f>
        <v/>
      </c>
      <c r="P647" s="16"/>
      <c r="Q647" s="19"/>
      <c r="R647" s="10"/>
      <c r="S647" s="16"/>
      <c r="T647" s="0" t="str">
        <f aca="false">IF(OR($D647="",单元查询!$B$3=""),"",IF($D647&lt;&gt;单元查询!$B$3,"",IF(OR(单元查询!$D$3="",$E647&amp;""=单元查询!$D$3&amp;""),IF(ISNUMBER($B647),$B647*10000,0)+ROW(),"")))</f>
        <v/>
      </c>
      <c r="U647" s="0" t="str">
        <f aca="false">IF(OR($B647="",$L647="已完成"),"",IF(ISNUMBER($B647),IF(设置!$B$6&lt;$B647,"",(设置!$B$6-$B647)*100000+ROW()),""))</f>
        <v/>
      </c>
      <c r="V647" s="0" t="str">
        <f aca="false">IF(ISNUMBER($O647),IF($O647&gt;=2,IF(COUNTIFS($D647:$D$2006,$D647,$E647:$E$2006,$E647)=1,ROW(),""),""),"")</f>
        <v/>
      </c>
    </row>
    <row r="648" customFormat="false" ht="15" hidden="false" customHeight="true" outlineLevel="0" collapsed="false">
      <c r="A648" s="13" t="str">
        <f aca="false">IF(AND($B648="",$D648="",$E648="",$F648=""),"",IF(OR($B648="",$D648="",$E648=""),"待补",IF($D648="公共区域","公",IF($D648="商铺","S",SUBSTITUTE($D648,"栋","")))&amp;"-"&amp;$E648&amp;"-"&amp;TEXT(MONTH($B648),"00")&amp;TEXT(DAY($B648),"00")&amp;IF(ISNUMBER($O648),IF($O648&gt;1,"-"&amp;TEXT($O648,"00"),""),"")))</f>
        <v/>
      </c>
      <c r="B648" s="14"/>
      <c r="C648" s="10"/>
      <c r="D648" s="10"/>
      <c r="E648" s="10"/>
      <c r="F648" s="16"/>
      <c r="G648" s="10"/>
      <c r="H648" s="10"/>
      <c r="I648" s="10"/>
      <c r="J648" s="10"/>
      <c r="K648" s="10"/>
      <c r="L648" s="10"/>
      <c r="M648" s="14"/>
      <c r="N648" s="17" t="str">
        <f aca="false">IF($B648="","",IF($L648="已完成",IF($M648="","",$M648-$B648),IF(设置!$B$6&lt;$B648,"",IF((设置!$B$6-$B648)&gt;=设置!$B$5,"超期"&amp;(设置!$B$6-$B648)&amp;"天","已等"&amp;(设置!$B$6-$B648)&amp;"天"))))</f>
        <v/>
      </c>
      <c r="O648" s="18" t="str">
        <f aca="false">IF(OR($D648="",$E648=""),"",COUNTIFS($D$7:$D648,$D648,$E$7:$E648,$E648))</f>
        <v/>
      </c>
      <c r="P648" s="16"/>
      <c r="Q648" s="19"/>
      <c r="R648" s="10"/>
      <c r="S648" s="16"/>
      <c r="T648" s="0" t="str">
        <f aca="false">IF(OR($D648="",单元查询!$B$3=""),"",IF($D648&lt;&gt;单元查询!$B$3,"",IF(OR(单元查询!$D$3="",$E648&amp;""=单元查询!$D$3&amp;""),IF(ISNUMBER($B648),$B648*10000,0)+ROW(),"")))</f>
        <v/>
      </c>
      <c r="U648" s="0" t="str">
        <f aca="false">IF(OR($B648="",$L648="已完成"),"",IF(ISNUMBER($B648),IF(设置!$B$6&lt;$B648,"",(设置!$B$6-$B648)*100000+ROW()),""))</f>
        <v/>
      </c>
      <c r="V648" s="0" t="str">
        <f aca="false">IF(ISNUMBER($O648),IF($O648&gt;=2,IF(COUNTIFS($D648:$D$2006,$D648,$E648:$E$2006,$E648)=1,ROW(),""),""),"")</f>
        <v/>
      </c>
    </row>
    <row r="649" customFormat="false" ht="15" hidden="false" customHeight="true" outlineLevel="0" collapsed="false">
      <c r="A649" s="13" t="str">
        <f aca="false">IF(AND($B649="",$D649="",$E649="",$F649=""),"",IF(OR($B649="",$D649="",$E649=""),"待补",IF($D649="公共区域","公",IF($D649="商铺","S",SUBSTITUTE($D649,"栋","")))&amp;"-"&amp;$E649&amp;"-"&amp;TEXT(MONTH($B649),"00")&amp;TEXT(DAY($B649),"00")&amp;IF(ISNUMBER($O649),IF($O649&gt;1,"-"&amp;TEXT($O649,"00"),""),"")))</f>
        <v/>
      </c>
      <c r="B649" s="14"/>
      <c r="C649" s="10"/>
      <c r="D649" s="10"/>
      <c r="E649" s="10"/>
      <c r="F649" s="16"/>
      <c r="G649" s="10"/>
      <c r="H649" s="10"/>
      <c r="I649" s="10"/>
      <c r="J649" s="10"/>
      <c r="K649" s="10"/>
      <c r="L649" s="10"/>
      <c r="M649" s="14"/>
      <c r="N649" s="17" t="str">
        <f aca="false">IF($B649="","",IF($L649="已完成",IF($M649="","",$M649-$B649),IF(设置!$B$6&lt;$B649,"",IF((设置!$B$6-$B649)&gt;=设置!$B$5,"超期"&amp;(设置!$B$6-$B649)&amp;"天","已等"&amp;(设置!$B$6-$B649)&amp;"天"))))</f>
        <v/>
      </c>
      <c r="O649" s="18" t="str">
        <f aca="false">IF(OR($D649="",$E649=""),"",COUNTIFS($D$7:$D649,$D649,$E$7:$E649,$E649))</f>
        <v/>
      </c>
      <c r="P649" s="16"/>
      <c r="Q649" s="19"/>
      <c r="R649" s="10"/>
      <c r="S649" s="16"/>
      <c r="T649" s="0" t="str">
        <f aca="false">IF(OR($D649="",单元查询!$B$3=""),"",IF($D649&lt;&gt;单元查询!$B$3,"",IF(OR(单元查询!$D$3="",$E649&amp;""=单元查询!$D$3&amp;""),IF(ISNUMBER($B649),$B649*10000,0)+ROW(),"")))</f>
        <v/>
      </c>
      <c r="U649" s="0" t="str">
        <f aca="false">IF(OR($B649="",$L649="已完成"),"",IF(ISNUMBER($B649),IF(设置!$B$6&lt;$B649,"",(设置!$B$6-$B649)*100000+ROW()),""))</f>
        <v/>
      </c>
      <c r="V649" s="0" t="str">
        <f aca="false">IF(ISNUMBER($O649),IF($O649&gt;=2,IF(COUNTIFS($D649:$D$2006,$D649,$E649:$E$2006,$E649)=1,ROW(),""),""),"")</f>
        <v/>
      </c>
    </row>
    <row r="650" customFormat="false" ht="15" hidden="false" customHeight="true" outlineLevel="0" collapsed="false">
      <c r="A650" s="13" t="str">
        <f aca="false">IF(AND($B650="",$D650="",$E650="",$F650=""),"",IF(OR($B650="",$D650="",$E650=""),"待补",IF($D650="公共区域","公",IF($D650="商铺","S",SUBSTITUTE($D650,"栋","")))&amp;"-"&amp;$E650&amp;"-"&amp;TEXT(MONTH($B650),"00")&amp;TEXT(DAY($B650),"00")&amp;IF(ISNUMBER($O650),IF($O650&gt;1,"-"&amp;TEXT($O650,"00"),""),"")))</f>
        <v/>
      </c>
      <c r="B650" s="14"/>
      <c r="C650" s="10"/>
      <c r="D650" s="10"/>
      <c r="E650" s="10"/>
      <c r="F650" s="16"/>
      <c r="G650" s="10"/>
      <c r="H650" s="10"/>
      <c r="I650" s="10"/>
      <c r="J650" s="10"/>
      <c r="K650" s="10"/>
      <c r="L650" s="10"/>
      <c r="M650" s="14"/>
      <c r="N650" s="17" t="str">
        <f aca="false">IF($B650="","",IF($L650="已完成",IF($M650="","",$M650-$B650),IF(设置!$B$6&lt;$B650,"",IF((设置!$B$6-$B650)&gt;=设置!$B$5,"超期"&amp;(设置!$B$6-$B650)&amp;"天","已等"&amp;(设置!$B$6-$B650)&amp;"天"))))</f>
        <v/>
      </c>
      <c r="O650" s="18" t="str">
        <f aca="false">IF(OR($D650="",$E650=""),"",COUNTIFS($D$7:$D650,$D650,$E$7:$E650,$E650))</f>
        <v/>
      </c>
      <c r="P650" s="16"/>
      <c r="Q650" s="19"/>
      <c r="R650" s="10"/>
      <c r="S650" s="16"/>
      <c r="T650" s="0" t="str">
        <f aca="false">IF(OR($D650="",单元查询!$B$3=""),"",IF($D650&lt;&gt;单元查询!$B$3,"",IF(OR(单元查询!$D$3="",$E650&amp;""=单元查询!$D$3&amp;""),IF(ISNUMBER($B650),$B650*10000,0)+ROW(),"")))</f>
        <v/>
      </c>
      <c r="U650" s="0" t="str">
        <f aca="false">IF(OR($B650="",$L650="已完成"),"",IF(ISNUMBER($B650),IF(设置!$B$6&lt;$B650,"",(设置!$B$6-$B650)*100000+ROW()),""))</f>
        <v/>
      </c>
      <c r="V650" s="0" t="str">
        <f aca="false">IF(ISNUMBER($O650),IF($O650&gt;=2,IF(COUNTIFS($D650:$D$2006,$D650,$E650:$E$2006,$E650)=1,ROW(),""),""),"")</f>
        <v/>
      </c>
    </row>
    <row r="651" customFormat="false" ht="15" hidden="false" customHeight="true" outlineLevel="0" collapsed="false">
      <c r="A651" s="13" t="str">
        <f aca="false">IF(AND($B651="",$D651="",$E651="",$F651=""),"",IF(OR($B651="",$D651="",$E651=""),"待补",IF($D651="公共区域","公",IF($D651="商铺","S",SUBSTITUTE($D651,"栋","")))&amp;"-"&amp;$E651&amp;"-"&amp;TEXT(MONTH($B651),"00")&amp;TEXT(DAY($B651),"00")&amp;IF(ISNUMBER($O651),IF($O651&gt;1,"-"&amp;TEXT($O651,"00"),""),"")))</f>
        <v/>
      </c>
      <c r="B651" s="14"/>
      <c r="C651" s="10"/>
      <c r="D651" s="10"/>
      <c r="E651" s="10"/>
      <c r="F651" s="16"/>
      <c r="G651" s="10"/>
      <c r="H651" s="10"/>
      <c r="I651" s="10"/>
      <c r="J651" s="10"/>
      <c r="K651" s="10"/>
      <c r="L651" s="10"/>
      <c r="M651" s="14"/>
      <c r="N651" s="17" t="str">
        <f aca="false">IF($B651="","",IF($L651="已完成",IF($M651="","",$M651-$B651),IF(设置!$B$6&lt;$B651,"",IF((设置!$B$6-$B651)&gt;=设置!$B$5,"超期"&amp;(设置!$B$6-$B651)&amp;"天","已等"&amp;(设置!$B$6-$B651)&amp;"天"))))</f>
        <v/>
      </c>
      <c r="O651" s="18" t="str">
        <f aca="false">IF(OR($D651="",$E651=""),"",COUNTIFS($D$7:$D651,$D651,$E$7:$E651,$E651))</f>
        <v/>
      </c>
      <c r="P651" s="16"/>
      <c r="Q651" s="19"/>
      <c r="R651" s="10"/>
      <c r="S651" s="16"/>
      <c r="T651" s="0" t="str">
        <f aca="false">IF(OR($D651="",单元查询!$B$3=""),"",IF($D651&lt;&gt;单元查询!$B$3,"",IF(OR(单元查询!$D$3="",$E651&amp;""=单元查询!$D$3&amp;""),IF(ISNUMBER($B651),$B651*10000,0)+ROW(),"")))</f>
        <v/>
      </c>
      <c r="U651" s="0" t="str">
        <f aca="false">IF(OR($B651="",$L651="已完成"),"",IF(ISNUMBER($B651),IF(设置!$B$6&lt;$B651,"",(设置!$B$6-$B651)*100000+ROW()),""))</f>
        <v/>
      </c>
      <c r="V651" s="0" t="str">
        <f aca="false">IF(ISNUMBER($O651),IF($O651&gt;=2,IF(COUNTIFS($D651:$D$2006,$D651,$E651:$E$2006,$E651)=1,ROW(),""),""),"")</f>
        <v/>
      </c>
    </row>
    <row r="652" customFormat="false" ht="15" hidden="false" customHeight="true" outlineLevel="0" collapsed="false">
      <c r="A652" s="13" t="str">
        <f aca="false">IF(AND($B652="",$D652="",$E652="",$F652=""),"",IF(OR($B652="",$D652="",$E652=""),"待补",IF($D652="公共区域","公",IF($D652="商铺","S",SUBSTITUTE($D652,"栋","")))&amp;"-"&amp;$E652&amp;"-"&amp;TEXT(MONTH($B652),"00")&amp;TEXT(DAY($B652),"00")&amp;IF(ISNUMBER($O652),IF($O652&gt;1,"-"&amp;TEXT($O652,"00"),""),"")))</f>
        <v/>
      </c>
      <c r="B652" s="14"/>
      <c r="C652" s="10"/>
      <c r="D652" s="10"/>
      <c r="E652" s="10"/>
      <c r="F652" s="16"/>
      <c r="G652" s="10"/>
      <c r="H652" s="10"/>
      <c r="I652" s="10"/>
      <c r="J652" s="10"/>
      <c r="K652" s="10"/>
      <c r="L652" s="10"/>
      <c r="M652" s="14"/>
      <c r="N652" s="17" t="str">
        <f aca="false">IF($B652="","",IF($L652="已完成",IF($M652="","",$M652-$B652),IF(设置!$B$6&lt;$B652,"",IF((设置!$B$6-$B652)&gt;=设置!$B$5,"超期"&amp;(设置!$B$6-$B652)&amp;"天","已等"&amp;(设置!$B$6-$B652)&amp;"天"))))</f>
        <v/>
      </c>
      <c r="O652" s="18" t="str">
        <f aca="false">IF(OR($D652="",$E652=""),"",COUNTIFS($D$7:$D652,$D652,$E$7:$E652,$E652))</f>
        <v/>
      </c>
      <c r="P652" s="16"/>
      <c r="Q652" s="19"/>
      <c r="R652" s="10"/>
      <c r="S652" s="16"/>
      <c r="T652" s="0" t="str">
        <f aca="false">IF(OR($D652="",单元查询!$B$3=""),"",IF($D652&lt;&gt;单元查询!$B$3,"",IF(OR(单元查询!$D$3="",$E652&amp;""=单元查询!$D$3&amp;""),IF(ISNUMBER($B652),$B652*10000,0)+ROW(),"")))</f>
        <v/>
      </c>
      <c r="U652" s="0" t="str">
        <f aca="false">IF(OR($B652="",$L652="已完成"),"",IF(ISNUMBER($B652),IF(设置!$B$6&lt;$B652,"",(设置!$B$6-$B652)*100000+ROW()),""))</f>
        <v/>
      </c>
      <c r="V652" s="0" t="str">
        <f aca="false">IF(ISNUMBER($O652),IF($O652&gt;=2,IF(COUNTIFS($D652:$D$2006,$D652,$E652:$E$2006,$E652)=1,ROW(),""),""),"")</f>
        <v/>
      </c>
    </row>
    <row r="653" customFormat="false" ht="15" hidden="false" customHeight="true" outlineLevel="0" collapsed="false">
      <c r="A653" s="13" t="str">
        <f aca="false">IF(AND($B653="",$D653="",$E653="",$F653=""),"",IF(OR($B653="",$D653="",$E653=""),"待补",IF($D653="公共区域","公",IF($D653="商铺","S",SUBSTITUTE($D653,"栋","")))&amp;"-"&amp;$E653&amp;"-"&amp;TEXT(MONTH($B653),"00")&amp;TEXT(DAY($B653),"00")&amp;IF(ISNUMBER($O653),IF($O653&gt;1,"-"&amp;TEXT($O653,"00"),""),"")))</f>
        <v/>
      </c>
      <c r="B653" s="14"/>
      <c r="C653" s="10"/>
      <c r="D653" s="10"/>
      <c r="E653" s="10"/>
      <c r="F653" s="16"/>
      <c r="G653" s="10"/>
      <c r="H653" s="10"/>
      <c r="I653" s="10"/>
      <c r="J653" s="10"/>
      <c r="K653" s="10"/>
      <c r="L653" s="10"/>
      <c r="M653" s="14"/>
      <c r="N653" s="17" t="str">
        <f aca="false">IF($B653="","",IF($L653="已完成",IF($M653="","",$M653-$B653),IF(设置!$B$6&lt;$B653,"",IF((设置!$B$6-$B653)&gt;=设置!$B$5,"超期"&amp;(设置!$B$6-$B653)&amp;"天","已等"&amp;(设置!$B$6-$B653)&amp;"天"))))</f>
        <v/>
      </c>
      <c r="O653" s="18" t="str">
        <f aca="false">IF(OR($D653="",$E653=""),"",COUNTIFS($D$7:$D653,$D653,$E$7:$E653,$E653))</f>
        <v/>
      </c>
      <c r="P653" s="16"/>
      <c r="Q653" s="19"/>
      <c r="R653" s="10"/>
      <c r="S653" s="16"/>
      <c r="T653" s="0" t="str">
        <f aca="false">IF(OR($D653="",单元查询!$B$3=""),"",IF($D653&lt;&gt;单元查询!$B$3,"",IF(OR(单元查询!$D$3="",$E653&amp;""=单元查询!$D$3&amp;""),IF(ISNUMBER($B653),$B653*10000,0)+ROW(),"")))</f>
        <v/>
      </c>
      <c r="U653" s="0" t="str">
        <f aca="false">IF(OR($B653="",$L653="已完成"),"",IF(ISNUMBER($B653),IF(设置!$B$6&lt;$B653,"",(设置!$B$6-$B653)*100000+ROW()),""))</f>
        <v/>
      </c>
      <c r="V653" s="0" t="str">
        <f aca="false">IF(ISNUMBER($O653),IF($O653&gt;=2,IF(COUNTIFS($D653:$D$2006,$D653,$E653:$E$2006,$E653)=1,ROW(),""),""),"")</f>
        <v/>
      </c>
    </row>
    <row r="654" customFormat="false" ht="15" hidden="false" customHeight="true" outlineLevel="0" collapsed="false">
      <c r="A654" s="13" t="str">
        <f aca="false">IF(AND($B654="",$D654="",$E654="",$F654=""),"",IF(OR($B654="",$D654="",$E654=""),"待补",IF($D654="公共区域","公",IF($D654="商铺","S",SUBSTITUTE($D654,"栋","")))&amp;"-"&amp;$E654&amp;"-"&amp;TEXT(MONTH($B654),"00")&amp;TEXT(DAY($B654),"00")&amp;IF(ISNUMBER($O654),IF($O654&gt;1,"-"&amp;TEXT($O654,"00"),""),"")))</f>
        <v/>
      </c>
      <c r="B654" s="14"/>
      <c r="C654" s="10"/>
      <c r="D654" s="10"/>
      <c r="E654" s="10"/>
      <c r="F654" s="16"/>
      <c r="G654" s="10"/>
      <c r="H654" s="10"/>
      <c r="I654" s="10"/>
      <c r="J654" s="10"/>
      <c r="K654" s="10"/>
      <c r="L654" s="10"/>
      <c r="M654" s="14"/>
      <c r="N654" s="17" t="str">
        <f aca="false">IF($B654="","",IF($L654="已完成",IF($M654="","",$M654-$B654),IF(设置!$B$6&lt;$B654,"",IF((设置!$B$6-$B654)&gt;=设置!$B$5,"超期"&amp;(设置!$B$6-$B654)&amp;"天","已等"&amp;(设置!$B$6-$B654)&amp;"天"))))</f>
        <v/>
      </c>
      <c r="O654" s="18" t="str">
        <f aca="false">IF(OR($D654="",$E654=""),"",COUNTIFS($D$7:$D654,$D654,$E$7:$E654,$E654))</f>
        <v/>
      </c>
      <c r="P654" s="16"/>
      <c r="Q654" s="19"/>
      <c r="R654" s="10"/>
      <c r="S654" s="16"/>
      <c r="T654" s="0" t="str">
        <f aca="false">IF(OR($D654="",单元查询!$B$3=""),"",IF($D654&lt;&gt;单元查询!$B$3,"",IF(OR(单元查询!$D$3="",$E654&amp;""=单元查询!$D$3&amp;""),IF(ISNUMBER($B654),$B654*10000,0)+ROW(),"")))</f>
        <v/>
      </c>
      <c r="U654" s="0" t="str">
        <f aca="false">IF(OR($B654="",$L654="已完成"),"",IF(ISNUMBER($B654),IF(设置!$B$6&lt;$B654,"",(设置!$B$6-$B654)*100000+ROW()),""))</f>
        <v/>
      </c>
      <c r="V654" s="0" t="str">
        <f aca="false">IF(ISNUMBER($O654),IF($O654&gt;=2,IF(COUNTIFS($D654:$D$2006,$D654,$E654:$E$2006,$E654)=1,ROW(),""),""),"")</f>
        <v/>
      </c>
    </row>
    <row r="655" customFormat="false" ht="15" hidden="false" customHeight="true" outlineLevel="0" collapsed="false">
      <c r="A655" s="13" t="str">
        <f aca="false">IF(AND($B655="",$D655="",$E655="",$F655=""),"",IF(OR($B655="",$D655="",$E655=""),"待补",IF($D655="公共区域","公",IF($D655="商铺","S",SUBSTITUTE($D655,"栋","")))&amp;"-"&amp;$E655&amp;"-"&amp;TEXT(MONTH($B655),"00")&amp;TEXT(DAY($B655),"00")&amp;IF(ISNUMBER($O655),IF($O655&gt;1,"-"&amp;TEXT($O655,"00"),""),"")))</f>
        <v/>
      </c>
      <c r="B655" s="14"/>
      <c r="C655" s="10"/>
      <c r="D655" s="10"/>
      <c r="E655" s="10"/>
      <c r="F655" s="16"/>
      <c r="G655" s="10"/>
      <c r="H655" s="10"/>
      <c r="I655" s="10"/>
      <c r="J655" s="10"/>
      <c r="K655" s="10"/>
      <c r="L655" s="10"/>
      <c r="M655" s="14"/>
      <c r="N655" s="17" t="str">
        <f aca="false">IF($B655="","",IF($L655="已完成",IF($M655="","",$M655-$B655),IF(设置!$B$6&lt;$B655,"",IF((设置!$B$6-$B655)&gt;=设置!$B$5,"超期"&amp;(设置!$B$6-$B655)&amp;"天","已等"&amp;(设置!$B$6-$B655)&amp;"天"))))</f>
        <v/>
      </c>
      <c r="O655" s="18" t="str">
        <f aca="false">IF(OR($D655="",$E655=""),"",COUNTIFS($D$7:$D655,$D655,$E$7:$E655,$E655))</f>
        <v/>
      </c>
      <c r="P655" s="16"/>
      <c r="Q655" s="19"/>
      <c r="R655" s="10"/>
      <c r="S655" s="16"/>
      <c r="T655" s="0" t="str">
        <f aca="false">IF(OR($D655="",单元查询!$B$3=""),"",IF($D655&lt;&gt;单元查询!$B$3,"",IF(OR(单元查询!$D$3="",$E655&amp;""=单元查询!$D$3&amp;""),IF(ISNUMBER($B655),$B655*10000,0)+ROW(),"")))</f>
        <v/>
      </c>
      <c r="U655" s="0" t="str">
        <f aca="false">IF(OR($B655="",$L655="已完成"),"",IF(ISNUMBER($B655),IF(设置!$B$6&lt;$B655,"",(设置!$B$6-$B655)*100000+ROW()),""))</f>
        <v/>
      </c>
      <c r="V655" s="0" t="str">
        <f aca="false">IF(ISNUMBER($O655),IF($O655&gt;=2,IF(COUNTIFS($D655:$D$2006,$D655,$E655:$E$2006,$E655)=1,ROW(),""),""),"")</f>
        <v/>
      </c>
    </row>
    <row r="656" customFormat="false" ht="15" hidden="false" customHeight="true" outlineLevel="0" collapsed="false">
      <c r="A656" s="13" t="str">
        <f aca="false">IF(AND($B656="",$D656="",$E656="",$F656=""),"",IF(OR($B656="",$D656="",$E656=""),"待补",IF($D656="公共区域","公",IF($D656="商铺","S",SUBSTITUTE($D656,"栋","")))&amp;"-"&amp;$E656&amp;"-"&amp;TEXT(MONTH($B656),"00")&amp;TEXT(DAY($B656),"00")&amp;IF(ISNUMBER($O656),IF($O656&gt;1,"-"&amp;TEXT($O656,"00"),""),"")))</f>
        <v/>
      </c>
      <c r="B656" s="14"/>
      <c r="C656" s="10"/>
      <c r="D656" s="10"/>
      <c r="E656" s="10"/>
      <c r="F656" s="16"/>
      <c r="G656" s="10"/>
      <c r="H656" s="10"/>
      <c r="I656" s="10"/>
      <c r="J656" s="10"/>
      <c r="K656" s="10"/>
      <c r="L656" s="10"/>
      <c r="M656" s="14"/>
      <c r="N656" s="17" t="str">
        <f aca="false">IF($B656="","",IF($L656="已完成",IF($M656="","",$M656-$B656),IF(设置!$B$6&lt;$B656,"",IF((设置!$B$6-$B656)&gt;=设置!$B$5,"超期"&amp;(设置!$B$6-$B656)&amp;"天","已等"&amp;(设置!$B$6-$B656)&amp;"天"))))</f>
        <v/>
      </c>
      <c r="O656" s="18" t="str">
        <f aca="false">IF(OR($D656="",$E656=""),"",COUNTIFS($D$7:$D656,$D656,$E$7:$E656,$E656))</f>
        <v/>
      </c>
      <c r="P656" s="16"/>
      <c r="Q656" s="19"/>
      <c r="R656" s="10"/>
      <c r="S656" s="16"/>
      <c r="T656" s="0" t="str">
        <f aca="false">IF(OR($D656="",单元查询!$B$3=""),"",IF($D656&lt;&gt;单元查询!$B$3,"",IF(OR(单元查询!$D$3="",$E656&amp;""=单元查询!$D$3&amp;""),IF(ISNUMBER($B656),$B656*10000,0)+ROW(),"")))</f>
        <v/>
      </c>
      <c r="U656" s="0" t="str">
        <f aca="false">IF(OR($B656="",$L656="已完成"),"",IF(ISNUMBER($B656),IF(设置!$B$6&lt;$B656,"",(设置!$B$6-$B656)*100000+ROW()),""))</f>
        <v/>
      </c>
      <c r="V656" s="0" t="str">
        <f aca="false">IF(ISNUMBER($O656),IF($O656&gt;=2,IF(COUNTIFS($D656:$D$2006,$D656,$E656:$E$2006,$E656)=1,ROW(),""),""),"")</f>
        <v/>
      </c>
    </row>
    <row r="657" customFormat="false" ht="15" hidden="false" customHeight="true" outlineLevel="0" collapsed="false">
      <c r="A657" s="13" t="str">
        <f aca="false">IF(AND($B657="",$D657="",$E657="",$F657=""),"",IF(OR($B657="",$D657="",$E657=""),"待补",IF($D657="公共区域","公",IF($D657="商铺","S",SUBSTITUTE($D657,"栋","")))&amp;"-"&amp;$E657&amp;"-"&amp;TEXT(MONTH($B657),"00")&amp;TEXT(DAY($B657),"00")&amp;IF(ISNUMBER($O657),IF($O657&gt;1,"-"&amp;TEXT($O657,"00"),""),"")))</f>
        <v/>
      </c>
      <c r="B657" s="14"/>
      <c r="C657" s="10"/>
      <c r="D657" s="10"/>
      <c r="E657" s="10"/>
      <c r="F657" s="16"/>
      <c r="G657" s="10"/>
      <c r="H657" s="10"/>
      <c r="I657" s="10"/>
      <c r="J657" s="10"/>
      <c r="K657" s="10"/>
      <c r="L657" s="10"/>
      <c r="M657" s="14"/>
      <c r="N657" s="17" t="str">
        <f aca="false">IF($B657="","",IF($L657="已完成",IF($M657="","",$M657-$B657),IF(设置!$B$6&lt;$B657,"",IF((设置!$B$6-$B657)&gt;=设置!$B$5,"超期"&amp;(设置!$B$6-$B657)&amp;"天","已等"&amp;(设置!$B$6-$B657)&amp;"天"))))</f>
        <v/>
      </c>
      <c r="O657" s="18" t="str">
        <f aca="false">IF(OR($D657="",$E657=""),"",COUNTIFS($D$7:$D657,$D657,$E$7:$E657,$E657))</f>
        <v/>
      </c>
      <c r="P657" s="16"/>
      <c r="Q657" s="19"/>
      <c r="R657" s="10"/>
      <c r="S657" s="16"/>
      <c r="T657" s="0" t="str">
        <f aca="false">IF(OR($D657="",单元查询!$B$3=""),"",IF($D657&lt;&gt;单元查询!$B$3,"",IF(OR(单元查询!$D$3="",$E657&amp;""=单元查询!$D$3&amp;""),IF(ISNUMBER($B657),$B657*10000,0)+ROW(),"")))</f>
        <v/>
      </c>
      <c r="U657" s="0" t="str">
        <f aca="false">IF(OR($B657="",$L657="已完成"),"",IF(ISNUMBER($B657),IF(设置!$B$6&lt;$B657,"",(设置!$B$6-$B657)*100000+ROW()),""))</f>
        <v/>
      </c>
      <c r="V657" s="0" t="str">
        <f aca="false">IF(ISNUMBER($O657),IF($O657&gt;=2,IF(COUNTIFS($D657:$D$2006,$D657,$E657:$E$2006,$E657)=1,ROW(),""),""),"")</f>
        <v/>
      </c>
    </row>
    <row r="658" customFormat="false" ht="15" hidden="false" customHeight="true" outlineLevel="0" collapsed="false">
      <c r="A658" s="13" t="str">
        <f aca="false">IF(AND($B658="",$D658="",$E658="",$F658=""),"",IF(OR($B658="",$D658="",$E658=""),"待补",IF($D658="公共区域","公",IF($D658="商铺","S",SUBSTITUTE($D658,"栋","")))&amp;"-"&amp;$E658&amp;"-"&amp;TEXT(MONTH($B658),"00")&amp;TEXT(DAY($B658),"00")&amp;IF(ISNUMBER($O658),IF($O658&gt;1,"-"&amp;TEXT($O658,"00"),""),"")))</f>
        <v/>
      </c>
      <c r="B658" s="14"/>
      <c r="C658" s="10"/>
      <c r="D658" s="10"/>
      <c r="E658" s="10"/>
      <c r="F658" s="16"/>
      <c r="G658" s="10"/>
      <c r="H658" s="10"/>
      <c r="I658" s="10"/>
      <c r="J658" s="10"/>
      <c r="K658" s="10"/>
      <c r="L658" s="10"/>
      <c r="M658" s="14"/>
      <c r="N658" s="17" t="str">
        <f aca="false">IF($B658="","",IF($L658="已完成",IF($M658="","",$M658-$B658),IF(设置!$B$6&lt;$B658,"",IF((设置!$B$6-$B658)&gt;=设置!$B$5,"超期"&amp;(设置!$B$6-$B658)&amp;"天","已等"&amp;(设置!$B$6-$B658)&amp;"天"))))</f>
        <v/>
      </c>
      <c r="O658" s="18" t="str">
        <f aca="false">IF(OR($D658="",$E658=""),"",COUNTIFS($D$7:$D658,$D658,$E$7:$E658,$E658))</f>
        <v/>
      </c>
      <c r="P658" s="16"/>
      <c r="Q658" s="19"/>
      <c r="R658" s="10"/>
      <c r="S658" s="16"/>
      <c r="T658" s="0" t="str">
        <f aca="false">IF(OR($D658="",单元查询!$B$3=""),"",IF($D658&lt;&gt;单元查询!$B$3,"",IF(OR(单元查询!$D$3="",$E658&amp;""=单元查询!$D$3&amp;""),IF(ISNUMBER($B658),$B658*10000,0)+ROW(),"")))</f>
        <v/>
      </c>
      <c r="U658" s="0" t="str">
        <f aca="false">IF(OR($B658="",$L658="已完成"),"",IF(ISNUMBER($B658),IF(设置!$B$6&lt;$B658,"",(设置!$B$6-$B658)*100000+ROW()),""))</f>
        <v/>
      </c>
      <c r="V658" s="0" t="str">
        <f aca="false">IF(ISNUMBER($O658),IF($O658&gt;=2,IF(COUNTIFS($D658:$D$2006,$D658,$E658:$E$2006,$E658)=1,ROW(),""),""),"")</f>
        <v/>
      </c>
    </row>
    <row r="659" customFormat="false" ht="15" hidden="false" customHeight="true" outlineLevel="0" collapsed="false">
      <c r="A659" s="13" t="str">
        <f aca="false">IF(AND($B659="",$D659="",$E659="",$F659=""),"",IF(OR($B659="",$D659="",$E659=""),"待补",IF($D659="公共区域","公",IF($D659="商铺","S",SUBSTITUTE($D659,"栋","")))&amp;"-"&amp;$E659&amp;"-"&amp;TEXT(MONTH($B659),"00")&amp;TEXT(DAY($B659),"00")&amp;IF(ISNUMBER($O659),IF($O659&gt;1,"-"&amp;TEXT($O659,"00"),""),"")))</f>
        <v/>
      </c>
      <c r="B659" s="14"/>
      <c r="C659" s="10"/>
      <c r="D659" s="10"/>
      <c r="E659" s="10"/>
      <c r="F659" s="16"/>
      <c r="G659" s="10"/>
      <c r="H659" s="10"/>
      <c r="I659" s="10"/>
      <c r="J659" s="10"/>
      <c r="K659" s="10"/>
      <c r="L659" s="10"/>
      <c r="M659" s="14"/>
      <c r="N659" s="17" t="str">
        <f aca="false">IF($B659="","",IF($L659="已完成",IF($M659="","",$M659-$B659),IF(设置!$B$6&lt;$B659,"",IF((设置!$B$6-$B659)&gt;=设置!$B$5,"超期"&amp;(设置!$B$6-$B659)&amp;"天","已等"&amp;(设置!$B$6-$B659)&amp;"天"))))</f>
        <v/>
      </c>
      <c r="O659" s="18" t="str">
        <f aca="false">IF(OR($D659="",$E659=""),"",COUNTIFS($D$7:$D659,$D659,$E$7:$E659,$E659))</f>
        <v/>
      </c>
      <c r="P659" s="16"/>
      <c r="Q659" s="19"/>
      <c r="R659" s="10"/>
      <c r="S659" s="16"/>
      <c r="T659" s="0" t="str">
        <f aca="false">IF(OR($D659="",单元查询!$B$3=""),"",IF($D659&lt;&gt;单元查询!$B$3,"",IF(OR(单元查询!$D$3="",$E659&amp;""=单元查询!$D$3&amp;""),IF(ISNUMBER($B659),$B659*10000,0)+ROW(),"")))</f>
        <v/>
      </c>
      <c r="U659" s="0" t="str">
        <f aca="false">IF(OR($B659="",$L659="已完成"),"",IF(ISNUMBER($B659),IF(设置!$B$6&lt;$B659,"",(设置!$B$6-$B659)*100000+ROW()),""))</f>
        <v/>
      </c>
      <c r="V659" s="0" t="str">
        <f aca="false">IF(ISNUMBER($O659),IF($O659&gt;=2,IF(COUNTIFS($D659:$D$2006,$D659,$E659:$E$2006,$E659)=1,ROW(),""),""),"")</f>
        <v/>
      </c>
    </row>
    <row r="660" customFormat="false" ht="15" hidden="false" customHeight="true" outlineLevel="0" collapsed="false">
      <c r="A660" s="13" t="str">
        <f aca="false">IF(AND($B660="",$D660="",$E660="",$F660=""),"",IF(OR($B660="",$D660="",$E660=""),"待补",IF($D660="公共区域","公",IF($D660="商铺","S",SUBSTITUTE($D660,"栋","")))&amp;"-"&amp;$E660&amp;"-"&amp;TEXT(MONTH($B660),"00")&amp;TEXT(DAY($B660),"00")&amp;IF(ISNUMBER($O660),IF($O660&gt;1,"-"&amp;TEXT($O660,"00"),""),"")))</f>
        <v/>
      </c>
      <c r="B660" s="14"/>
      <c r="C660" s="10"/>
      <c r="D660" s="10"/>
      <c r="E660" s="10"/>
      <c r="F660" s="16"/>
      <c r="G660" s="10"/>
      <c r="H660" s="10"/>
      <c r="I660" s="10"/>
      <c r="J660" s="10"/>
      <c r="K660" s="10"/>
      <c r="L660" s="10"/>
      <c r="M660" s="14"/>
      <c r="N660" s="17" t="str">
        <f aca="false">IF($B660="","",IF($L660="已完成",IF($M660="","",$M660-$B660),IF(设置!$B$6&lt;$B660,"",IF((设置!$B$6-$B660)&gt;=设置!$B$5,"超期"&amp;(设置!$B$6-$B660)&amp;"天","已等"&amp;(设置!$B$6-$B660)&amp;"天"))))</f>
        <v/>
      </c>
      <c r="O660" s="18" t="str">
        <f aca="false">IF(OR($D660="",$E660=""),"",COUNTIFS($D$7:$D660,$D660,$E$7:$E660,$E660))</f>
        <v/>
      </c>
      <c r="P660" s="16"/>
      <c r="Q660" s="19"/>
      <c r="R660" s="10"/>
      <c r="S660" s="16"/>
      <c r="T660" s="0" t="str">
        <f aca="false">IF(OR($D660="",单元查询!$B$3=""),"",IF($D660&lt;&gt;单元查询!$B$3,"",IF(OR(单元查询!$D$3="",$E660&amp;""=单元查询!$D$3&amp;""),IF(ISNUMBER($B660),$B660*10000,0)+ROW(),"")))</f>
        <v/>
      </c>
      <c r="U660" s="0" t="str">
        <f aca="false">IF(OR($B660="",$L660="已完成"),"",IF(ISNUMBER($B660),IF(设置!$B$6&lt;$B660,"",(设置!$B$6-$B660)*100000+ROW()),""))</f>
        <v/>
      </c>
      <c r="V660" s="0" t="str">
        <f aca="false">IF(ISNUMBER($O660),IF($O660&gt;=2,IF(COUNTIFS($D660:$D$2006,$D660,$E660:$E$2006,$E660)=1,ROW(),""),""),"")</f>
        <v/>
      </c>
    </row>
    <row r="661" customFormat="false" ht="15" hidden="false" customHeight="true" outlineLevel="0" collapsed="false">
      <c r="A661" s="13" t="str">
        <f aca="false">IF(AND($B661="",$D661="",$E661="",$F661=""),"",IF(OR($B661="",$D661="",$E661=""),"待补",IF($D661="公共区域","公",IF($D661="商铺","S",SUBSTITUTE($D661,"栋","")))&amp;"-"&amp;$E661&amp;"-"&amp;TEXT(MONTH($B661),"00")&amp;TEXT(DAY($B661),"00")&amp;IF(ISNUMBER($O661),IF($O661&gt;1,"-"&amp;TEXT($O661,"00"),""),"")))</f>
        <v/>
      </c>
      <c r="B661" s="14"/>
      <c r="C661" s="10"/>
      <c r="D661" s="10"/>
      <c r="E661" s="10"/>
      <c r="F661" s="16"/>
      <c r="G661" s="10"/>
      <c r="H661" s="10"/>
      <c r="I661" s="10"/>
      <c r="J661" s="10"/>
      <c r="K661" s="10"/>
      <c r="L661" s="10"/>
      <c r="M661" s="14"/>
      <c r="N661" s="17" t="str">
        <f aca="false">IF($B661="","",IF($L661="已完成",IF($M661="","",$M661-$B661),IF(设置!$B$6&lt;$B661,"",IF((设置!$B$6-$B661)&gt;=设置!$B$5,"超期"&amp;(设置!$B$6-$B661)&amp;"天","已等"&amp;(设置!$B$6-$B661)&amp;"天"))))</f>
        <v/>
      </c>
      <c r="O661" s="18" t="str">
        <f aca="false">IF(OR($D661="",$E661=""),"",COUNTIFS($D$7:$D661,$D661,$E$7:$E661,$E661))</f>
        <v/>
      </c>
      <c r="P661" s="16"/>
      <c r="Q661" s="19"/>
      <c r="R661" s="10"/>
      <c r="S661" s="16"/>
      <c r="T661" s="0" t="str">
        <f aca="false">IF(OR($D661="",单元查询!$B$3=""),"",IF($D661&lt;&gt;单元查询!$B$3,"",IF(OR(单元查询!$D$3="",$E661&amp;""=单元查询!$D$3&amp;""),IF(ISNUMBER($B661),$B661*10000,0)+ROW(),"")))</f>
        <v/>
      </c>
      <c r="U661" s="0" t="str">
        <f aca="false">IF(OR($B661="",$L661="已完成"),"",IF(ISNUMBER($B661),IF(设置!$B$6&lt;$B661,"",(设置!$B$6-$B661)*100000+ROW()),""))</f>
        <v/>
      </c>
      <c r="V661" s="0" t="str">
        <f aca="false">IF(ISNUMBER($O661),IF($O661&gt;=2,IF(COUNTIFS($D661:$D$2006,$D661,$E661:$E$2006,$E661)=1,ROW(),""),""),"")</f>
        <v/>
      </c>
    </row>
    <row r="662" customFormat="false" ht="15" hidden="false" customHeight="true" outlineLevel="0" collapsed="false">
      <c r="A662" s="13" t="str">
        <f aca="false">IF(AND($B662="",$D662="",$E662="",$F662=""),"",IF(OR($B662="",$D662="",$E662=""),"待补",IF($D662="公共区域","公",IF($D662="商铺","S",SUBSTITUTE($D662,"栋","")))&amp;"-"&amp;$E662&amp;"-"&amp;TEXT(MONTH($B662),"00")&amp;TEXT(DAY($B662),"00")&amp;IF(ISNUMBER($O662),IF($O662&gt;1,"-"&amp;TEXT($O662,"00"),""),"")))</f>
        <v/>
      </c>
      <c r="B662" s="14"/>
      <c r="C662" s="10"/>
      <c r="D662" s="10"/>
      <c r="E662" s="10"/>
      <c r="F662" s="16"/>
      <c r="G662" s="10"/>
      <c r="H662" s="10"/>
      <c r="I662" s="10"/>
      <c r="J662" s="10"/>
      <c r="K662" s="10"/>
      <c r="L662" s="10"/>
      <c r="M662" s="14"/>
      <c r="N662" s="17" t="str">
        <f aca="false">IF($B662="","",IF($L662="已完成",IF($M662="","",$M662-$B662),IF(设置!$B$6&lt;$B662,"",IF((设置!$B$6-$B662)&gt;=设置!$B$5,"超期"&amp;(设置!$B$6-$B662)&amp;"天","已等"&amp;(设置!$B$6-$B662)&amp;"天"))))</f>
        <v/>
      </c>
      <c r="O662" s="18" t="str">
        <f aca="false">IF(OR($D662="",$E662=""),"",COUNTIFS($D$7:$D662,$D662,$E$7:$E662,$E662))</f>
        <v/>
      </c>
      <c r="P662" s="16"/>
      <c r="Q662" s="19"/>
      <c r="R662" s="10"/>
      <c r="S662" s="16"/>
      <c r="T662" s="0" t="str">
        <f aca="false">IF(OR($D662="",单元查询!$B$3=""),"",IF($D662&lt;&gt;单元查询!$B$3,"",IF(OR(单元查询!$D$3="",$E662&amp;""=单元查询!$D$3&amp;""),IF(ISNUMBER($B662),$B662*10000,0)+ROW(),"")))</f>
        <v/>
      </c>
      <c r="U662" s="0" t="str">
        <f aca="false">IF(OR($B662="",$L662="已完成"),"",IF(ISNUMBER($B662),IF(设置!$B$6&lt;$B662,"",(设置!$B$6-$B662)*100000+ROW()),""))</f>
        <v/>
      </c>
      <c r="V662" s="0" t="str">
        <f aca="false">IF(ISNUMBER($O662),IF($O662&gt;=2,IF(COUNTIFS($D662:$D$2006,$D662,$E662:$E$2006,$E662)=1,ROW(),""),""),"")</f>
        <v/>
      </c>
    </row>
    <row r="663" customFormat="false" ht="15" hidden="false" customHeight="true" outlineLevel="0" collapsed="false">
      <c r="A663" s="13" t="str">
        <f aca="false">IF(AND($B663="",$D663="",$E663="",$F663=""),"",IF(OR($B663="",$D663="",$E663=""),"待补",IF($D663="公共区域","公",IF($D663="商铺","S",SUBSTITUTE($D663,"栋","")))&amp;"-"&amp;$E663&amp;"-"&amp;TEXT(MONTH($B663),"00")&amp;TEXT(DAY($B663),"00")&amp;IF(ISNUMBER($O663),IF($O663&gt;1,"-"&amp;TEXT($O663,"00"),""),"")))</f>
        <v/>
      </c>
      <c r="B663" s="14"/>
      <c r="C663" s="10"/>
      <c r="D663" s="10"/>
      <c r="E663" s="10"/>
      <c r="F663" s="16"/>
      <c r="G663" s="10"/>
      <c r="H663" s="10"/>
      <c r="I663" s="10"/>
      <c r="J663" s="10"/>
      <c r="K663" s="10"/>
      <c r="L663" s="10"/>
      <c r="M663" s="14"/>
      <c r="N663" s="17" t="str">
        <f aca="false">IF($B663="","",IF($L663="已完成",IF($M663="","",$M663-$B663),IF(设置!$B$6&lt;$B663,"",IF((设置!$B$6-$B663)&gt;=设置!$B$5,"超期"&amp;(设置!$B$6-$B663)&amp;"天","已等"&amp;(设置!$B$6-$B663)&amp;"天"))))</f>
        <v/>
      </c>
      <c r="O663" s="18" t="str">
        <f aca="false">IF(OR($D663="",$E663=""),"",COUNTIFS($D$7:$D663,$D663,$E$7:$E663,$E663))</f>
        <v/>
      </c>
      <c r="P663" s="16"/>
      <c r="Q663" s="19"/>
      <c r="R663" s="10"/>
      <c r="S663" s="16"/>
      <c r="T663" s="0" t="str">
        <f aca="false">IF(OR($D663="",单元查询!$B$3=""),"",IF($D663&lt;&gt;单元查询!$B$3,"",IF(OR(单元查询!$D$3="",$E663&amp;""=单元查询!$D$3&amp;""),IF(ISNUMBER($B663),$B663*10000,0)+ROW(),"")))</f>
        <v/>
      </c>
      <c r="U663" s="0" t="str">
        <f aca="false">IF(OR($B663="",$L663="已完成"),"",IF(ISNUMBER($B663),IF(设置!$B$6&lt;$B663,"",(设置!$B$6-$B663)*100000+ROW()),""))</f>
        <v/>
      </c>
      <c r="V663" s="0" t="str">
        <f aca="false">IF(ISNUMBER($O663),IF($O663&gt;=2,IF(COUNTIFS($D663:$D$2006,$D663,$E663:$E$2006,$E663)=1,ROW(),""),""),"")</f>
        <v/>
      </c>
    </row>
    <row r="664" customFormat="false" ht="15" hidden="false" customHeight="true" outlineLevel="0" collapsed="false">
      <c r="A664" s="13" t="str">
        <f aca="false">IF(AND($B664="",$D664="",$E664="",$F664=""),"",IF(OR($B664="",$D664="",$E664=""),"待补",IF($D664="公共区域","公",IF($D664="商铺","S",SUBSTITUTE($D664,"栋","")))&amp;"-"&amp;$E664&amp;"-"&amp;TEXT(MONTH($B664),"00")&amp;TEXT(DAY($B664),"00")&amp;IF(ISNUMBER($O664),IF($O664&gt;1,"-"&amp;TEXT($O664,"00"),""),"")))</f>
        <v/>
      </c>
      <c r="B664" s="14"/>
      <c r="C664" s="10"/>
      <c r="D664" s="10"/>
      <c r="E664" s="10"/>
      <c r="F664" s="16"/>
      <c r="G664" s="10"/>
      <c r="H664" s="10"/>
      <c r="I664" s="10"/>
      <c r="J664" s="10"/>
      <c r="K664" s="10"/>
      <c r="L664" s="10"/>
      <c r="M664" s="14"/>
      <c r="N664" s="17" t="str">
        <f aca="false">IF($B664="","",IF($L664="已完成",IF($M664="","",$M664-$B664),IF(设置!$B$6&lt;$B664,"",IF((设置!$B$6-$B664)&gt;=设置!$B$5,"超期"&amp;(设置!$B$6-$B664)&amp;"天","已等"&amp;(设置!$B$6-$B664)&amp;"天"))))</f>
        <v/>
      </c>
      <c r="O664" s="18" t="str">
        <f aca="false">IF(OR($D664="",$E664=""),"",COUNTIFS($D$7:$D664,$D664,$E$7:$E664,$E664))</f>
        <v/>
      </c>
      <c r="P664" s="16"/>
      <c r="Q664" s="19"/>
      <c r="R664" s="10"/>
      <c r="S664" s="16"/>
      <c r="T664" s="0" t="str">
        <f aca="false">IF(OR($D664="",单元查询!$B$3=""),"",IF($D664&lt;&gt;单元查询!$B$3,"",IF(OR(单元查询!$D$3="",$E664&amp;""=单元查询!$D$3&amp;""),IF(ISNUMBER($B664),$B664*10000,0)+ROW(),"")))</f>
        <v/>
      </c>
      <c r="U664" s="0" t="str">
        <f aca="false">IF(OR($B664="",$L664="已完成"),"",IF(ISNUMBER($B664),IF(设置!$B$6&lt;$B664,"",(设置!$B$6-$B664)*100000+ROW()),""))</f>
        <v/>
      </c>
      <c r="V664" s="0" t="str">
        <f aca="false">IF(ISNUMBER($O664),IF($O664&gt;=2,IF(COUNTIFS($D664:$D$2006,$D664,$E664:$E$2006,$E664)=1,ROW(),""),""),"")</f>
        <v/>
      </c>
    </row>
    <row r="665" customFormat="false" ht="15" hidden="false" customHeight="true" outlineLevel="0" collapsed="false">
      <c r="A665" s="13" t="str">
        <f aca="false">IF(AND($B665="",$D665="",$E665="",$F665=""),"",IF(OR($B665="",$D665="",$E665=""),"待补",IF($D665="公共区域","公",IF($D665="商铺","S",SUBSTITUTE($D665,"栋","")))&amp;"-"&amp;$E665&amp;"-"&amp;TEXT(MONTH($B665),"00")&amp;TEXT(DAY($B665),"00")&amp;IF(ISNUMBER($O665),IF($O665&gt;1,"-"&amp;TEXT($O665,"00"),""),"")))</f>
        <v/>
      </c>
      <c r="B665" s="14"/>
      <c r="C665" s="10"/>
      <c r="D665" s="10"/>
      <c r="E665" s="10"/>
      <c r="F665" s="16"/>
      <c r="G665" s="10"/>
      <c r="H665" s="10"/>
      <c r="I665" s="10"/>
      <c r="J665" s="10"/>
      <c r="K665" s="10"/>
      <c r="L665" s="10"/>
      <c r="M665" s="14"/>
      <c r="N665" s="17" t="str">
        <f aca="false">IF($B665="","",IF($L665="已完成",IF($M665="","",$M665-$B665),IF(设置!$B$6&lt;$B665,"",IF((设置!$B$6-$B665)&gt;=设置!$B$5,"超期"&amp;(设置!$B$6-$B665)&amp;"天","已等"&amp;(设置!$B$6-$B665)&amp;"天"))))</f>
        <v/>
      </c>
      <c r="O665" s="18" t="str">
        <f aca="false">IF(OR($D665="",$E665=""),"",COUNTIFS($D$7:$D665,$D665,$E$7:$E665,$E665))</f>
        <v/>
      </c>
      <c r="P665" s="16"/>
      <c r="Q665" s="19"/>
      <c r="R665" s="10"/>
      <c r="S665" s="16"/>
      <c r="T665" s="0" t="str">
        <f aca="false">IF(OR($D665="",单元查询!$B$3=""),"",IF($D665&lt;&gt;单元查询!$B$3,"",IF(OR(单元查询!$D$3="",$E665&amp;""=单元查询!$D$3&amp;""),IF(ISNUMBER($B665),$B665*10000,0)+ROW(),"")))</f>
        <v/>
      </c>
      <c r="U665" s="0" t="str">
        <f aca="false">IF(OR($B665="",$L665="已完成"),"",IF(ISNUMBER($B665),IF(设置!$B$6&lt;$B665,"",(设置!$B$6-$B665)*100000+ROW()),""))</f>
        <v/>
      </c>
      <c r="V665" s="0" t="str">
        <f aca="false">IF(ISNUMBER($O665),IF($O665&gt;=2,IF(COUNTIFS($D665:$D$2006,$D665,$E665:$E$2006,$E665)=1,ROW(),""),""),"")</f>
        <v/>
      </c>
    </row>
    <row r="666" customFormat="false" ht="15" hidden="false" customHeight="true" outlineLevel="0" collapsed="false">
      <c r="A666" s="13" t="str">
        <f aca="false">IF(AND($B666="",$D666="",$E666="",$F666=""),"",IF(OR($B666="",$D666="",$E666=""),"待补",IF($D666="公共区域","公",IF($D666="商铺","S",SUBSTITUTE($D666,"栋","")))&amp;"-"&amp;$E666&amp;"-"&amp;TEXT(MONTH($B666),"00")&amp;TEXT(DAY($B666),"00")&amp;IF(ISNUMBER($O666),IF($O666&gt;1,"-"&amp;TEXT($O666,"00"),""),"")))</f>
        <v/>
      </c>
      <c r="B666" s="14"/>
      <c r="C666" s="10"/>
      <c r="D666" s="10"/>
      <c r="E666" s="10"/>
      <c r="F666" s="16"/>
      <c r="G666" s="10"/>
      <c r="H666" s="10"/>
      <c r="I666" s="10"/>
      <c r="J666" s="10"/>
      <c r="K666" s="10"/>
      <c r="L666" s="10"/>
      <c r="M666" s="14"/>
      <c r="N666" s="17" t="str">
        <f aca="false">IF($B666="","",IF($L666="已完成",IF($M666="","",$M666-$B666),IF(设置!$B$6&lt;$B666,"",IF((设置!$B$6-$B666)&gt;=设置!$B$5,"超期"&amp;(设置!$B$6-$B666)&amp;"天","已等"&amp;(设置!$B$6-$B666)&amp;"天"))))</f>
        <v/>
      </c>
      <c r="O666" s="18" t="str">
        <f aca="false">IF(OR($D666="",$E666=""),"",COUNTIFS($D$7:$D666,$D666,$E$7:$E666,$E666))</f>
        <v/>
      </c>
      <c r="P666" s="16"/>
      <c r="Q666" s="19"/>
      <c r="R666" s="10"/>
      <c r="S666" s="16"/>
      <c r="T666" s="0" t="str">
        <f aca="false">IF(OR($D666="",单元查询!$B$3=""),"",IF($D666&lt;&gt;单元查询!$B$3,"",IF(OR(单元查询!$D$3="",$E666&amp;""=单元查询!$D$3&amp;""),IF(ISNUMBER($B666),$B666*10000,0)+ROW(),"")))</f>
        <v/>
      </c>
      <c r="U666" s="0" t="str">
        <f aca="false">IF(OR($B666="",$L666="已完成"),"",IF(ISNUMBER($B666),IF(设置!$B$6&lt;$B666,"",(设置!$B$6-$B666)*100000+ROW()),""))</f>
        <v/>
      </c>
      <c r="V666" s="0" t="str">
        <f aca="false">IF(ISNUMBER($O666),IF($O666&gt;=2,IF(COUNTIFS($D666:$D$2006,$D666,$E666:$E$2006,$E666)=1,ROW(),""),""),"")</f>
        <v/>
      </c>
    </row>
    <row r="667" customFormat="false" ht="15" hidden="false" customHeight="true" outlineLevel="0" collapsed="false">
      <c r="A667" s="13" t="str">
        <f aca="false">IF(AND($B667="",$D667="",$E667="",$F667=""),"",IF(OR($B667="",$D667="",$E667=""),"待补",IF($D667="公共区域","公",IF($D667="商铺","S",SUBSTITUTE($D667,"栋","")))&amp;"-"&amp;$E667&amp;"-"&amp;TEXT(MONTH($B667),"00")&amp;TEXT(DAY($B667),"00")&amp;IF(ISNUMBER($O667),IF($O667&gt;1,"-"&amp;TEXT($O667,"00"),""),"")))</f>
        <v/>
      </c>
      <c r="B667" s="14"/>
      <c r="C667" s="10"/>
      <c r="D667" s="10"/>
      <c r="E667" s="10"/>
      <c r="F667" s="16"/>
      <c r="G667" s="10"/>
      <c r="H667" s="10"/>
      <c r="I667" s="10"/>
      <c r="J667" s="10"/>
      <c r="K667" s="10"/>
      <c r="L667" s="10"/>
      <c r="M667" s="14"/>
      <c r="N667" s="17" t="str">
        <f aca="false">IF($B667="","",IF($L667="已完成",IF($M667="","",$M667-$B667),IF(设置!$B$6&lt;$B667,"",IF((设置!$B$6-$B667)&gt;=设置!$B$5,"超期"&amp;(设置!$B$6-$B667)&amp;"天","已等"&amp;(设置!$B$6-$B667)&amp;"天"))))</f>
        <v/>
      </c>
      <c r="O667" s="18" t="str">
        <f aca="false">IF(OR($D667="",$E667=""),"",COUNTIFS($D$7:$D667,$D667,$E$7:$E667,$E667))</f>
        <v/>
      </c>
      <c r="P667" s="16"/>
      <c r="Q667" s="19"/>
      <c r="R667" s="10"/>
      <c r="S667" s="16"/>
      <c r="T667" s="0" t="str">
        <f aca="false">IF(OR($D667="",单元查询!$B$3=""),"",IF($D667&lt;&gt;单元查询!$B$3,"",IF(OR(单元查询!$D$3="",$E667&amp;""=单元查询!$D$3&amp;""),IF(ISNUMBER($B667),$B667*10000,0)+ROW(),"")))</f>
        <v/>
      </c>
      <c r="U667" s="0" t="str">
        <f aca="false">IF(OR($B667="",$L667="已完成"),"",IF(ISNUMBER($B667),IF(设置!$B$6&lt;$B667,"",(设置!$B$6-$B667)*100000+ROW()),""))</f>
        <v/>
      </c>
      <c r="V667" s="0" t="str">
        <f aca="false">IF(ISNUMBER($O667),IF($O667&gt;=2,IF(COUNTIFS($D667:$D$2006,$D667,$E667:$E$2006,$E667)=1,ROW(),""),""),"")</f>
        <v/>
      </c>
    </row>
    <row r="668" customFormat="false" ht="15" hidden="false" customHeight="true" outlineLevel="0" collapsed="false">
      <c r="A668" s="13" t="str">
        <f aca="false">IF(AND($B668="",$D668="",$E668="",$F668=""),"",IF(OR($B668="",$D668="",$E668=""),"待补",IF($D668="公共区域","公",IF($D668="商铺","S",SUBSTITUTE($D668,"栋","")))&amp;"-"&amp;$E668&amp;"-"&amp;TEXT(MONTH($B668),"00")&amp;TEXT(DAY($B668),"00")&amp;IF(ISNUMBER($O668),IF($O668&gt;1,"-"&amp;TEXT($O668,"00"),""),"")))</f>
        <v/>
      </c>
      <c r="B668" s="14"/>
      <c r="C668" s="10"/>
      <c r="D668" s="10"/>
      <c r="E668" s="10"/>
      <c r="F668" s="16"/>
      <c r="G668" s="10"/>
      <c r="H668" s="10"/>
      <c r="I668" s="10"/>
      <c r="J668" s="10"/>
      <c r="K668" s="10"/>
      <c r="L668" s="10"/>
      <c r="M668" s="14"/>
      <c r="N668" s="17" t="str">
        <f aca="false">IF($B668="","",IF($L668="已完成",IF($M668="","",$M668-$B668),IF(设置!$B$6&lt;$B668,"",IF((设置!$B$6-$B668)&gt;=设置!$B$5,"超期"&amp;(设置!$B$6-$B668)&amp;"天","已等"&amp;(设置!$B$6-$B668)&amp;"天"))))</f>
        <v/>
      </c>
      <c r="O668" s="18" t="str">
        <f aca="false">IF(OR($D668="",$E668=""),"",COUNTIFS($D$7:$D668,$D668,$E$7:$E668,$E668))</f>
        <v/>
      </c>
      <c r="P668" s="16"/>
      <c r="Q668" s="19"/>
      <c r="R668" s="10"/>
      <c r="S668" s="16"/>
      <c r="T668" s="0" t="str">
        <f aca="false">IF(OR($D668="",单元查询!$B$3=""),"",IF($D668&lt;&gt;单元查询!$B$3,"",IF(OR(单元查询!$D$3="",$E668&amp;""=单元查询!$D$3&amp;""),IF(ISNUMBER($B668),$B668*10000,0)+ROW(),"")))</f>
        <v/>
      </c>
      <c r="U668" s="0" t="str">
        <f aca="false">IF(OR($B668="",$L668="已完成"),"",IF(ISNUMBER($B668),IF(设置!$B$6&lt;$B668,"",(设置!$B$6-$B668)*100000+ROW()),""))</f>
        <v/>
      </c>
      <c r="V668" s="0" t="str">
        <f aca="false">IF(ISNUMBER($O668),IF($O668&gt;=2,IF(COUNTIFS($D668:$D$2006,$D668,$E668:$E$2006,$E668)=1,ROW(),""),""),"")</f>
        <v/>
      </c>
    </row>
    <row r="669" customFormat="false" ht="15" hidden="false" customHeight="true" outlineLevel="0" collapsed="false">
      <c r="A669" s="13" t="str">
        <f aca="false">IF(AND($B669="",$D669="",$E669="",$F669=""),"",IF(OR($B669="",$D669="",$E669=""),"待补",IF($D669="公共区域","公",IF($D669="商铺","S",SUBSTITUTE($D669,"栋","")))&amp;"-"&amp;$E669&amp;"-"&amp;TEXT(MONTH($B669),"00")&amp;TEXT(DAY($B669),"00")&amp;IF(ISNUMBER($O669),IF($O669&gt;1,"-"&amp;TEXT($O669,"00"),""),"")))</f>
        <v/>
      </c>
      <c r="B669" s="14"/>
      <c r="C669" s="10"/>
      <c r="D669" s="10"/>
      <c r="E669" s="10"/>
      <c r="F669" s="16"/>
      <c r="G669" s="10"/>
      <c r="H669" s="10"/>
      <c r="I669" s="10"/>
      <c r="J669" s="10"/>
      <c r="K669" s="10"/>
      <c r="L669" s="10"/>
      <c r="M669" s="14"/>
      <c r="N669" s="17" t="str">
        <f aca="false">IF($B669="","",IF($L669="已完成",IF($M669="","",$M669-$B669),IF(设置!$B$6&lt;$B669,"",IF((设置!$B$6-$B669)&gt;=设置!$B$5,"超期"&amp;(设置!$B$6-$B669)&amp;"天","已等"&amp;(设置!$B$6-$B669)&amp;"天"))))</f>
        <v/>
      </c>
      <c r="O669" s="18" t="str">
        <f aca="false">IF(OR($D669="",$E669=""),"",COUNTIFS($D$7:$D669,$D669,$E$7:$E669,$E669))</f>
        <v/>
      </c>
      <c r="P669" s="16"/>
      <c r="Q669" s="19"/>
      <c r="R669" s="10"/>
      <c r="S669" s="16"/>
      <c r="T669" s="0" t="str">
        <f aca="false">IF(OR($D669="",单元查询!$B$3=""),"",IF($D669&lt;&gt;单元查询!$B$3,"",IF(OR(单元查询!$D$3="",$E669&amp;""=单元查询!$D$3&amp;""),IF(ISNUMBER($B669),$B669*10000,0)+ROW(),"")))</f>
        <v/>
      </c>
      <c r="U669" s="0" t="str">
        <f aca="false">IF(OR($B669="",$L669="已完成"),"",IF(ISNUMBER($B669),IF(设置!$B$6&lt;$B669,"",(设置!$B$6-$B669)*100000+ROW()),""))</f>
        <v/>
      </c>
      <c r="V669" s="0" t="str">
        <f aca="false">IF(ISNUMBER($O669),IF($O669&gt;=2,IF(COUNTIFS($D669:$D$2006,$D669,$E669:$E$2006,$E669)=1,ROW(),""),""),"")</f>
        <v/>
      </c>
    </row>
    <row r="670" customFormat="false" ht="15" hidden="false" customHeight="true" outlineLevel="0" collapsed="false">
      <c r="A670" s="13" t="str">
        <f aca="false">IF(AND($B670="",$D670="",$E670="",$F670=""),"",IF(OR($B670="",$D670="",$E670=""),"待补",IF($D670="公共区域","公",IF($D670="商铺","S",SUBSTITUTE($D670,"栋","")))&amp;"-"&amp;$E670&amp;"-"&amp;TEXT(MONTH($B670),"00")&amp;TEXT(DAY($B670),"00")&amp;IF(ISNUMBER($O670),IF($O670&gt;1,"-"&amp;TEXT($O670,"00"),""),"")))</f>
        <v/>
      </c>
      <c r="B670" s="14"/>
      <c r="C670" s="10"/>
      <c r="D670" s="10"/>
      <c r="E670" s="10"/>
      <c r="F670" s="16"/>
      <c r="G670" s="10"/>
      <c r="H670" s="10"/>
      <c r="I670" s="10"/>
      <c r="J670" s="10"/>
      <c r="K670" s="10"/>
      <c r="L670" s="10"/>
      <c r="M670" s="14"/>
      <c r="N670" s="17" t="str">
        <f aca="false">IF($B670="","",IF($L670="已完成",IF($M670="","",$M670-$B670),IF(设置!$B$6&lt;$B670,"",IF((设置!$B$6-$B670)&gt;=设置!$B$5,"超期"&amp;(设置!$B$6-$B670)&amp;"天","已等"&amp;(设置!$B$6-$B670)&amp;"天"))))</f>
        <v/>
      </c>
      <c r="O670" s="18" t="str">
        <f aca="false">IF(OR($D670="",$E670=""),"",COUNTIFS($D$7:$D670,$D670,$E$7:$E670,$E670))</f>
        <v/>
      </c>
      <c r="P670" s="16"/>
      <c r="Q670" s="19"/>
      <c r="R670" s="10"/>
      <c r="S670" s="16"/>
      <c r="T670" s="0" t="str">
        <f aca="false">IF(OR($D670="",单元查询!$B$3=""),"",IF($D670&lt;&gt;单元查询!$B$3,"",IF(OR(单元查询!$D$3="",$E670&amp;""=单元查询!$D$3&amp;""),IF(ISNUMBER($B670),$B670*10000,0)+ROW(),"")))</f>
        <v/>
      </c>
      <c r="U670" s="0" t="str">
        <f aca="false">IF(OR($B670="",$L670="已完成"),"",IF(ISNUMBER($B670),IF(设置!$B$6&lt;$B670,"",(设置!$B$6-$B670)*100000+ROW()),""))</f>
        <v/>
      </c>
      <c r="V670" s="0" t="str">
        <f aca="false">IF(ISNUMBER($O670),IF($O670&gt;=2,IF(COUNTIFS($D670:$D$2006,$D670,$E670:$E$2006,$E670)=1,ROW(),""),""),"")</f>
        <v/>
      </c>
    </row>
    <row r="671" customFormat="false" ht="15" hidden="false" customHeight="true" outlineLevel="0" collapsed="false">
      <c r="A671" s="13" t="str">
        <f aca="false">IF(AND($B671="",$D671="",$E671="",$F671=""),"",IF(OR($B671="",$D671="",$E671=""),"待补",IF($D671="公共区域","公",IF($D671="商铺","S",SUBSTITUTE($D671,"栋","")))&amp;"-"&amp;$E671&amp;"-"&amp;TEXT(MONTH($B671),"00")&amp;TEXT(DAY($B671),"00")&amp;IF(ISNUMBER($O671),IF($O671&gt;1,"-"&amp;TEXT($O671,"00"),""),"")))</f>
        <v/>
      </c>
      <c r="B671" s="14"/>
      <c r="C671" s="10"/>
      <c r="D671" s="10"/>
      <c r="E671" s="10"/>
      <c r="F671" s="16"/>
      <c r="G671" s="10"/>
      <c r="H671" s="10"/>
      <c r="I671" s="10"/>
      <c r="J671" s="10"/>
      <c r="K671" s="10"/>
      <c r="L671" s="10"/>
      <c r="M671" s="14"/>
      <c r="N671" s="17" t="str">
        <f aca="false">IF($B671="","",IF($L671="已完成",IF($M671="","",$M671-$B671),IF(设置!$B$6&lt;$B671,"",IF((设置!$B$6-$B671)&gt;=设置!$B$5,"超期"&amp;(设置!$B$6-$B671)&amp;"天","已等"&amp;(设置!$B$6-$B671)&amp;"天"))))</f>
        <v/>
      </c>
      <c r="O671" s="18" t="str">
        <f aca="false">IF(OR($D671="",$E671=""),"",COUNTIFS($D$7:$D671,$D671,$E$7:$E671,$E671))</f>
        <v/>
      </c>
      <c r="P671" s="16"/>
      <c r="Q671" s="19"/>
      <c r="R671" s="10"/>
      <c r="S671" s="16"/>
      <c r="T671" s="0" t="str">
        <f aca="false">IF(OR($D671="",单元查询!$B$3=""),"",IF($D671&lt;&gt;单元查询!$B$3,"",IF(OR(单元查询!$D$3="",$E671&amp;""=单元查询!$D$3&amp;""),IF(ISNUMBER($B671),$B671*10000,0)+ROW(),"")))</f>
        <v/>
      </c>
      <c r="U671" s="0" t="str">
        <f aca="false">IF(OR($B671="",$L671="已完成"),"",IF(ISNUMBER($B671),IF(设置!$B$6&lt;$B671,"",(设置!$B$6-$B671)*100000+ROW()),""))</f>
        <v/>
      </c>
      <c r="V671" s="0" t="str">
        <f aca="false">IF(ISNUMBER($O671),IF($O671&gt;=2,IF(COUNTIFS($D671:$D$2006,$D671,$E671:$E$2006,$E671)=1,ROW(),""),""),"")</f>
        <v/>
      </c>
    </row>
    <row r="672" customFormat="false" ht="15" hidden="false" customHeight="true" outlineLevel="0" collapsed="false">
      <c r="A672" s="13" t="str">
        <f aca="false">IF(AND($B672="",$D672="",$E672="",$F672=""),"",IF(OR($B672="",$D672="",$E672=""),"待补",IF($D672="公共区域","公",IF($D672="商铺","S",SUBSTITUTE($D672,"栋","")))&amp;"-"&amp;$E672&amp;"-"&amp;TEXT(MONTH($B672),"00")&amp;TEXT(DAY($B672),"00")&amp;IF(ISNUMBER($O672),IF($O672&gt;1,"-"&amp;TEXT($O672,"00"),""),"")))</f>
        <v/>
      </c>
      <c r="B672" s="14"/>
      <c r="C672" s="10"/>
      <c r="D672" s="10"/>
      <c r="E672" s="10"/>
      <c r="F672" s="16"/>
      <c r="G672" s="10"/>
      <c r="H672" s="10"/>
      <c r="I672" s="10"/>
      <c r="J672" s="10"/>
      <c r="K672" s="10"/>
      <c r="L672" s="10"/>
      <c r="M672" s="14"/>
      <c r="N672" s="17" t="str">
        <f aca="false">IF($B672="","",IF($L672="已完成",IF($M672="","",$M672-$B672),IF(设置!$B$6&lt;$B672,"",IF((设置!$B$6-$B672)&gt;=设置!$B$5,"超期"&amp;(设置!$B$6-$B672)&amp;"天","已等"&amp;(设置!$B$6-$B672)&amp;"天"))))</f>
        <v/>
      </c>
      <c r="O672" s="18" t="str">
        <f aca="false">IF(OR($D672="",$E672=""),"",COUNTIFS($D$7:$D672,$D672,$E$7:$E672,$E672))</f>
        <v/>
      </c>
      <c r="P672" s="16"/>
      <c r="Q672" s="19"/>
      <c r="R672" s="10"/>
      <c r="S672" s="16"/>
      <c r="T672" s="0" t="str">
        <f aca="false">IF(OR($D672="",单元查询!$B$3=""),"",IF($D672&lt;&gt;单元查询!$B$3,"",IF(OR(单元查询!$D$3="",$E672&amp;""=单元查询!$D$3&amp;""),IF(ISNUMBER($B672),$B672*10000,0)+ROW(),"")))</f>
        <v/>
      </c>
      <c r="U672" s="0" t="str">
        <f aca="false">IF(OR($B672="",$L672="已完成"),"",IF(ISNUMBER($B672),IF(设置!$B$6&lt;$B672,"",(设置!$B$6-$B672)*100000+ROW()),""))</f>
        <v/>
      </c>
      <c r="V672" s="0" t="str">
        <f aca="false">IF(ISNUMBER($O672),IF($O672&gt;=2,IF(COUNTIFS($D672:$D$2006,$D672,$E672:$E$2006,$E672)=1,ROW(),""),""),"")</f>
        <v/>
      </c>
    </row>
    <row r="673" customFormat="false" ht="15" hidden="false" customHeight="true" outlineLevel="0" collapsed="false">
      <c r="A673" s="13" t="str">
        <f aca="false">IF(AND($B673="",$D673="",$E673="",$F673=""),"",IF(OR($B673="",$D673="",$E673=""),"待补",IF($D673="公共区域","公",IF($D673="商铺","S",SUBSTITUTE($D673,"栋","")))&amp;"-"&amp;$E673&amp;"-"&amp;TEXT(MONTH($B673),"00")&amp;TEXT(DAY($B673),"00")&amp;IF(ISNUMBER($O673),IF($O673&gt;1,"-"&amp;TEXT($O673,"00"),""),"")))</f>
        <v/>
      </c>
      <c r="B673" s="14"/>
      <c r="C673" s="10"/>
      <c r="D673" s="10"/>
      <c r="E673" s="10"/>
      <c r="F673" s="16"/>
      <c r="G673" s="10"/>
      <c r="H673" s="10"/>
      <c r="I673" s="10"/>
      <c r="J673" s="10"/>
      <c r="K673" s="10"/>
      <c r="L673" s="10"/>
      <c r="M673" s="14"/>
      <c r="N673" s="17" t="str">
        <f aca="false">IF($B673="","",IF($L673="已完成",IF($M673="","",$M673-$B673),IF(设置!$B$6&lt;$B673,"",IF((设置!$B$6-$B673)&gt;=设置!$B$5,"超期"&amp;(设置!$B$6-$B673)&amp;"天","已等"&amp;(设置!$B$6-$B673)&amp;"天"))))</f>
        <v/>
      </c>
      <c r="O673" s="18" t="str">
        <f aca="false">IF(OR($D673="",$E673=""),"",COUNTIFS($D$7:$D673,$D673,$E$7:$E673,$E673))</f>
        <v/>
      </c>
      <c r="P673" s="16"/>
      <c r="Q673" s="19"/>
      <c r="R673" s="10"/>
      <c r="S673" s="16"/>
      <c r="T673" s="0" t="str">
        <f aca="false">IF(OR($D673="",单元查询!$B$3=""),"",IF($D673&lt;&gt;单元查询!$B$3,"",IF(OR(单元查询!$D$3="",$E673&amp;""=单元查询!$D$3&amp;""),IF(ISNUMBER($B673),$B673*10000,0)+ROW(),"")))</f>
        <v/>
      </c>
      <c r="U673" s="0" t="str">
        <f aca="false">IF(OR($B673="",$L673="已完成"),"",IF(ISNUMBER($B673),IF(设置!$B$6&lt;$B673,"",(设置!$B$6-$B673)*100000+ROW()),""))</f>
        <v/>
      </c>
      <c r="V673" s="0" t="str">
        <f aca="false">IF(ISNUMBER($O673),IF($O673&gt;=2,IF(COUNTIFS($D673:$D$2006,$D673,$E673:$E$2006,$E673)=1,ROW(),""),""),"")</f>
        <v/>
      </c>
    </row>
    <row r="674" customFormat="false" ht="15" hidden="false" customHeight="true" outlineLevel="0" collapsed="false">
      <c r="A674" s="13" t="str">
        <f aca="false">IF(AND($B674="",$D674="",$E674="",$F674=""),"",IF(OR($B674="",$D674="",$E674=""),"待补",IF($D674="公共区域","公",IF($D674="商铺","S",SUBSTITUTE($D674,"栋","")))&amp;"-"&amp;$E674&amp;"-"&amp;TEXT(MONTH($B674),"00")&amp;TEXT(DAY($B674),"00")&amp;IF(ISNUMBER($O674),IF($O674&gt;1,"-"&amp;TEXT($O674,"00"),""),"")))</f>
        <v/>
      </c>
      <c r="B674" s="14"/>
      <c r="C674" s="10"/>
      <c r="D674" s="10"/>
      <c r="E674" s="10"/>
      <c r="F674" s="16"/>
      <c r="G674" s="10"/>
      <c r="H674" s="10"/>
      <c r="I674" s="10"/>
      <c r="J674" s="10"/>
      <c r="K674" s="10"/>
      <c r="L674" s="10"/>
      <c r="M674" s="14"/>
      <c r="N674" s="17" t="str">
        <f aca="false">IF($B674="","",IF($L674="已完成",IF($M674="","",$M674-$B674),IF(设置!$B$6&lt;$B674,"",IF((设置!$B$6-$B674)&gt;=设置!$B$5,"超期"&amp;(设置!$B$6-$B674)&amp;"天","已等"&amp;(设置!$B$6-$B674)&amp;"天"))))</f>
        <v/>
      </c>
      <c r="O674" s="18" t="str">
        <f aca="false">IF(OR($D674="",$E674=""),"",COUNTIFS($D$7:$D674,$D674,$E$7:$E674,$E674))</f>
        <v/>
      </c>
      <c r="P674" s="16"/>
      <c r="Q674" s="19"/>
      <c r="R674" s="10"/>
      <c r="S674" s="16"/>
      <c r="T674" s="0" t="str">
        <f aca="false">IF(OR($D674="",单元查询!$B$3=""),"",IF($D674&lt;&gt;单元查询!$B$3,"",IF(OR(单元查询!$D$3="",$E674&amp;""=单元查询!$D$3&amp;""),IF(ISNUMBER($B674),$B674*10000,0)+ROW(),"")))</f>
        <v/>
      </c>
      <c r="U674" s="0" t="str">
        <f aca="false">IF(OR($B674="",$L674="已完成"),"",IF(ISNUMBER($B674),IF(设置!$B$6&lt;$B674,"",(设置!$B$6-$B674)*100000+ROW()),""))</f>
        <v/>
      </c>
      <c r="V674" s="0" t="str">
        <f aca="false">IF(ISNUMBER($O674),IF($O674&gt;=2,IF(COUNTIFS($D674:$D$2006,$D674,$E674:$E$2006,$E674)=1,ROW(),""),""),"")</f>
        <v/>
      </c>
    </row>
    <row r="675" customFormat="false" ht="15" hidden="false" customHeight="true" outlineLevel="0" collapsed="false">
      <c r="A675" s="13" t="str">
        <f aca="false">IF(AND($B675="",$D675="",$E675="",$F675=""),"",IF(OR($B675="",$D675="",$E675=""),"待补",IF($D675="公共区域","公",IF($D675="商铺","S",SUBSTITUTE($D675,"栋","")))&amp;"-"&amp;$E675&amp;"-"&amp;TEXT(MONTH($B675),"00")&amp;TEXT(DAY($B675),"00")&amp;IF(ISNUMBER($O675),IF($O675&gt;1,"-"&amp;TEXT($O675,"00"),""),"")))</f>
        <v/>
      </c>
      <c r="B675" s="14"/>
      <c r="C675" s="10"/>
      <c r="D675" s="10"/>
      <c r="E675" s="10"/>
      <c r="F675" s="16"/>
      <c r="G675" s="10"/>
      <c r="H675" s="10"/>
      <c r="I675" s="10"/>
      <c r="J675" s="10"/>
      <c r="K675" s="10"/>
      <c r="L675" s="10"/>
      <c r="M675" s="14"/>
      <c r="N675" s="17" t="str">
        <f aca="false">IF($B675="","",IF($L675="已完成",IF($M675="","",$M675-$B675),IF(设置!$B$6&lt;$B675,"",IF((设置!$B$6-$B675)&gt;=设置!$B$5,"超期"&amp;(设置!$B$6-$B675)&amp;"天","已等"&amp;(设置!$B$6-$B675)&amp;"天"))))</f>
        <v/>
      </c>
      <c r="O675" s="18" t="str">
        <f aca="false">IF(OR($D675="",$E675=""),"",COUNTIFS($D$7:$D675,$D675,$E$7:$E675,$E675))</f>
        <v/>
      </c>
      <c r="P675" s="16"/>
      <c r="Q675" s="19"/>
      <c r="R675" s="10"/>
      <c r="S675" s="16"/>
      <c r="T675" s="0" t="str">
        <f aca="false">IF(OR($D675="",单元查询!$B$3=""),"",IF($D675&lt;&gt;单元查询!$B$3,"",IF(OR(单元查询!$D$3="",$E675&amp;""=单元查询!$D$3&amp;""),IF(ISNUMBER($B675),$B675*10000,0)+ROW(),"")))</f>
        <v/>
      </c>
      <c r="U675" s="0" t="str">
        <f aca="false">IF(OR($B675="",$L675="已完成"),"",IF(ISNUMBER($B675),IF(设置!$B$6&lt;$B675,"",(设置!$B$6-$B675)*100000+ROW()),""))</f>
        <v/>
      </c>
      <c r="V675" s="0" t="str">
        <f aca="false">IF(ISNUMBER($O675),IF($O675&gt;=2,IF(COUNTIFS($D675:$D$2006,$D675,$E675:$E$2006,$E675)=1,ROW(),""),""),"")</f>
        <v/>
      </c>
    </row>
    <row r="676" customFormat="false" ht="15" hidden="false" customHeight="true" outlineLevel="0" collapsed="false">
      <c r="A676" s="13" t="str">
        <f aca="false">IF(AND($B676="",$D676="",$E676="",$F676=""),"",IF(OR($B676="",$D676="",$E676=""),"待补",IF($D676="公共区域","公",IF($D676="商铺","S",SUBSTITUTE($D676,"栋","")))&amp;"-"&amp;$E676&amp;"-"&amp;TEXT(MONTH($B676),"00")&amp;TEXT(DAY($B676),"00")&amp;IF(ISNUMBER($O676),IF($O676&gt;1,"-"&amp;TEXT($O676,"00"),""),"")))</f>
        <v/>
      </c>
      <c r="B676" s="14"/>
      <c r="C676" s="10"/>
      <c r="D676" s="10"/>
      <c r="E676" s="10"/>
      <c r="F676" s="16"/>
      <c r="G676" s="10"/>
      <c r="H676" s="10"/>
      <c r="I676" s="10"/>
      <c r="J676" s="10"/>
      <c r="K676" s="10"/>
      <c r="L676" s="10"/>
      <c r="M676" s="14"/>
      <c r="N676" s="17" t="str">
        <f aca="false">IF($B676="","",IF($L676="已完成",IF($M676="","",$M676-$B676),IF(设置!$B$6&lt;$B676,"",IF((设置!$B$6-$B676)&gt;=设置!$B$5,"超期"&amp;(设置!$B$6-$B676)&amp;"天","已等"&amp;(设置!$B$6-$B676)&amp;"天"))))</f>
        <v/>
      </c>
      <c r="O676" s="18" t="str">
        <f aca="false">IF(OR($D676="",$E676=""),"",COUNTIFS($D$7:$D676,$D676,$E$7:$E676,$E676))</f>
        <v/>
      </c>
      <c r="P676" s="16"/>
      <c r="Q676" s="19"/>
      <c r="R676" s="10"/>
      <c r="S676" s="16"/>
      <c r="T676" s="0" t="str">
        <f aca="false">IF(OR($D676="",单元查询!$B$3=""),"",IF($D676&lt;&gt;单元查询!$B$3,"",IF(OR(单元查询!$D$3="",$E676&amp;""=单元查询!$D$3&amp;""),IF(ISNUMBER($B676),$B676*10000,0)+ROW(),"")))</f>
        <v/>
      </c>
      <c r="U676" s="0" t="str">
        <f aca="false">IF(OR($B676="",$L676="已完成"),"",IF(ISNUMBER($B676),IF(设置!$B$6&lt;$B676,"",(设置!$B$6-$B676)*100000+ROW()),""))</f>
        <v/>
      </c>
      <c r="V676" s="0" t="str">
        <f aca="false">IF(ISNUMBER($O676),IF($O676&gt;=2,IF(COUNTIFS($D676:$D$2006,$D676,$E676:$E$2006,$E676)=1,ROW(),""),""),"")</f>
        <v/>
      </c>
    </row>
    <row r="677" customFormat="false" ht="15" hidden="false" customHeight="true" outlineLevel="0" collapsed="false">
      <c r="A677" s="13" t="str">
        <f aca="false">IF(AND($B677="",$D677="",$E677="",$F677=""),"",IF(OR($B677="",$D677="",$E677=""),"待补",IF($D677="公共区域","公",IF($D677="商铺","S",SUBSTITUTE($D677,"栋","")))&amp;"-"&amp;$E677&amp;"-"&amp;TEXT(MONTH($B677),"00")&amp;TEXT(DAY($B677),"00")&amp;IF(ISNUMBER($O677),IF($O677&gt;1,"-"&amp;TEXT($O677,"00"),""),"")))</f>
        <v/>
      </c>
      <c r="B677" s="14"/>
      <c r="C677" s="10"/>
      <c r="D677" s="10"/>
      <c r="E677" s="10"/>
      <c r="F677" s="16"/>
      <c r="G677" s="10"/>
      <c r="H677" s="10"/>
      <c r="I677" s="10"/>
      <c r="J677" s="10"/>
      <c r="K677" s="10"/>
      <c r="L677" s="10"/>
      <c r="M677" s="14"/>
      <c r="N677" s="17" t="str">
        <f aca="false">IF($B677="","",IF($L677="已完成",IF($M677="","",$M677-$B677),IF(设置!$B$6&lt;$B677,"",IF((设置!$B$6-$B677)&gt;=设置!$B$5,"超期"&amp;(设置!$B$6-$B677)&amp;"天","已等"&amp;(设置!$B$6-$B677)&amp;"天"))))</f>
        <v/>
      </c>
      <c r="O677" s="18" t="str">
        <f aca="false">IF(OR($D677="",$E677=""),"",COUNTIFS($D$7:$D677,$D677,$E$7:$E677,$E677))</f>
        <v/>
      </c>
      <c r="P677" s="16"/>
      <c r="Q677" s="19"/>
      <c r="R677" s="10"/>
      <c r="S677" s="16"/>
      <c r="T677" s="0" t="str">
        <f aca="false">IF(OR($D677="",单元查询!$B$3=""),"",IF($D677&lt;&gt;单元查询!$B$3,"",IF(OR(单元查询!$D$3="",$E677&amp;""=单元查询!$D$3&amp;""),IF(ISNUMBER($B677),$B677*10000,0)+ROW(),"")))</f>
        <v/>
      </c>
      <c r="U677" s="0" t="str">
        <f aca="false">IF(OR($B677="",$L677="已完成"),"",IF(ISNUMBER($B677),IF(设置!$B$6&lt;$B677,"",(设置!$B$6-$B677)*100000+ROW()),""))</f>
        <v/>
      </c>
      <c r="V677" s="0" t="str">
        <f aca="false">IF(ISNUMBER($O677),IF($O677&gt;=2,IF(COUNTIFS($D677:$D$2006,$D677,$E677:$E$2006,$E677)=1,ROW(),""),""),"")</f>
        <v/>
      </c>
    </row>
    <row r="678" customFormat="false" ht="15" hidden="false" customHeight="true" outlineLevel="0" collapsed="false">
      <c r="A678" s="13" t="str">
        <f aca="false">IF(AND($B678="",$D678="",$E678="",$F678=""),"",IF(OR($B678="",$D678="",$E678=""),"待补",IF($D678="公共区域","公",IF($D678="商铺","S",SUBSTITUTE($D678,"栋","")))&amp;"-"&amp;$E678&amp;"-"&amp;TEXT(MONTH($B678),"00")&amp;TEXT(DAY($B678),"00")&amp;IF(ISNUMBER($O678),IF($O678&gt;1,"-"&amp;TEXT($O678,"00"),""),"")))</f>
        <v/>
      </c>
      <c r="B678" s="14"/>
      <c r="C678" s="10"/>
      <c r="D678" s="10"/>
      <c r="E678" s="10"/>
      <c r="F678" s="16"/>
      <c r="G678" s="10"/>
      <c r="H678" s="10"/>
      <c r="I678" s="10"/>
      <c r="J678" s="10"/>
      <c r="K678" s="10"/>
      <c r="L678" s="10"/>
      <c r="M678" s="14"/>
      <c r="N678" s="17" t="str">
        <f aca="false">IF($B678="","",IF($L678="已完成",IF($M678="","",$M678-$B678),IF(设置!$B$6&lt;$B678,"",IF((设置!$B$6-$B678)&gt;=设置!$B$5,"超期"&amp;(设置!$B$6-$B678)&amp;"天","已等"&amp;(设置!$B$6-$B678)&amp;"天"))))</f>
        <v/>
      </c>
      <c r="O678" s="18" t="str">
        <f aca="false">IF(OR($D678="",$E678=""),"",COUNTIFS($D$7:$D678,$D678,$E$7:$E678,$E678))</f>
        <v/>
      </c>
      <c r="P678" s="16"/>
      <c r="Q678" s="19"/>
      <c r="R678" s="10"/>
      <c r="S678" s="16"/>
      <c r="T678" s="0" t="str">
        <f aca="false">IF(OR($D678="",单元查询!$B$3=""),"",IF($D678&lt;&gt;单元查询!$B$3,"",IF(OR(单元查询!$D$3="",$E678&amp;""=单元查询!$D$3&amp;""),IF(ISNUMBER($B678),$B678*10000,0)+ROW(),"")))</f>
        <v/>
      </c>
      <c r="U678" s="0" t="str">
        <f aca="false">IF(OR($B678="",$L678="已完成"),"",IF(ISNUMBER($B678),IF(设置!$B$6&lt;$B678,"",(设置!$B$6-$B678)*100000+ROW()),""))</f>
        <v/>
      </c>
      <c r="V678" s="0" t="str">
        <f aca="false">IF(ISNUMBER($O678),IF($O678&gt;=2,IF(COUNTIFS($D678:$D$2006,$D678,$E678:$E$2006,$E678)=1,ROW(),""),""),"")</f>
        <v/>
      </c>
    </row>
    <row r="679" customFormat="false" ht="15" hidden="false" customHeight="true" outlineLevel="0" collapsed="false">
      <c r="A679" s="13" t="str">
        <f aca="false">IF(AND($B679="",$D679="",$E679="",$F679=""),"",IF(OR($B679="",$D679="",$E679=""),"待补",IF($D679="公共区域","公",IF($D679="商铺","S",SUBSTITUTE($D679,"栋","")))&amp;"-"&amp;$E679&amp;"-"&amp;TEXT(MONTH($B679),"00")&amp;TEXT(DAY($B679),"00")&amp;IF(ISNUMBER($O679),IF($O679&gt;1,"-"&amp;TEXT($O679,"00"),""),"")))</f>
        <v/>
      </c>
      <c r="B679" s="14"/>
      <c r="C679" s="10"/>
      <c r="D679" s="10"/>
      <c r="E679" s="10"/>
      <c r="F679" s="16"/>
      <c r="G679" s="10"/>
      <c r="H679" s="10"/>
      <c r="I679" s="10"/>
      <c r="J679" s="10"/>
      <c r="K679" s="10"/>
      <c r="L679" s="10"/>
      <c r="M679" s="14"/>
      <c r="N679" s="17" t="str">
        <f aca="false">IF($B679="","",IF($L679="已完成",IF($M679="","",$M679-$B679),IF(设置!$B$6&lt;$B679,"",IF((设置!$B$6-$B679)&gt;=设置!$B$5,"超期"&amp;(设置!$B$6-$B679)&amp;"天","已等"&amp;(设置!$B$6-$B679)&amp;"天"))))</f>
        <v/>
      </c>
      <c r="O679" s="18" t="str">
        <f aca="false">IF(OR($D679="",$E679=""),"",COUNTIFS($D$7:$D679,$D679,$E$7:$E679,$E679))</f>
        <v/>
      </c>
      <c r="P679" s="16"/>
      <c r="Q679" s="19"/>
      <c r="R679" s="10"/>
      <c r="S679" s="16"/>
      <c r="T679" s="0" t="str">
        <f aca="false">IF(OR($D679="",单元查询!$B$3=""),"",IF($D679&lt;&gt;单元查询!$B$3,"",IF(OR(单元查询!$D$3="",$E679&amp;""=单元查询!$D$3&amp;""),IF(ISNUMBER($B679),$B679*10000,0)+ROW(),"")))</f>
        <v/>
      </c>
      <c r="U679" s="0" t="str">
        <f aca="false">IF(OR($B679="",$L679="已完成"),"",IF(ISNUMBER($B679),IF(设置!$B$6&lt;$B679,"",(设置!$B$6-$B679)*100000+ROW()),""))</f>
        <v/>
      </c>
      <c r="V679" s="0" t="str">
        <f aca="false">IF(ISNUMBER($O679),IF($O679&gt;=2,IF(COUNTIFS($D679:$D$2006,$D679,$E679:$E$2006,$E679)=1,ROW(),""),""),"")</f>
        <v/>
      </c>
    </row>
    <row r="680" customFormat="false" ht="15" hidden="false" customHeight="true" outlineLevel="0" collapsed="false">
      <c r="A680" s="13" t="str">
        <f aca="false">IF(AND($B680="",$D680="",$E680="",$F680=""),"",IF(OR($B680="",$D680="",$E680=""),"待补",IF($D680="公共区域","公",IF($D680="商铺","S",SUBSTITUTE($D680,"栋","")))&amp;"-"&amp;$E680&amp;"-"&amp;TEXT(MONTH($B680),"00")&amp;TEXT(DAY($B680),"00")&amp;IF(ISNUMBER($O680),IF($O680&gt;1,"-"&amp;TEXT($O680,"00"),""),"")))</f>
        <v/>
      </c>
      <c r="B680" s="14"/>
      <c r="C680" s="10"/>
      <c r="D680" s="10"/>
      <c r="E680" s="10"/>
      <c r="F680" s="16"/>
      <c r="G680" s="10"/>
      <c r="H680" s="10"/>
      <c r="I680" s="10"/>
      <c r="J680" s="10"/>
      <c r="K680" s="10"/>
      <c r="L680" s="10"/>
      <c r="M680" s="14"/>
      <c r="N680" s="17" t="str">
        <f aca="false">IF($B680="","",IF($L680="已完成",IF($M680="","",$M680-$B680),IF(设置!$B$6&lt;$B680,"",IF((设置!$B$6-$B680)&gt;=设置!$B$5,"超期"&amp;(设置!$B$6-$B680)&amp;"天","已等"&amp;(设置!$B$6-$B680)&amp;"天"))))</f>
        <v/>
      </c>
      <c r="O680" s="18" t="str">
        <f aca="false">IF(OR($D680="",$E680=""),"",COUNTIFS($D$7:$D680,$D680,$E$7:$E680,$E680))</f>
        <v/>
      </c>
      <c r="P680" s="16"/>
      <c r="Q680" s="19"/>
      <c r="R680" s="10"/>
      <c r="S680" s="16"/>
      <c r="T680" s="0" t="str">
        <f aca="false">IF(OR($D680="",单元查询!$B$3=""),"",IF($D680&lt;&gt;单元查询!$B$3,"",IF(OR(单元查询!$D$3="",$E680&amp;""=单元查询!$D$3&amp;""),IF(ISNUMBER($B680),$B680*10000,0)+ROW(),"")))</f>
        <v/>
      </c>
      <c r="U680" s="0" t="str">
        <f aca="false">IF(OR($B680="",$L680="已完成"),"",IF(ISNUMBER($B680),IF(设置!$B$6&lt;$B680,"",(设置!$B$6-$B680)*100000+ROW()),""))</f>
        <v/>
      </c>
      <c r="V680" s="0" t="str">
        <f aca="false">IF(ISNUMBER($O680),IF($O680&gt;=2,IF(COUNTIFS($D680:$D$2006,$D680,$E680:$E$2006,$E680)=1,ROW(),""),""),"")</f>
        <v/>
      </c>
    </row>
    <row r="681" customFormat="false" ht="15" hidden="false" customHeight="true" outlineLevel="0" collapsed="false">
      <c r="A681" s="13" t="str">
        <f aca="false">IF(AND($B681="",$D681="",$E681="",$F681=""),"",IF(OR($B681="",$D681="",$E681=""),"待补",IF($D681="公共区域","公",IF($D681="商铺","S",SUBSTITUTE($D681,"栋","")))&amp;"-"&amp;$E681&amp;"-"&amp;TEXT(MONTH($B681),"00")&amp;TEXT(DAY($B681),"00")&amp;IF(ISNUMBER($O681),IF($O681&gt;1,"-"&amp;TEXT($O681,"00"),""),"")))</f>
        <v/>
      </c>
      <c r="B681" s="14"/>
      <c r="C681" s="10"/>
      <c r="D681" s="10"/>
      <c r="E681" s="10"/>
      <c r="F681" s="16"/>
      <c r="G681" s="10"/>
      <c r="H681" s="10"/>
      <c r="I681" s="10"/>
      <c r="J681" s="10"/>
      <c r="K681" s="10"/>
      <c r="L681" s="10"/>
      <c r="M681" s="14"/>
      <c r="N681" s="17" t="str">
        <f aca="false">IF($B681="","",IF($L681="已完成",IF($M681="","",$M681-$B681),IF(设置!$B$6&lt;$B681,"",IF((设置!$B$6-$B681)&gt;=设置!$B$5,"超期"&amp;(设置!$B$6-$B681)&amp;"天","已等"&amp;(设置!$B$6-$B681)&amp;"天"))))</f>
        <v/>
      </c>
      <c r="O681" s="18" t="str">
        <f aca="false">IF(OR($D681="",$E681=""),"",COUNTIFS($D$7:$D681,$D681,$E$7:$E681,$E681))</f>
        <v/>
      </c>
      <c r="P681" s="16"/>
      <c r="Q681" s="19"/>
      <c r="R681" s="10"/>
      <c r="S681" s="16"/>
      <c r="T681" s="0" t="str">
        <f aca="false">IF(OR($D681="",单元查询!$B$3=""),"",IF($D681&lt;&gt;单元查询!$B$3,"",IF(OR(单元查询!$D$3="",$E681&amp;""=单元查询!$D$3&amp;""),IF(ISNUMBER($B681),$B681*10000,0)+ROW(),"")))</f>
        <v/>
      </c>
      <c r="U681" s="0" t="str">
        <f aca="false">IF(OR($B681="",$L681="已完成"),"",IF(ISNUMBER($B681),IF(设置!$B$6&lt;$B681,"",(设置!$B$6-$B681)*100000+ROW()),""))</f>
        <v/>
      </c>
      <c r="V681" s="0" t="str">
        <f aca="false">IF(ISNUMBER($O681),IF($O681&gt;=2,IF(COUNTIFS($D681:$D$2006,$D681,$E681:$E$2006,$E681)=1,ROW(),""),""),"")</f>
        <v/>
      </c>
    </row>
    <row r="682" customFormat="false" ht="15" hidden="false" customHeight="true" outlineLevel="0" collapsed="false">
      <c r="A682" s="13" t="str">
        <f aca="false">IF(AND($B682="",$D682="",$E682="",$F682=""),"",IF(OR($B682="",$D682="",$E682=""),"待补",IF($D682="公共区域","公",IF($D682="商铺","S",SUBSTITUTE($D682,"栋","")))&amp;"-"&amp;$E682&amp;"-"&amp;TEXT(MONTH($B682),"00")&amp;TEXT(DAY($B682),"00")&amp;IF(ISNUMBER($O682),IF($O682&gt;1,"-"&amp;TEXT($O682,"00"),""),"")))</f>
        <v/>
      </c>
      <c r="B682" s="14"/>
      <c r="C682" s="10"/>
      <c r="D682" s="10"/>
      <c r="E682" s="10"/>
      <c r="F682" s="16"/>
      <c r="G682" s="10"/>
      <c r="H682" s="10"/>
      <c r="I682" s="10"/>
      <c r="J682" s="10"/>
      <c r="K682" s="10"/>
      <c r="L682" s="10"/>
      <c r="M682" s="14"/>
      <c r="N682" s="17" t="str">
        <f aca="false">IF($B682="","",IF($L682="已完成",IF($M682="","",$M682-$B682),IF(设置!$B$6&lt;$B682,"",IF((设置!$B$6-$B682)&gt;=设置!$B$5,"超期"&amp;(设置!$B$6-$B682)&amp;"天","已等"&amp;(设置!$B$6-$B682)&amp;"天"))))</f>
        <v/>
      </c>
      <c r="O682" s="18" t="str">
        <f aca="false">IF(OR($D682="",$E682=""),"",COUNTIFS($D$7:$D682,$D682,$E$7:$E682,$E682))</f>
        <v/>
      </c>
      <c r="P682" s="16"/>
      <c r="Q682" s="19"/>
      <c r="R682" s="10"/>
      <c r="S682" s="16"/>
      <c r="T682" s="0" t="str">
        <f aca="false">IF(OR($D682="",单元查询!$B$3=""),"",IF($D682&lt;&gt;单元查询!$B$3,"",IF(OR(单元查询!$D$3="",$E682&amp;""=单元查询!$D$3&amp;""),IF(ISNUMBER($B682),$B682*10000,0)+ROW(),"")))</f>
        <v/>
      </c>
      <c r="U682" s="0" t="str">
        <f aca="false">IF(OR($B682="",$L682="已完成"),"",IF(ISNUMBER($B682),IF(设置!$B$6&lt;$B682,"",(设置!$B$6-$B682)*100000+ROW()),""))</f>
        <v/>
      </c>
      <c r="V682" s="0" t="str">
        <f aca="false">IF(ISNUMBER($O682),IF($O682&gt;=2,IF(COUNTIFS($D682:$D$2006,$D682,$E682:$E$2006,$E682)=1,ROW(),""),""),"")</f>
        <v/>
      </c>
    </row>
    <row r="683" customFormat="false" ht="15" hidden="false" customHeight="true" outlineLevel="0" collapsed="false">
      <c r="A683" s="13" t="str">
        <f aca="false">IF(AND($B683="",$D683="",$E683="",$F683=""),"",IF(OR($B683="",$D683="",$E683=""),"待补",IF($D683="公共区域","公",IF($D683="商铺","S",SUBSTITUTE($D683,"栋","")))&amp;"-"&amp;$E683&amp;"-"&amp;TEXT(MONTH($B683),"00")&amp;TEXT(DAY($B683),"00")&amp;IF(ISNUMBER($O683),IF($O683&gt;1,"-"&amp;TEXT($O683,"00"),""),"")))</f>
        <v/>
      </c>
      <c r="B683" s="14"/>
      <c r="C683" s="10"/>
      <c r="D683" s="10"/>
      <c r="E683" s="10"/>
      <c r="F683" s="16"/>
      <c r="G683" s="10"/>
      <c r="H683" s="10"/>
      <c r="I683" s="10"/>
      <c r="J683" s="10"/>
      <c r="K683" s="10"/>
      <c r="L683" s="10"/>
      <c r="M683" s="14"/>
      <c r="N683" s="17" t="str">
        <f aca="false">IF($B683="","",IF($L683="已完成",IF($M683="","",$M683-$B683),IF(设置!$B$6&lt;$B683,"",IF((设置!$B$6-$B683)&gt;=设置!$B$5,"超期"&amp;(设置!$B$6-$B683)&amp;"天","已等"&amp;(设置!$B$6-$B683)&amp;"天"))))</f>
        <v/>
      </c>
      <c r="O683" s="18" t="str">
        <f aca="false">IF(OR($D683="",$E683=""),"",COUNTIFS($D$7:$D683,$D683,$E$7:$E683,$E683))</f>
        <v/>
      </c>
      <c r="P683" s="16"/>
      <c r="Q683" s="19"/>
      <c r="R683" s="10"/>
      <c r="S683" s="16"/>
      <c r="T683" s="0" t="str">
        <f aca="false">IF(OR($D683="",单元查询!$B$3=""),"",IF($D683&lt;&gt;单元查询!$B$3,"",IF(OR(单元查询!$D$3="",$E683&amp;""=单元查询!$D$3&amp;""),IF(ISNUMBER($B683),$B683*10000,0)+ROW(),"")))</f>
        <v/>
      </c>
      <c r="U683" s="0" t="str">
        <f aca="false">IF(OR($B683="",$L683="已完成"),"",IF(ISNUMBER($B683),IF(设置!$B$6&lt;$B683,"",(设置!$B$6-$B683)*100000+ROW()),""))</f>
        <v/>
      </c>
      <c r="V683" s="0" t="str">
        <f aca="false">IF(ISNUMBER($O683),IF($O683&gt;=2,IF(COUNTIFS($D683:$D$2006,$D683,$E683:$E$2006,$E683)=1,ROW(),""),""),"")</f>
        <v/>
      </c>
    </row>
    <row r="684" customFormat="false" ht="15" hidden="false" customHeight="true" outlineLevel="0" collapsed="false">
      <c r="A684" s="13" t="str">
        <f aca="false">IF(AND($B684="",$D684="",$E684="",$F684=""),"",IF(OR($B684="",$D684="",$E684=""),"待补",IF($D684="公共区域","公",IF($D684="商铺","S",SUBSTITUTE($D684,"栋","")))&amp;"-"&amp;$E684&amp;"-"&amp;TEXT(MONTH($B684),"00")&amp;TEXT(DAY($B684),"00")&amp;IF(ISNUMBER($O684),IF($O684&gt;1,"-"&amp;TEXT($O684,"00"),""),"")))</f>
        <v/>
      </c>
      <c r="B684" s="14"/>
      <c r="C684" s="10"/>
      <c r="D684" s="10"/>
      <c r="E684" s="10"/>
      <c r="F684" s="16"/>
      <c r="G684" s="10"/>
      <c r="H684" s="10"/>
      <c r="I684" s="10"/>
      <c r="J684" s="10"/>
      <c r="K684" s="10"/>
      <c r="L684" s="10"/>
      <c r="M684" s="14"/>
      <c r="N684" s="17" t="str">
        <f aca="false">IF($B684="","",IF($L684="已完成",IF($M684="","",$M684-$B684),IF(设置!$B$6&lt;$B684,"",IF((设置!$B$6-$B684)&gt;=设置!$B$5,"超期"&amp;(设置!$B$6-$B684)&amp;"天","已等"&amp;(设置!$B$6-$B684)&amp;"天"))))</f>
        <v/>
      </c>
      <c r="O684" s="18" t="str">
        <f aca="false">IF(OR($D684="",$E684=""),"",COUNTIFS($D$7:$D684,$D684,$E$7:$E684,$E684))</f>
        <v/>
      </c>
      <c r="P684" s="16"/>
      <c r="Q684" s="19"/>
      <c r="R684" s="10"/>
      <c r="S684" s="16"/>
      <c r="T684" s="0" t="str">
        <f aca="false">IF(OR($D684="",单元查询!$B$3=""),"",IF($D684&lt;&gt;单元查询!$B$3,"",IF(OR(单元查询!$D$3="",$E684&amp;""=单元查询!$D$3&amp;""),IF(ISNUMBER($B684),$B684*10000,0)+ROW(),"")))</f>
        <v/>
      </c>
      <c r="U684" s="0" t="str">
        <f aca="false">IF(OR($B684="",$L684="已完成"),"",IF(ISNUMBER($B684),IF(设置!$B$6&lt;$B684,"",(设置!$B$6-$B684)*100000+ROW()),""))</f>
        <v/>
      </c>
      <c r="V684" s="0" t="str">
        <f aca="false">IF(ISNUMBER($O684),IF($O684&gt;=2,IF(COUNTIFS($D684:$D$2006,$D684,$E684:$E$2006,$E684)=1,ROW(),""),""),"")</f>
        <v/>
      </c>
    </row>
    <row r="685" customFormat="false" ht="15" hidden="false" customHeight="true" outlineLevel="0" collapsed="false">
      <c r="A685" s="13" t="str">
        <f aca="false">IF(AND($B685="",$D685="",$E685="",$F685=""),"",IF(OR($B685="",$D685="",$E685=""),"待补",IF($D685="公共区域","公",IF($D685="商铺","S",SUBSTITUTE($D685,"栋","")))&amp;"-"&amp;$E685&amp;"-"&amp;TEXT(MONTH($B685),"00")&amp;TEXT(DAY($B685),"00")&amp;IF(ISNUMBER($O685),IF($O685&gt;1,"-"&amp;TEXT($O685,"00"),""),"")))</f>
        <v/>
      </c>
      <c r="B685" s="14"/>
      <c r="C685" s="10"/>
      <c r="D685" s="10"/>
      <c r="E685" s="10"/>
      <c r="F685" s="16"/>
      <c r="G685" s="10"/>
      <c r="H685" s="10"/>
      <c r="I685" s="10"/>
      <c r="J685" s="10"/>
      <c r="K685" s="10"/>
      <c r="L685" s="10"/>
      <c r="M685" s="14"/>
      <c r="N685" s="17" t="str">
        <f aca="false">IF($B685="","",IF($L685="已完成",IF($M685="","",$M685-$B685),IF(设置!$B$6&lt;$B685,"",IF((设置!$B$6-$B685)&gt;=设置!$B$5,"超期"&amp;(设置!$B$6-$B685)&amp;"天","已等"&amp;(设置!$B$6-$B685)&amp;"天"))))</f>
        <v/>
      </c>
      <c r="O685" s="18" t="str">
        <f aca="false">IF(OR($D685="",$E685=""),"",COUNTIFS($D$7:$D685,$D685,$E$7:$E685,$E685))</f>
        <v/>
      </c>
      <c r="P685" s="16"/>
      <c r="Q685" s="19"/>
      <c r="R685" s="10"/>
      <c r="S685" s="16"/>
      <c r="T685" s="0" t="str">
        <f aca="false">IF(OR($D685="",单元查询!$B$3=""),"",IF($D685&lt;&gt;单元查询!$B$3,"",IF(OR(单元查询!$D$3="",$E685&amp;""=单元查询!$D$3&amp;""),IF(ISNUMBER($B685),$B685*10000,0)+ROW(),"")))</f>
        <v/>
      </c>
      <c r="U685" s="0" t="str">
        <f aca="false">IF(OR($B685="",$L685="已完成"),"",IF(ISNUMBER($B685),IF(设置!$B$6&lt;$B685,"",(设置!$B$6-$B685)*100000+ROW()),""))</f>
        <v/>
      </c>
      <c r="V685" s="0" t="str">
        <f aca="false">IF(ISNUMBER($O685),IF($O685&gt;=2,IF(COUNTIFS($D685:$D$2006,$D685,$E685:$E$2006,$E685)=1,ROW(),""),""),"")</f>
        <v/>
      </c>
    </row>
    <row r="686" customFormat="false" ht="15" hidden="false" customHeight="true" outlineLevel="0" collapsed="false">
      <c r="A686" s="13" t="str">
        <f aca="false">IF(AND($B686="",$D686="",$E686="",$F686=""),"",IF(OR($B686="",$D686="",$E686=""),"待补",IF($D686="公共区域","公",IF($D686="商铺","S",SUBSTITUTE($D686,"栋","")))&amp;"-"&amp;$E686&amp;"-"&amp;TEXT(MONTH($B686),"00")&amp;TEXT(DAY($B686),"00")&amp;IF(ISNUMBER($O686),IF($O686&gt;1,"-"&amp;TEXT($O686,"00"),""),"")))</f>
        <v/>
      </c>
      <c r="B686" s="14"/>
      <c r="C686" s="10"/>
      <c r="D686" s="10"/>
      <c r="E686" s="10"/>
      <c r="F686" s="16"/>
      <c r="G686" s="10"/>
      <c r="H686" s="10"/>
      <c r="I686" s="10"/>
      <c r="J686" s="10"/>
      <c r="K686" s="10"/>
      <c r="L686" s="10"/>
      <c r="M686" s="14"/>
      <c r="N686" s="17" t="str">
        <f aca="false">IF($B686="","",IF($L686="已完成",IF($M686="","",$M686-$B686),IF(设置!$B$6&lt;$B686,"",IF((设置!$B$6-$B686)&gt;=设置!$B$5,"超期"&amp;(设置!$B$6-$B686)&amp;"天","已等"&amp;(设置!$B$6-$B686)&amp;"天"))))</f>
        <v/>
      </c>
      <c r="O686" s="18" t="str">
        <f aca="false">IF(OR($D686="",$E686=""),"",COUNTIFS($D$7:$D686,$D686,$E$7:$E686,$E686))</f>
        <v/>
      </c>
      <c r="P686" s="16"/>
      <c r="Q686" s="19"/>
      <c r="R686" s="10"/>
      <c r="S686" s="16"/>
      <c r="T686" s="0" t="str">
        <f aca="false">IF(OR($D686="",单元查询!$B$3=""),"",IF($D686&lt;&gt;单元查询!$B$3,"",IF(OR(单元查询!$D$3="",$E686&amp;""=单元查询!$D$3&amp;""),IF(ISNUMBER($B686),$B686*10000,0)+ROW(),"")))</f>
        <v/>
      </c>
      <c r="U686" s="0" t="str">
        <f aca="false">IF(OR($B686="",$L686="已完成"),"",IF(ISNUMBER($B686),IF(设置!$B$6&lt;$B686,"",(设置!$B$6-$B686)*100000+ROW()),""))</f>
        <v/>
      </c>
      <c r="V686" s="0" t="str">
        <f aca="false">IF(ISNUMBER($O686),IF($O686&gt;=2,IF(COUNTIFS($D686:$D$2006,$D686,$E686:$E$2006,$E686)=1,ROW(),""),""),"")</f>
        <v/>
      </c>
    </row>
    <row r="687" customFormat="false" ht="15" hidden="false" customHeight="true" outlineLevel="0" collapsed="false">
      <c r="A687" s="13" t="str">
        <f aca="false">IF(AND($B687="",$D687="",$E687="",$F687=""),"",IF(OR($B687="",$D687="",$E687=""),"待补",IF($D687="公共区域","公",IF($D687="商铺","S",SUBSTITUTE($D687,"栋","")))&amp;"-"&amp;$E687&amp;"-"&amp;TEXT(MONTH($B687),"00")&amp;TEXT(DAY($B687),"00")&amp;IF(ISNUMBER($O687),IF($O687&gt;1,"-"&amp;TEXT($O687,"00"),""),"")))</f>
        <v/>
      </c>
      <c r="B687" s="14"/>
      <c r="C687" s="10"/>
      <c r="D687" s="10"/>
      <c r="E687" s="10"/>
      <c r="F687" s="16"/>
      <c r="G687" s="10"/>
      <c r="H687" s="10"/>
      <c r="I687" s="10"/>
      <c r="J687" s="10"/>
      <c r="K687" s="10"/>
      <c r="L687" s="10"/>
      <c r="M687" s="14"/>
      <c r="N687" s="17" t="str">
        <f aca="false">IF($B687="","",IF($L687="已完成",IF($M687="","",$M687-$B687),IF(设置!$B$6&lt;$B687,"",IF((设置!$B$6-$B687)&gt;=设置!$B$5,"超期"&amp;(设置!$B$6-$B687)&amp;"天","已等"&amp;(设置!$B$6-$B687)&amp;"天"))))</f>
        <v/>
      </c>
      <c r="O687" s="18" t="str">
        <f aca="false">IF(OR($D687="",$E687=""),"",COUNTIFS($D$7:$D687,$D687,$E$7:$E687,$E687))</f>
        <v/>
      </c>
      <c r="P687" s="16"/>
      <c r="Q687" s="19"/>
      <c r="R687" s="10"/>
      <c r="S687" s="16"/>
      <c r="T687" s="0" t="str">
        <f aca="false">IF(OR($D687="",单元查询!$B$3=""),"",IF($D687&lt;&gt;单元查询!$B$3,"",IF(OR(单元查询!$D$3="",$E687&amp;""=单元查询!$D$3&amp;""),IF(ISNUMBER($B687),$B687*10000,0)+ROW(),"")))</f>
        <v/>
      </c>
      <c r="U687" s="0" t="str">
        <f aca="false">IF(OR($B687="",$L687="已完成"),"",IF(ISNUMBER($B687),IF(设置!$B$6&lt;$B687,"",(设置!$B$6-$B687)*100000+ROW()),""))</f>
        <v/>
      </c>
      <c r="V687" s="0" t="str">
        <f aca="false">IF(ISNUMBER($O687),IF($O687&gt;=2,IF(COUNTIFS($D687:$D$2006,$D687,$E687:$E$2006,$E687)=1,ROW(),""),""),"")</f>
        <v/>
      </c>
    </row>
    <row r="688" customFormat="false" ht="15" hidden="false" customHeight="true" outlineLevel="0" collapsed="false">
      <c r="A688" s="13" t="str">
        <f aca="false">IF(AND($B688="",$D688="",$E688="",$F688=""),"",IF(OR($B688="",$D688="",$E688=""),"待补",IF($D688="公共区域","公",IF($D688="商铺","S",SUBSTITUTE($D688,"栋","")))&amp;"-"&amp;$E688&amp;"-"&amp;TEXT(MONTH($B688),"00")&amp;TEXT(DAY($B688),"00")&amp;IF(ISNUMBER($O688),IF($O688&gt;1,"-"&amp;TEXT($O688,"00"),""),"")))</f>
        <v/>
      </c>
      <c r="B688" s="14"/>
      <c r="C688" s="10"/>
      <c r="D688" s="10"/>
      <c r="E688" s="10"/>
      <c r="F688" s="16"/>
      <c r="G688" s="10"/>
      <c r="H688" s="10"/>
      <c r="I688" s="10"/>
      <c r="J688" s="10"/>
      <c r="K688" s="10"/>
      <c r="L688" s="10"/>
      <c r="M688" s="14"/>
      <c r="N688" s="17" t="str">
        <f aca="false">IF($B688="","",IF($L688="已完成",IF($M688="","",$M688-$B688),IF(设置!$B$6&lt;$B688,"",IF((设置!$B$6-$B688)&gt;=设置!$B$5,"超期"&amp;(设置!$B$6-$B688)&amp;"天","已等"&amp;(设置!$B$6-$B688)&amp;"天"))))</f>
        <v/>
      </c>
      <c r="O688" s="18" t="str">
        <f aca="false">IF(OR($D688="",$E688=""),"",COUNTIFS($D$7:$D688,$D688,$E$7:$E688,$E688))</f>
        <v/>
      </c>
      <c r="P688" s="16"/>
      <c r="Q688" s="19"/>
      <c r="R688" s="10"/>
      <c r="S688" s="16"/>
      <c r="T688" s="0" t="str">
        <f aca="false">IF(OR($D688="",单元查询!$B$3=""),"",IF($D688&lt;&gt;单元查询!$B$3,"",IF(OR(单元查询!$D$3="",$E688&amp;""=单元查询!$D$3&amp;""),IF(ISNUMBER($B688),$B688*10000,0)+ROW(),"")))</f>
        <v/>
      </c>
      <c r="U688" s="0" t="str">
        <f aca="false">IF(OR($B688="",$L688="已完成"),"",IF(ISNUMBER($B688),IF(设置!$B$6&lt;$B688,"",(设置!$B$6-$B688)*100000+ROW()),""))</f>
        <v/>
      </c>
      <c r="V688" s="0" t="str">
        <f aca="false">IF(ISNUMBER($O688),IF($O688&gt;=2,IF(COUNTIFS($D688:$D$2006,$D688,$E688:$E$2006,$E688)=1,ROW(),""),""),"")</f>
        <v/>
      </c>
    </row>
    <row r="689" customFormat="false" ht="15" hidden="false" customHeight="true" outlineLevel="0" collapsed="false">
      <c r="A689" s="13" t="str">
        <f aca="false">IF(AND($B689="",$D689="",$E689="",$F689=""),"",IF(OR($B689="",$D689="",$E689=""),"待补",IF($D689="公共区域","公",IF($D689="商铺","S",SUBSTITUTE($D689,"栋","")))&amp;"-"&amp;$E689&amp;"-"&amp;TEXT(MONTH($B689),"00")&amp;TEXT(DAY($B689),"00")&amp;IF(ISNUMBER($O689),IF($O689&gt;1,"-"&amp;TEXT($O689,"00"),""),"")))</f>
        <v/>
      </c>
      <c r="B689" s="14"/>
      <c r="C689" s="10"/>
      <c r="D689" s="10"/>
      <c r="E689" s="10"/>
      <c r="F689" s="16"/>
      <c r="G689" s="10"/>
      <c r="H689" s="10"/>
      <c r="I689" s="10"/>
      <c r="J689" s="10"/>
      <c r="K689" s="10"/>
      <c r="L689" s="10"/>
      <c r="M689" s="14"/>
      <c r="N689" s="17" t="str">
        <f aca="false">IF($B689="","",IF($L689="已完成",IF($M689="","",$M689-$B689),IF(设置!$B$6&lt;$B689,"",IF((设置!$B$6-$B689)&gt;=设置!$B$5,"超期"&amp;(设置!$B$6-$B689)&amp;"天","已等"&amp;(设置!$B$6-$B689)&amp;"天"))))</f>
        <v/>
      </c>
      <c r="O689" s="18" t="str">
        <f aca="false">IF(OR($D689="",$E689=""),"",COUNTIFS($D$7:$D689,$D689,$E$7:$E689,$E689))</f>
        <v/>
      </c>
      <c r="P689" s="16"/>
      <c r="Q689" s="19"/>
      <c r="R689" s="10"/>
      <c r="S689" s="16"/>
      <c r="T689" s="0" t="str">
        <f aca="false">IF(OR($D689="",单元查询!$B$3=""),"",IF($D689&lt;&gt;单元查询!$B$3,"",IF(OR(单元查询!$D$3="",$E689&amp;""=单元查询!$D$3&amp;""),IF(ISNUMBER($B689),$B689*10000,0)+ROW(),"")))</f>
        <v/>
      </c>
      <c r="U689" s="0" t="str">
        <f aca="false">IF(OR($B689="",$L689="已完成"),"",IF(ISNUMBER($B689),IF(设置!$B$6&lt;$B689,"",(设置!$B$6-$B689)*100000+ROW()),""))</f>
        <v/>
      </c>
      <c r="V689" s="0" t="str">
        <f aca="false">IF(ISNUMBER($O689),IF($O689&gt;=2,IF(COUNTIFS($D689:$D$2006,$D689,$E689:$E$2006,$E689)=1,ROW(),""),""),"")</f>
        <v/>
      </c>
    </row>
    <row r="690" customFormat="false" ht="15" hidden="false" customHeight="true" outlineLevel="0" collapsed="false">
      <c r="A690" s="13" t="str">
        <f aca="false">IF(AND($B690="",$D690="",$E690="",$F690=""),"",IF(OR($B690="",$D690="",$E690=""),"待补",IF($D690="公共区域","公",IF($D690="商铺","S",SUBSTITUTE($D690,"栋","")))&amp;"-"&amp;$E690&amp;"-"&amp;TEXT(MONTH($B690),"00")&amp;TEXT(DAY($B690),"00")&amp;IF(ISNUMBER($O690),IF($O690&gt;1,"-"&amp;TEXT($O690,"00"),""),"")))</f>
        <v/>
      </c>
      <c r="B690" s="14"/>
      <c r="C690" s="10"/>
      <c r="D690" s="10"/>
      <c r="E690" s="10"/>
      <c r="F690" s="16"/>
      <c r="G690" s="10"/>
      <c r="H690" s="10"/>
      <c r="I690" s="10"/>
      <c r="J690" s="10"/>
      <c r="K690" s="10"/>
      <c r="L690" s="10"/>
      <c r="M690" s="14"/>
      <c r="N690" s="17" t="str">
        <f aca="false">IF($B690="","",IF($L690="已完成",IF($M690="","",$M690-$B690),IF(设置!$B$6&lt;$B690,"",IF((设置!$B$6-$B690)&gt;=设置!$B$5,"超期"&amp;(设置!$B$6-$B690)&amp;"天","已等"&amp;(设置!$B$6-$B690)&amp;"天"))))</f>
        <v/>
      </c>
      <c r="O690" s="18" t="str">
        <f aca="false">IF(OR($D690="",$E690=""),"",COUNTIFS($D$7:$D690,$D690,$E$7:$E690,$E690))</f>
        <v/>
      </c>
      <c r="P690" s="16"/>
      <c r="Q690" s="19"/>
      <c r="R690" s="10"/>
      <c r="S690" s="16"/>
      <c r="T690" s="0" t="str">
        <f aca="false">IF(OR($D690="",单元查询!$B$3=""),"",IF($D690&lt;&gt;单元查询!$B$3,"",IF(OR(单元查询!$D$3="",$E690&amp;""=单元查询!$D$3&amp;""),IF(ISNUMBER($B690),$B690*10000,0)+ROW(),"")))</f>
        <v/>
      </c>
      <c r="U690" s="0" t="str">
        <f aca="false">IF(OR($B690="",$L690="已完成"),"",IF(ISNUMBER($B690),IF(设置!$B$6&lt;$B690,"",(设置!$B$6-$B690)*100000+ROW()),""))</f>
        <v/>
      </c>
      <c r="V690" s="0" t="str">
        <f aca="false">IF(ISNUMBER($O690),IF($O690&gt;=2,IF(COUNTIFS($D690:$D$2006,$D690,$E690:$E$2006,$E690)=1,ROW(),""),""),"")</f>
        <v/>
      </c>
    </row>
    <row r="691" customFormat="false" ht="15" hidden="false" customHeight="true" outlineLevel="0" collapsed="false">
      <c r="A691" s="13" t="str">
        <f aca="false">IF(AND($B691="",$D691="",$E691="",$F691=""),"",IF(OR($B691="",$D691="",$E691=""),"待补",IF($D691="公共区域","公",IF($D691="商铺","S",SUBSTITUTE($D691,"栋","")))&amp;"-"&amp;$E691&amp;"-"&amp;TEXT(MONTH($B691),"00")&amp;TEXT(DAY($B691),"00")&amp;IF(ISNUMBER($O691),IF($O691&gt;1,"-"&amp;TEXT($O691,"00"),""),"")))</f>
        <v/>
      </c>
      <c r="B691" s="14"/>
      <c r="C691" s="10"/>
      <c r="D691" s="10"/>
      <c r="E691" s="10"/>
      <c r="F691" s="16"/>
      <c r="G691" s="10"/>
      <c r="H691" s="10"/>
      <c r="I691" s="10"/>
      <c r="J691" s="10"/>
      <c r="K691" s="10"/>
      <c r="L691" s="10"/>
      <c r="M691" s="14"/>
      <c r="N691" s="17" t="str">
        <f aca="false">IF($B691="","",IF($L691="已完成",IF($M691="","",$M691-$B691),IF(设置!$B$6&lt;$B691,"",IF((设置!$B$6-$B691)&gt;=设置!$B$5,"超期"&amp;(设置!$B$6-$B691)&amp;"天","已等"&amp;(设置!$B$6-$B691)&amp;"天"))))</f>
        <v/>
      </c>
      <c r="O691" s="18" t="str">
        <f aca="false">IF(OR($D691="",$E691=""),"",COUNTIFS($D$7:$D691,$D691,$E$7:$E691,$E691))</f>
        <v/>
      </c>
      <c r="P691" s="16"/>
      <c r="Q691" s="19"/>
      <c r="R691" s="10"/>
      <c r="S691" s="16"/>
      <c r="T691" s="0" t="str">
        <f aca="false">IF(OR($D691="",单元查询!$B$3=""),"",IF($D691&lt;&gt;单元查询!$B$3,"",IF(OR(单元查询!$D$3="",$E691&amp;""=单元查询!$D$3&amp;""),IF(ISNUMBER($B691),$B691*10000,0)+ROW(),"")))</f>
        <v/>
      </c>
      <c r="U691" s="0" t="str">
        <f aca="false">IF(OR($B691="",$L691="已完成"),"",IF(ISNUMBER($B691),IF(设置!$B$6&lt;$B691,"",(设置!$B$6-$B691)*100000+ROW()),""))</f>
        <v/>
      </c>
      <c r="V691" s="0" t="str">
        <f aca="false">IF(ISNUMBER($O691),IF($O691&gt;=2,IF(COUNTIFS($D691:$D$2006,$D691,$E691:$E$2006,$E691)=1,ROW(),""),""),"")</f>
        <v/>
      </c>
    </row>
    <row r="692" customFormat="false" ht="15" hidden="false" customHeight="true" outlineLevel="0" collapsed="false">
      <c r="A692" s="13" t="str">
        <f aca="false">IF(AND($B692="",$D692="",$E692="",$F692=""),"",IF(OR($B692="",$D692="",$E692=""),"待补",IF($D692="公共区域","公",IF($D692="商铺","S",SUBSTITUTE($D692,"栋","")))&amp;"-"&amp;$E692&amp;"-"&amp;TEXT(MONTH($B692),"00")&amp;TEXT(DAY($B692),"00")&amp;IF(ISNUMBER($O692),IF($O692&gt;1,"-"&amp;TEXT($O692,"00"),""),"")))</f>
        <v/>
      </c>
      <c r="B692" s="14"/>
      <c r="C692" s="10"/>
      <c r="D692" s="10"/>
      <c r="E692" s="10"/>
      <c r="F692" s="16"/>
      <c r="G692" s="10"/>
      <c r="H692" s="10"/>
      <c r="I692" s="10"/>
      <c r="J692" s="10"/>
      <c r="K692" s="10"/>
      <c r="L692" s="10"/>
      <c r="M692" s="14"/>
      <c r="N692" s="17" t="str">
        <f aca="false">IF($B692="","",IF($L692="已完成",IF($M692="","",$M692-$B692),IF(设置!$B$6&lt;$B692,"",IF((设置!$B$6-$B692)&gt;=设置!$B$5,"超期"&amp;(设置!$B$6-$B692)&amp;"天","已等"&amp;(设置!$B$6-$B692)&amp;"天"))))</f>
        <v/>
      </c>
      <c r="O692" s="18" t="str">
        <f aca="false">IF(OR($D692="",$E692=""),"",COUNTIFS($D$7:$D692,$D692,$E$7:$E692,$E692))</f>
        <v/>
      </c>
      <c r="P692" s="16"/>
      <c r="Q692" s="19"/>
      <c r="R692" s="10"/>
      <c r="S692" s="16"/>
      <c r="T692" s="0" t="str">
        <f aca="false">IF(OR($D692="",单元查询!$B$3=""),"",IF($D692&lt;&gt;单元查询!$B$3,"",IF(OR(单元查询!$D$3="",$E692&amp;""=单元查询!$D$3&amp;""),IF(ISNUMBER($B692),$B692*10000,0)+ROW(),"")))</f>
        <v/>
      </c>
      <c r="U692" s="0" t="str">
        <f aca="false">IF(OR($B692="",$L692="已完成"),"",IF(ISNUMBER($B692),IF(设置!$B$6&lt;$B692,"",(设置!$B$6-$B692)*100000+ROW()),""))</f>
        <v/>
      </c>
      <c r="V692" s="0" t="str">
        <f aca="false">IF(ISNUMBER($O692),IF($O692&gt;=2,IF(COUNTIFS($D692:$D$2006,$D692,$E692:$E$2006,$E692)=1,ROW(),""),""),"")</f>
        <v/>
      </c>
    </row>
    <row r="693" customFormat="false" ht="15" hidden="false" customHeight="true" outlineLevel="0" collapsed="false">
      <c r="A693" s="13" t="str">
        <f aca="false">IF(AND($B693="",$D693="",$E693="",$F693=""),"",IF(OR($B693="",$D693="",$E693=""),"待补",IF($D693="公共区域","公",IF($D693="商铺","S",SUBSTITUTE($D693,"栋","")))&amp;"-"&amp;$E693&amp;"-"&amp;TEXT(MONTH($B693),"00")&amp;TEXT(DAY($B693),"00")&amp;IF(ISNUMBER($O693),IF($O693&gt;1,"-"&amp;TEXT($O693,"00"),""),"")))</f>
        <v/>
      </c>
      <c r="B693" s="14"/>
      <c r="C693" s="10"/>
      <c r="D693" s="10"/>
      <c r="E693" s="10"/>
      <c r="F693" s="16"/>
      <c r="G693" s="10"/>
      <c r="H693" s="10"/>
      <c r="I693" s="10"/>
      <c r="J693" s="10"/>
      <c r="K693" s="10"/>
      <c r="L693" s="10"/>
      <c r="M693" s="14"/>
      <c r="N693" s="17" t="str">
        <f aca="false">IF($B693="","",IF($L693="已完成",IF($M693="","",$M693-$B693),IF(设置!$B$6&lt;$B693,"",IF((设置!$B$6-$B693)&gt;=设置!$B$5,"超期"&amp;(设置!$B$6-$B693)&amp;"天","已等"&amp;(设置!$B$6-$B693)&amp;"天"))))</f>
        <v/>
      </c>
      <c r="O693" s="18" t="str">
        <f aca="false">IF(OR($D693="",$E693=""),"",COUNTIFS($D$7:$D693,$D693,$E$7:$E693,$E693))</f>
        <v/>
      </c>
      <c r="P693" s="16"/>
      <c r="Q693" s="19"/>
      <c r="R693" s="10"/>
      <c r="S693" s="16"/>
      <c r="T693" s="0" t="str">
        <f aca="false">IF(OR($D693="",单元查询!$B$3=""),"",IF($D693&lt;&gt;单元查询!$B$3,"",IF(OR(单元查询!$D$3="",$E693&amp;""=单元查询!$D$3&amp;""),IF(ISNUMBER($B693),$B693*10000,0)+ROW(),"")))</f>
        <v/>
      </c>
      <c r="U693" s="0" t="str">
        <f aca="false">IF(OR($B693="",$L693="已完成"),"",IF(ISNUMBER($B693),IF(设置!$B$6&lt;$B693,"",(设置!$B$6-$B693)*100000+ROW()),""))</f>
        <v/>
      </c>
      <c r="V693" s="0" t="str">
        <f aca="false">IF(ISNUMBER($O693),IF($O693&gt;=2,IF(COUNTIFS($D693:$D$2006,$D693,$E693:$E$2006,$E693)=1,ROW(),""),""),"")</f>
        <v/>
      </c>
    </row>
    <row r="694" customFormat="false" ht="15" hidden="false" customHeight="true" outlineLevel="0" collapsed="false">
      <c r="A694" s="13" t="str">
        <f aca="false">IF(AND($B694="",$D694="",$E694="",$F694=""),"",IF(OR($B694="",$D694="",$E694=""),"待补",IF($D694="公共区域","公",IF($D694="商铺","S",SUBSTITUTE($D694,"栋","")))&amp;"-"&amp;$E694&amp;"-"&amp;TEXT(MONTH($B694),"00")&amp;TEXT(DAY($B694),"00")&amp;IF(ISNUMBER($O694),IF($O694&gt;1,"-"&amp;TEXT($O694,"00"),""),"")))</f>
        <v/>
      </c>
      <c r="B694" s="14"/>
      <c r="C694" s="10"/>
      <c r="D694" s="10"/>
      <c r="E694" s="10"/>
      <c r="F694" s="16"/>
      <c r="G694" s="10"/>
      <c r="H694" s="10"/>
      <c r="I694" s="10"/>
      <c r="J694" s="10"/>
      <c r="K694" s="10"/>
      <c r="L694" s="10"/>
      <c r="M694" s="14"/>
      <c r="N694" s="17" t="str">
        <f aca="false">IF($B694="","",IF($L694="已完成",IF($M694="","",$M694-$B694),IF(设置!$B$6&lt;$B694,"",IF((设置!$B$6-$B694)&gt;=设置!$B$5,"超期"&amp;(设置!$B$6-$B694)&amp;"天","已等"&amp;(设置!$B$6-$B694)&amp;"天"))))</f>
        <v/>
      </c>
      <c r="O694" s="18" t="str">
        <f aca="false">IF(OR($D694="",$E694=""),"",COUNTIFS($D$7:$D694,$D694,$E$7:$E694,$E694))</f>
        <v/>
      </c>
      <c r="P694" s="16"/>
      <c r="Q694" s="19"/>
      <c r="R694" s="10"/>
      <c r="S694" s="16"/>
      <c r="T694" s="0" t="str">
        <f aca="false">IF(OR($D694="",单元查询!$B$3=""),"",IF($D694&lt;&gt;单元查询!$B$3,"",IF(OR(单元查询!$D$3="",$E694&amp;""=单元查询!$D$3&amp;""),IF(ISNUMBER($B694),$B694*10000,0)+ROW(),"")))</f>
        <v/>
      </c>
      <c r="U694" s="0" t="str">
        <f aca="false">IF(OR($B694="",$L694="已完成"),"",IF(ISNUMBER($B694),IF(设置!$B$6&lt;$B694,"",(设置!$B$6-$B694)*100000+ROW()),""))</f>
        <v/>
      </c>
      <c r="V694" s="0" t="str">
        <f aca="false">IF(ISNUMBER($O694),IF($O694&gt;=2,IF(COUNTIFS($D694:$D$2006,$D694,$E694:$E$2006,$E694)=1,ROW(),""),""),"")</f>
        <v/>
      </c>
    </row>
    <row r="695" customFormat="false" ht="15" hidden="false" customHeight="true" outlineLevel="0" collapsed="false">
      <c r="A695" s="13" t="str">
        <f aca="false">IF(AND($B695="",$D695="",$E695="",$F695=""),"",IF(OR($B695="",$D695="",$E695=""),"待补",IF($D695="公共区域","公",IF($D695="商铺","S",SUBSTITUTE($D695,"栋","")))&amp;"-"&amp;$E695&amp;"-"&amp;TEXT(MONTH($B695),"00")&amp;TEXT(DAY($B695),"00")&amp;IF(ISNUMBER($O695),IF($O695&gt;1,"-"&amp;TEXT($O695,"00"),""),"")))</f>
        <v/>
      </c>
      <c r="B695" s="14"/>
      <c r="C695" s="10"/>
      <c r="D695" s="10"/>
      <c r="E695" s="10"/>
      <c r="F695" s="16"/>
      <c r="G695" s="10"/>
      <c r="H695" s="10"/>
      <c r="I695" s="10"/>
      <c r="J695" s="10"/>
      <c r="K695" s="10"/>
      <c r="L695" s="10"/>
      <c r="M695" s="14"/>
      <c r="N695" s="17" t="str">
        <f aca="false">IF($B695="","",IF($L695="已完成",IF($M695="","",$M695-$B695),IF(设置!$B$6&lt;$B695,"",IF((设置!$B$6-$B695)&gt;=设置!$B$5,"超期"&amp;(设置!$B$6-$B695)&amp;"天","已等"&amp;(设置!$B$6-$B695)&amp;"天"))))</f>
        <v/>
      </c>
      <c r="O695" s="18" t="str">
        <f aca="false">IF(OR($D695="",$E695=""),"",COUNTIFS($D$7:$D695,$D695,$E$7:$E695,$E695))</f>
        <v/>
      </c>
      <c r="P695" s="16"/>
      <c r="Q695" s="19"/>
      <c r="R695" s="10"/>
      <c r="S695" s="16"/>
      <c r="T695" s="0" t="str">
        <f aca="false">IF(OR($D695="",单元查询!$B$3=""),"",IF($D695&lt;&gt;单元查询!$B$3,"",IF(OR(单元查询!$D$3="",$E695&amp;""=单元查询!$D$3&amp;""),IF(ISNUMBER($B695),$B695*10000,0)+ROW(),"")))</f>
        <v/>
      </c>
      <c r="U695" s="0" t="str">
        <f aca="false">IF(OR($B695="",$L695="已完成"),"",IF(ISNUMBER($B695),IF(设置!$B$6&lt;$B695,"",(设置!$B$6-$B695)*100000+ROW()),""))</f>
        <v/>
      </c>
      <c r="V695" s="0" t="str">
        <f aca="false">IF(ISNUMBER($O695),IF($O695&gt;=2,IF(COUNTIFS($D695:$D$2006,$D695,$E695:$E$2006,$E695)=1,ROW(),""),""),"")</f>
        <v/>
      </c>
    </row>
    <row r="696" customFormat="false" ht="15" hidden="false" customHeight="true" outlineLevel="0" collapsed="false">
      <c r="A696" s="13" t="str">
        <f aca="false">IF(AND($B696="",$D696="",$E696="",$F696=""),"",IF(OR($B696="",$D696="",$E696=""),"待补",IF($D696="公共区域","公",IF($D696="商铺","S",SUBSTITUTE($D696,"栋","")))&amp;"-"&amp;$E696&amp;"-"&amp;TEXT(MONTH($B696),"00")&amp;TEXT(DAY($B696),"00")&amp;IF(ISNUMBER($O696),IF($O696&gt;1,"-"&amp;TEXT($O696,"00"),""),"")))</f>
        <v/>
      </c>
      <c r="B696" s="14"/>
      <c r="C696" s="10"/>
      <c r="D696" s="10"/>
      <c r="E696" s="10"/>
      <c r="F696" s="16"/>
      <c r="G696" s="10"/>
      <c r="H696" s="10"/>
      <c r="I696" s="10"/>
      <c r="J696" s="10"/>
      <c r="K696" s="10"/>
      <c r="L696" s="10"/>
      <c r="M696" s="14"/>
      <c r="N696" s="17" t="str">
        <f aca="false">IF($B696="","",IF($L696="已完成",IF($M696="","",$M696-$B696),IF(设置!$B$6&lt;$B696,"",IF((设置!$B$6-$B696)&gt;=设置!$B$5,"超期"&amp;(设置!$B$6-$B696)&amp;"天","已等"&amp;(设置!$B$6-$B696)&amp;"天"))))</f>
        <v/>
      </c>
      <c r="O696" s="18" t="str">
        <f aca="false">IF(OR($D696="",$E696=""),"",COUNTIFS($D$7:$D696,$D696,$E$7:$E696,$E696))</f>
        <v/>
      </c>
      <c r="P696" s="16"/>
      <c r="Q696" s="19"/>
      <c r="R696" s="10"/>
      <c r="S696" s="16"/>
      <c r="T696" s="0" t="str">
        <f aca="false">IF(OR($D696="",单元查询!$B$3=""),"",IF($D696&lt;&gt;单元查询!$B$3,"",IF(OR(单元查询!$D$3="",$E696&amp;""=单元查询!$D$3&amp;""),IF(ISNUMBER($B696),$B696*10000,0)+ROW(),"")))</f>
        <v/>
      </c>
      <c r="U696" s="0" t="str">
        <f aca="false">IF(OR($B696="",$L696="已完成"),"",IF(ISNUMBER($B696),IF(设置!$B$6&lt;$B696,"",(设置!$B$6-$B696)*100000+ROW()),""))</f>
        <v/>
      </c>
      <c r="V696" s="0" t="str">
        <f aca="false">IF(ISNUMBER($O696),IF($O696&gt;=2,IF(COUNTIFS($D696:$D$2006,$D696,$E696:$E$2006,$E696)=1,ROW(),""),""),"")</f>
        <v/>
      </c>
    </row>
    <row r="697" customFormat="false" ht="15" hidden="false" customHeight="true" outlineLevel="0" collapsed="false">
      <c r="A697" s="13" t="str">
        <f aca="false">IF(AND($B697="",$D697="",$E697="",$F697=""),"",IF(OR($B697="",$D697="",$E697=""),"待补",IF($D697="公共区域","公",IF($D697="商铺","S",SUBSTITUTE($D697,"栋","")))&amp;"-"&amp;$E697&amp;"-"&amp;TEXT(MONTH($B697),"00")&amp;TEXT(DAY($B697),"00")&amp;IF(ISNUMBER($O697),IF($O697&gt;1,"-"&amp;TEXT($O697,"00"),""),"")))</f>
        <v/>
      </c>
      <c r="B697" s="14"/>
      <c r="C697" s="10"/>
      <c r="D697" s="10"/>
      <c r="E697" s="10"/>
      <c r="F697" s="16"/>
      <c r="G697" s="10"/>
      <c r="H697" s="10"/>
      <c r="I697" s="10"/>
      <c r="J697" s="10"/>
      <c r="K697" s="10"/>
      <c r="L697" s="10"/>
      <c r="M697" s="14"/>
      <c r="N697" s="17" t="str">
        <f aca="false">IF($B697="","",IF($L697="已完成",IF($M697="","",$M697-$B697),IF(设置!$B$6&lt;$B697,"",IF((设置!$B$6-$B697)&gt;=设置!$B$5,"超期"&amp;(设置!$B$6-$B697)&amp;"天","已等"&amp;(设置!$B$6-$B697)&amp;"天"))))</f>
        <v/>
      </c>
      <c r="O697" s="18" t="str">
        <f aca="false">IF(OR($D697="",$E697=""),"",COUNTIFS($D$7:$D697,$D697,$E$7:$E697,$E697))</f>
        <v/>
      </c>
      <c r="P697" s="16"/>
      <c r="Q697" s="19"/>
      <c r="R697" s="10"/>
      <c r="S697" s="16"/>
      <c r="T697" s="0" t="str">
        <f aca="false">IF(OR($D697="",单元查询!$B$3=""),"",IF($D697&lt;&gt;单元查询!$B$3,"",IF(OR(单元查询!$D$3="",$E697&amp;""=单元查询!$D$3&amp;""),IF(ISNUMBER($B697),$B697*10000,0)+ROW(),"")))</f>
        <v/>
      </c>
      <c r="U697" s="0" t="str">
        <f aca="false">IF(OR($B697="",$L697="已完成"),"",IF(ISNUMBER($B697),IF(设置!$B$6&lt;$B697,"",(设置!$B$6-$B697)*100000+ROW()),""))</f>
        <v/>
      </c>
      <c r="V697" s="0" t="str">
        <f aca="false">IF(ISNUMBER($O697),IF($O697&gt;=2,IF(COUNTIFS($D697:$D$2006,$D697,$E697:$E$2006,$E697)=1,ROW(),""),""),"")</f>
        <v/>
      </c>
    </row>
    <row r="698" customFormat="false" ht="15" hidden="false" customHeight="true" outlineLevel="0" collapsed="false">
      <c r="A698" s="13" t="str">
        <f aca="false">IF(AND($B698="",$D698="",$E698="",$F698=""),"",IF(OR($B698="",$D698="",$E698=""),"待补",IF($D698="公共区域","公",IF($D698="商铺","S",SUBSTITUTE($D698,"栋","")))&amp;"-"&amp;$E698&amp;"-"&amp;TEXT(MONTH($B698),"00")&amp;TEXT(DAY($B698),"00")&amp;IF(ISNUMBER($O698),IF($O698&gt;1,"-"&amp;TEXT($O698,"00"),""),"")))</f>
        <v/>
      </c>
      <c r="B698" s="14"/>
      <c r="C698" s="10"/>
      <c r="D698" s="10"/>
      <c r="E698" s="10"/>
      <c r="F698" s="16"/>
      <c r="G698" s="10"/>
      <c r="H698" s="10"/>
      <c r="I698" s="10"/>
      <c r="J698" s="10"/>
      <c r="K698" s="10"/>
      <c r="L698" s="10"/>
      <c r="M698" s="14"/>
      <c r="N698" s="17" t="str">
        <f aca="false">IF($B698="","",IF($L698="已完成",IF($M698="","",$M698-$B698),IF(设置!$B$6&lt;$B698,"",IF((设置!$B$6-$B698)&gt;=设置!$B$5,"超期"&amp;(设置!$B$6-$B698)&amp;"天","已等"&amp;(设置!$B$6-$B698)&amp;"天"))))</f>
        <v/>
      </c>
      <c r="O698" s="18" t="str">
        <f aca="false">IF(OR($D698="",$E698=""),"",COUNTIFS($D$7:$D698,$D698,$E$7:$E698,$E698))</f>
        <v/>
      </c>
      <c r="P698" s="16"/>
      <c r="Q698" s="19"/>
      <c r="R698" s="10"/>
      <c r="S698" s="16"/>
      <c r="T698" s="0" t="str">
        <f aca="false">IF(OR($D698="",单元查询!$B$3=""),"",IF($D698&lt;&gt;单元查询!$B$3,"",IF(OR(单元查询!$D$3="",$E698&amp;""=单元查询!$D$3&amp;""),IF(ISNUMBER($B698),$B698*10000,0)+ROW(),"")))</f>
        <v/>
      </c>
      <c r="U698" s="0" t="str">
        <f aca="false">IF(OR($B698="",$L698="已完成"),"",IF(ISNUMBER($B698),IF(设置!$B$6&lt;$B698,"",(设置!$B$6-$B698)*100000+ROW()),""))</f>
        <v/>
      </c>
      <c r="V698" s="0" t="str">
        <f aca="false">IF(ISNUMBER($O698),IF($O698&gt;=2,IF(COUNTIFS($D698:$D$2006,$D698,$E698:$E$2006,$E698)=1,ROW(),""),""),"")</f>
        <v/>
      </c>
    </row>
    <row r="699" customFormat="false" ht="15" hidden="false" customHeight="true" outlineLevel="0" collapsed="false">
      <c r="A699" s="13" t="str">
        <f aca="false">IF(AND($B699="",$D699="",$E699="",$F699=""),"",IF(OR($B699="",$D699="",$E699=""),"待补",IF($D699="公共区域","公",IF($D699="商铺","S",SUBSTITUTE($D699,"栋","")))&amp;"-"&amp;$E699&amp;"-"&amp;TEXT(MONTH($B699),"00")&amp;TEXT(DAY($B699),"00")&amp;IF(ISNUMBER($O699),IF($O699&gt;1,"-"&amp;TEXT($O699,"00"),""),"")))</f>
        <v/>
      </c>
      <c r="B699" s="14"/>
      <c r="C699" s="10"/>
      <c r="D699" s="10"/>
      <c r="E699" s="10"/>
      <c r="F699" s="16"/>
      <c r="G699" s="10"/>
      <c r="H699" s="10"/>
      <c r="I699" s="10"/>
      <c r="J699" s="10"/>
      <c r="K699" s="10"/>
      <c r="L699" s="10"/>
      <c r="M699" s="14"/>
      <c r="N699" s="17" t="str">
        <f aca="false">IF($B699="","",IF($L699="已完成",IF($M699="","",$M699-$B699),IF(设置!$B$6&lt;$B699,"",IF((设置!$B$6-$B699)&gt;=设置!$B$5,"超期"&amp;(设置!$B$6-$B699)&amp;"天","已等"&amp;(设置!$B$6-$B699)&amp;"天"))))</f>
        <v/>
      </c>
      <c r="O699" s="18" t="str">
        <f aca="false">IF(OR($D699="",$E699=""),"",COUNTIFS($D$7:$D699,$D699,$E$7:$E699,$E699))</f>
        <v/>
      </c>
      <c r="P699" s="16"/>
      <c r="Q699" s="19"/>
      <c r="R699" s="10"/>
      <c r="S699" s="16"/>
      <c r="T699" s="0" t="str">
        <f aca="false">IF(OR($D699="",单元查询!$B$3=""),"",IF($D699&lt;&gt;单元查询!$B$3,"",IF(OR(单元查询!$D$3="",$E699&amp;""=单元查询!$D$3&amp;""),IF(ISNUMBER($B699),$B699*10000,0)+ROW(),"")))</f>
        <v/>
      </c>
      <c r="U699" s="0" t="str">
        <f aca="false">IF(OR($B699="",$L699="已完成"),"",IF(ISNUMBER($B699),IF(设置!$B$6&lt;$B699,"",(设置!$B$6-$B699)*100000+ROW()),""))</f>
        <v/>
      </c>
      <c r="V699" s="0" t="str">
        <f aca="false">IF(ISNUMBER($O699),IF($O699&gt;=2,IF(COUNTIFS($D699:$D$2006,$D699,$E699:$E$2006,$E699)=1,ROW(),""),""),"")</f>
        <v/>
      </c>
    </row>
    <row r="700" customFormat="false" ht="15" hidden="false" customHeight="true" outlineLevel="0" collapsed="false">
      <c r="A700" s="13" t="str">
        <f aca="false">IF(AND($B700="",$D700="",$E700="",$F700=""),"",IF(OR($B700="",$D700="",$E700=""),"待补",IF($D700="公共区域","公",IF($D700="商铺","S",SUBSTITUTE($D700,"栋","")))&amp;"-"&amp;$E700&amp;"-"&amp;TEXT(MONTH($B700),"00")&amp;TEXT(DAY($B700),"00")&amp;IF(ISNUMBER($O700),IF($O700&gt;1,"-"&amp;TEXT($O700,"00"),""),"")))</f>
        <v/>
      </c>
      <c r="B700" s="14"/>
      <c r="C700" s="10"/>
      <c r="D700" s="10"/>
      <c r="E700" s="10"/>
      <c r="F700" s="16"/>
      <c r="G700" s="10"/>
      <c r="H700" s="10"/>
      <c r="I700" s="10"/>
      <c r="J700" s="10"/>
      <c r="K700" s="10"/>
      <c r="L700" s="10"/>
      <c r="M700" s="14"/>
      <c r="N700" s="17" t="str">
        <f aca="false">IF($B700="","",IF($L700="已完成",IF($M700="","",$M700-$B700),IF(设置!$B$6&lt;$B700,"",IF((设置!$B$6-$B700)&gt;=设置!$B$5,"超期"&amp;(设置!$B$6-$B700)&amp;"天","已等"&amp;(设置!$B$6-$B700)&amp;"天"))))</f>
        <v/>
      </c>
      <c r="O700" s="18" t="str">
        <f aca="false">IF(OR($D700="",$E700=""),"",COUNTIFS($D$7:$D700,$D700,$E$7:$E700,$E700))</f>
        <v/>
      </c>
      <c r="P700" s="16"/>
      <c r="Q700" s="19"/>
      <c r="R700" s="10"/>
      <c r="S700" s="16"/>
      <c r="T700" s="0" t="str">
        <f aca="false">IF(OR($D700="",单元查询!$B$3=""),"",IF($D700&lt;&gt;单元查询!$B$3,"",IF(OR(单元查询!$D$3="",$E700&amp;""=单元查询!$D$3&amp;""),IF(ISNUMBER($B700),$B700*10000,0)+ROW(),"")))</f>
        <v/>
      </c>
      <c r="U700" s="0" t="str">
        <f aca="false">IF(OR($B700="",$L700="已完成"),"",IF(ISNUMBER($B700),IF(设置!$B$6&lt;$B700,"",(设置!$B$6-$B700)*100000+ROW()),""))</f>
        <v/>
      </c>
      <c r="V700" s="0" t="str">
        <f aca="false">IF(ISNUMBER($O700),IF($O700&gt;=2,IF(COUNTIFS($D700:$D$2006,$D700,$E700:$E$2006,$E700)=1,ROW(),""),""),"")</f>
        <v/>
      </c>
    </row>
    <row r="701" customFormat="false" ht="15" hidden="false" customHeight="true" outlineLevel="0" collapsed="false">
      <c r="A701" s="13" t="str">
        <f aca="false">IF(AND($B701="",$D701="",$E701="",$F701=""),"",IF(OR($B701="",$D701="",$E701=""),"待补",IF($D701="公共区域","公",IF($D701="商铺","S",SUBSTITUTE($D701,"栋","")))&amp;"-"&amp;$E701&amp;"-"&amp;TEXT(MONTH($B701),"00")&amp;TEXT(DAY($B701),"00")&amp;IF(ISNUMBER($O701),IF($O701&gt;1,"-"&amp;TEXT($O701,"00"),""),"")))</f>
        <v/>
      </c>
      <c r="B701" s="14"/>
      <c r="C701" s="10"/>
      <c r="D701" s="10"/>
      <c r="E701" s="10"/>
      <c r="F701" s="16"/>
      <c r="G701" s="10"/>
      <c r="H701" s="10"/>
      <c r="I701" s="10"/>
      <c r="J701" s="10"/>
      <c r="K701" s="10"/>
      <c r="L701" s="10"/>
      <c r="M701" s="14"/>
      <c r="N701" s="17" t="str">
        <f aca="false">IF($B701="","",IF($L701="已完成",IF($M701="","",$M701-$B701),IF(设置!$B$6&lt;$B701,"",IF((设置!$B$6-$B701)&gt;=设置!$B$5,"超期"&amp;(设置!$B$6-$B701)&amp;"天","已等"&amp;(设置!$B$6-$B701)&amp;"天"))))</f>
        <v/>
      </c>
      <c r="O701" s="18" t="str">
        <f aca="false">IF(OR($D701="",$E701=""),"",COUNTIFS($D$7:$D701,$D701,$E$7:$E701,$E701))</f>
        <v/>
      </c>
      <c r="P701" s="16"/>
      <c r="Q701" s="19"/>
      <c r="R701" s="10"/>
      <c r="S701" s="16"/>
      <c r="T701" s="0" t="str">
        <f aca="false">IF(OR($D701="",单元查询!$B$3=""),"",IF($D701&lt;&gt;单元查询!$B$3,"",IF(OR(单元查询!$D$3="",$E701&amp;""=单元查询!$D$3&amp;""),IF(ISNUMBER($B701),$B701*10000,0)+ROW(),"")))</f>
        <v/>
      </c>
      <c r="U701" s="0" t="str">
        <f aca="false">IF(OR($B701="",$L701="已完成"),"",IF(ISNUMBER($B701),IF(设置!$B$6&lt;$B701,"",(设置!$B$6-$B701)*100000+ROW()),""))</f>
        <v/>
      </c>
      <c r="V701" s="0" t="str">
        <f aca="false">IF(ISNUMBER($O701),IF($O701&gt;=2,IF(COUNTIFS($D701:$D$2006,$D701,$E701:$E$2006,$E701)=1,ROW(),""),""),"")</f>
        <v/>
      </c>
    </row>
    <row r="702" customFormat="false" ht="15" hidden="false" customHeight="true" outlineLevel="0" collapsed="false">
      <c r="A702" s="13" t="str">
        <f aca="false">IF(AND($B702="",$D702="",$E702="",$F702=""),"",IF(OR($B702="",$D702="",$E702=""),"待补",IF($D702="公共区域","公",IF($D702="商铺","S",SUBSTITUTE($D702,"栋","")))&amp;"-"&amp;$E702&amp;"-"&amp;TEXT(MONTH($B702),"00")&amp;TEXT(DAY($B702),"00")&amp;IF(ISNUMBER($O702),IF($O702&gt;1,"-"&amp;TEXT($O702,"00"),""),"")))</f>
        <v/>
      </c>
      <c r="B702" s="14"/>
      <c r="C702" s="10"/>
      <c r="D702" s="10"/>
      <c r="E702" s="10"/>
      <c r="F702" s="16"/>
      <c r="G702" s="10"/>
      <c r="H702" s="10"/>
      <c r="I702" s="10"/>
      <c r="J702" s="10"/>
      <c r="K702" s="10"/>
      <c r="L702" s="10"/>
      <c r="M702" s="14"/>
      <c r="N702" s="17" t="str">
        <f aca="false">IF($B702="","",IF($L702="已完成",IF($M702="","",$M702-$B702),IF(设置!$B$6&lt;$B702,"",IF((设置!$B$6-$B702)&gt;=设置!$B$5,"超期"&amp;(设置!$B$6-$B702)&amp;"天","已等"&amp;(设置!$B$6-$B702)&amp;"天"))))</f>
        <v/>
      </c>
      <c r="O702" s="18" t="str">
        <f aca="false">IF(OR($D702="",$E702=""),"",COUNTIFS($D$7:$D702,$D702,$E$7:$E702,$E702))</f>
        <v/>
      </c>
      <c r="P702" s="16"/>
      <c r="Q702" s="19"/>
      <c r="R702" s="10"/>
      <c r="S702" s="16"/>
      <c r="T702" s="0" t="str">
        <f aca="false">IF(OR($D702="",单元查询!$B$3=""),"",IF($D702&lt;&gt;单元查询!$B$3,"",IF(OR(单元查询!$D$3="",$E702&amp;""=单元查询!$D$3&amp;""),IF(ISNUMBER($B702),$B702*10000,0)+ROW(),"")))</f>
        <v/>
      </c>
      <c r="U702" s="0" t="str">
        <f aca="false">IF(OR($B702="",$L702="已完成"),"",IF(ISNUMBER($B702),IF(设置!$B$6&lt;$B702,"",(设置!$B$6-$B702)*100000+ROW()),""))</f>
        <v/>
      </c>
      <c r="V702" s="0" t="str">
        <f aca="false">IF(ISNUMBER($O702),IF($O702&gt;=2,IF(COUNTIFS($D702:$D$2006,$D702,$E702:$E$2006,$E702)=1,ROW(),""),""),"")</f>
        <v/>
      </c>
    </row>
    <row r="703" customFormat="false" ht="15" hidden="false" customHeight="true" outlineLevel="0" collapsed="false">
      <c r="A703" s="13" t="str">
        <f aca="false">IF(AND($B703="",$D703="",$E703="",$F703=""),"",IF(OR($B703="",$D703="",$E703=""),"待补",IF($D703="公共区域","公",IF($D703="商铺","S",SUBSTITUTE($D703,"栋","")))&amp;"-"&amp;$E703&amp;"-"&amp;TEXT(MONTH($B703),"00")&amp;TEXT(DAY($B703),"00")&amp;IF(ISNUMBER($O703),IF($O703&gt;1,"-"&amp;TEXT($O703,"00"),""),"")))</f>
        <v/>
      </c>
      <c r="B703" s="14"/>
      <c r="C703" s="10"/>
      <c r="D703" s="10"/>
      <c r="E703" s="10"/>
      <c r="F703" s="16"/>
      <c r="G703" s="10"/>
      <c r="H703" s="10"/>
      <c r="I703" s="10"/>
      <c r="J703" s="10"/>
      <c r="K703" s="10"/>
      <c r="L703" s="10"/>
      <c r="M703" s="14"/>
      <c r="N703" s="17" t="str">
        <f aca="false">IF($B703="","",IF($L703="已完成",IF($M703="","",$M703-$B703),IF(设置!$B$6&lt;$B703,"",IF((设置!$B$6-$B703)&gt;=设置!$B$5,"超期"&amp;(设置!$B$6-$B703)&amp;"天","已等"&amp;(设置!$B$6-$B703)&amp;"天"))))</f>
        <v/>
      </c>
      <c r="O703" s="18" t="str">
        <f aca="false">IF(OR($D703="",$E703=""),"",COUNTIFS($D$7:$D703,$D703,$E$7:$E703,$E703))</f>
        <v/>
      </c>
      <c r="P703" s="16"/>
      <c r="Q703" s="19"/>
      <c r="R703" s="10"/>
      <c r="S703" s="16"/>
      <c r="T703" s="0" t="str">
        <f aca="false">IF(OR($D703="",单元查询!$B$3=""),"",IF($D703&lt;&gt;单元查询!$B$3,"",IF(OR(单元查询!$D$3="",$E703&amp;""=单元查询!$D$3&amp;""),IF(ISNUMBER($B703),$B703*10000,0)+ROW(),"")))</f>
        <v/>
      </c>
      <c r="U703" s="0" t="str">
        <f aca="false">IF(OR($B703="",$L703="已完成"),"",IF(ISNUMBER($B703),IF(设置!$B$6&lt;$B703,"",(设置!$B$6-$B703)*100000+ROW()),""))</f>
        <v/>
      </c>
      <c r="V703" s="0" t="str">
        <f aca="false">IF(ISNUMBER($O703),IF($O703&gt;=2,IF(COUNTIFS($D703:$D$2006,$D703,$E703:$E$2006,$E703)=1,ROW(),""),""),"")</f>
        <v/>
      </c>
    </row>
    <row r="704" customFormat="false" ht="15" hidden="false" customHeight="true" outlineLevel="0" collapsed="false">
      <c r="A704" s="13" t="str">
        <f aca="false">IF(AND($B704="",$D704="",$E704="",$F704=""),"",IF(OR($B704="",$D704="",$E704=""),"待补",IF($D704="公共区域","公",IF($D704="商铺","S",SUBSTITUTE($D704,"栋","")))&amp;"-"&amp;$E704&amp;"-"&amp;TEXT(MONTH($B704),"00")&amp;TEXT(DAY($B704),"00")&amp;IF(ISNUMBER($O704),IF($O704&gt;1,"-"&amp;TEXT($O704,"00"),""),"")))</f>
        <v/>
      </c>
      <c r="B704" s="14"/>
      <c r="C704" s="10"/>
      <c r="D704" s="10"/>
      <c r="E704" s="10"/>
      <c r="F704" s="16"/>
      <c r="G704" s="10"/>
      <c r="H704" s="10"/>
      <c r="I704" s="10"/>
      <c r="J704" s="10"/>
      <c r="K704" s="10"/>
      <c r="L704" s="10"/>
      <c r="M704" s="14"/>
      <c r="N704" s="17" t="str">
        <f aca="false">IF($B704="","",IF($L704="已完成",IF($M704="","",$M704-$B704),IF(设置!$B$6&lt;$B704,"",IF((设置!$B$6-$B704)&gt;=设置!$B$5,"超期"&amp;(设置!$B$6-$B704)&amp;"天","已等"&amp;(设置!$B$6-$B704)&amp;"天"))))</f>
        <v/>
      </c>
      <c r="O704" s="18" t="str">
        <f aca="false">IF(OR($D704="",$E704=""),"",COUNTIFS($D$7:$D704,$D704,$E$7:$E704,$E704))</f>
        <v/>
      </c>
      <c r="P704" s="16"/>
      <c r="Q704" s="19"/>
      <c r="R704" s="10"/>
      <c r="S704" s="16"/>
      <c r="T704" s="0" t="str">
        <f aca="false">IF(OR($D704="",单元查询!$B$3=""),"",IF($D704&lt;&gt;单元查询!$B$3,"",IF(OR(单元查询!$D$3="",$E704&amp;""=单元查询!$D$3&amp;""),IF(ISNUMBER($B704),$B704*10000,0)+ROW(),"")))</f>
        <v/>
      </c>
      <c r="U704" s="0" t="str">
        <f aca="false">IF(OR($B704="",$L704="已完成"),"",IF(ISNUMBER($B704),IF(设置!$B$6&lt;$B704,"",(设置!$B$6-$B704)*100000+ROW()),""))</f>
        <v/>
      </c>
      <c r="V704" s="0" t="str">
        <f aca="false">IF(ISNUMBER($O704),IF($O704&gt;=2,IF(COUNTIFS($D704:$D$2006,$D704,$E704:$E$2006,$E704)=1,ROW(),""),""),"")</f>
        <v/>
      </c>
    </row>
    <row r="705" customFormat="false" ht="15" hidden="false" customHeight="true" outlineLevel="0" collapsed="false">
      <c r="A705" s="13" t="str">
        <f aca="false">IF(AND($B705="",$D705="",$E705="",$F705=""),"",IF(OR($B705="",$D705="",$E705=""),"待补",IF($D705="公共区域","公",IF($D705="商铺","S",SUBSTITUTE($D705,"栋","")))&amp;"-"&amp;$E705&amp;"-"&amp;TEXT(MONTH($B705),"00")&amp;TEXT(DAY($B705),"00")&amp;IF(ISNUMBER($O705),IF($O705&gt;1,"-"&amp;TEXT($O705,"00"),""),"")))</f>
        <v/>
      </c>
      <c r="B705" s="14"/>
      <c r="C705" s="10"/>
      <c r="D705" s="10"/>
      <c r="E705" s="10"/>
      <c r="F705" s="16"/>
      <c r="G705" s="10"/>
      <c r="H705" s="10"/>
      <c r="I705" s="10"/>
      <c r="J705" s="10"/>
      <c r="K705" s="10"/>
      <c r="L705" s="10"/>
      <c r="M705" s="14"/>
      <c r="N705" s="17" t="str">
        <f aca="false">IF($B705="","",IF($L705="已完成",IF($M705="","",$M705-$B705),IF(设置!$B$6&lt;$B705,"",IF((设置!$B$6-$B705)&gt;=设置!$B$5,"超期"&amp;(设置!$B$6-$B705)&amp;"天","已等"&amp;(设置!$B$6-$B705)&amp;"天"))))</f>
        <v/>
      </c>
      <c r="O705" s="18" t="str">
        <f aca="false">IF(OR($D705="",$E705=""),"",COUNTIFS($D$7:$D705,$D705,$E$7:$E705,$E705))</f>
        <v/>
      </c>
      <c r="P705" s="16"/>
      <c r="Q705" s="19"/>
      <c r="R705" s="10"/>
      <c r="S705" s="16"/>
      <c r="T705" s="0" t="str">
        <f aca="false">IF(OR($D705="",单元查询!$B$3=""),"",IF($D705&lt;&gt;单元查询!$B$3,"",IF(OR(单元查询!$D$3="",$E705&amp;""=单元查询!$D$3&amp;""),IF(ISNUMBER($B705),$B705*10000,0)+ROW(),"")))</f>
        <v/>
      </c>
      <c r="U705" s="0" t="str">
        <f aca="false">IF(OR($B705="",$L705="已完成"),"",IF(ISNUMBER($B705),IF(设置!$B$6&lt;$B705,"",(设置!$B$6-$B705)*100000+ROW()),""))</f>
        <v/>
      </c>
      <c r="V705" s="0" t="str">
        <f aca="false">IF(ISNUMBER($O705),IF($O705&gt;=2,IF(COUNTIFS($D705:$D$2006,$D705,$E705:$E$2006,$E705)=1,ROW(),""),""),"")</f>
        <v/>
      </c>
    </row>
    <row r="706" customFormat="false" ht="15" hidden="false" customHeight="true" outlineLevel="0" collapsed="false">
      <c r="A706" s="13" t="str">
        <f aca="false">IF(AND($B706="",$D706="",$E706="",$F706=""),"",IF(OR($B706="",$D706="",$E706=""),"待补",IF($D706="公共区域","公",IF($D706="商铺","S",SUBSTITUTE($D706,"栋","")))&amp;"-"&amp;$E706&amp;"-"&amp;TEXT(MONTH($B706),"00")&amp;TEXT(DAY($B706),"00")&amp;IF(ISNUMBER($O706),IF($O706&gt;1,"-"&amp;TEXT($O706,"00"),""),"")))</f>
        <v/>
      </c>
      <c r="B706" s="14"/>
      <c r="C706" s="10"/>
      <c r="D706" s="10"/>
      <c r="E706" s="10"/>
      <c r="F706" s="16"/>
      <c r="G706" s="10"/>
      <c r="H706" s="10"/>
      <c r="I706" s="10"/>
      <c r="J706" s="10"/>
      <c r="K706" s="10"/>
      <c r="L706" s="10"/>
      <c r="M706" s="14"/>
      <c r="N706" s="17" t="str">
        <f aca="false">IF($B706="","",IF($L706="已完成",IF($M706="","",$M706-$B706),IF(设置!$B$6&lt;$B706,"",IF((设置!$B$6-$B706)&gt;=设置!$B$5,"超期"&amp;(设置!$B$6-$B706)&amp;"天","已等"&amp;(设置!$B$6-$B706)&amp;"天"))))</f>
        <v/>
      </c>
      <c r="O706" s="18" t="str">
        <f aca="false">IF(OR($D706="",$E706=""),"",COUNTIFS($D$7:$D706,$D706,$E$7:$E706,$E706))</f>
        <v/>
      </c>
      <c r="P706" s="16"/>
      <c r="Q706" s="19"/>
      <c r="R706" s="10"/>
      <c r="S706" s="16"/>
      <c r="T706" s="0" t="str">
        <f aca="false">IF(OR($D706="",单元查询!$B$3=""),"",IF($D706&lt;&gt;单元查询!$B$3,"",IF(OR(单元查询!$D$3="",$E706&amp;""=单元查询!$D$3&amp;""),IF(ISNUMBER($B706),$B706*10000,0)+ROW(),"")))</f>
        <v/>
      </c>
      <c r="U706" s="0" t="str">
        <f aca="false">IF(OR($B706="",$L706="已完成"),"",IF(ISNUMBER($B706),IF(设置!$B$6&lt;$B706,"",(设置!$B$6-$B706)*100000+ROW()),""))</f>
        <v/>
      </c>
      <c r="V706" s="0" t="str">
        <f aca="false">IF(ISNUMBER($O706),IF($O706&gt;=2,IF(COUNTIFS($D706:$D$2006,$D706,$E706:$E$2006,$E706)=1,ROW(),""),""),"")</f>
        <v/>
      </c>
    </row>
    <row r="707" customFormat="false" ht="15" hidden="false" customHeight="true" outlineLevel="0" collapsed="false">
      <c r="A707" s="13" t="str">
        <f aca="false">IF(AND($B707="",$D707="",$E707="",$F707=""),"",IF(OR($B707="",$D707="",$E707=""),"待补",IF($D707="公共区域","公",IF($D707="商铺","S",SUBSTITUTE($D707,"栋","")))&amp;"-"&amp;$E707&amp;"-"&amp;TEXT(MONTH($B707),"00")&amp;TEXT(DAY($B707),"00")&amp;IF(ISNUMBER($O707),IF($O707&gt;1,"-"&amp;TEXT($O707,"00"),""),"")))</f>
        <v/>
      </c>
      <c r="B707" s="14"/>
      <c r="C707" s="10"/>
      <c r="D707" s="10"/>
      <c r="E707" s="10"/>
      <c r="F707" s="16"/>
      <c r="G707" s="10"/>
      <c r="H707" s="10"/>
      <c r="I707" s="10"/>
      <c r="J707" s="10"/>
      <c r="K707" s="10"/>
      <c r="L707" s="10"/>
      <c r="M707" s="14"/>
      <c r="N707" s="17" t="str">
        <f aca="false">IF($B707="","",IF($L707="已完成",IF($M707="","",$M707-$B707),IF(设置!$B$6&lt;$B707,"",IF((设置!$B$6-$B707)&gt;=设置!$B$5,"超期"&amp;(设置!$B$6-$B707)&amp;"天","已等"&amp;(设置!$B$6-$B707)&amp;"天"))))</f>
        <v/>
      </c>
      <c r="O707" s="18" t="str">
        <f aca="false">IF(OR($D707="",$E707=""),"",COUNTIFS($D$7:$D707,$D707,$E$7:$E707,$E707))</f>
        <v/>
      </c>
      <c r="P707" s="16"/>
      <c r="Q707" s="19"/>
      <c r="R707" s="10"/>
      <c r="S707" s="16"/>
      <c r="T707" s="0" t="str">
        <f aca="false">IF(OR($D707="",单元查询!$B$3=""),"",IF($D707&lt;&gt;单元查询!$B$3,"",IF(OR(单元查询!$D$3="",$E707&amp;""=单元查询!$D$3&amp;""),IF(ISNUMBER($B707),$B707*10000,0)+ROW(),"")))</f>
        <v/>
      </c>
      <c r="U707" s="0" t="str">
        <f aca="false">IF(OR($B707="",$L707="已完成"),"",IF(ISNUMBER($B707),IF(设置!$B$6&lt;$B707,"",(设置!$B$6-$B707)*100000+ROW()),""))</f>
        <v/>
      </c>
      <c r="V707" s="0" t="str">
        <f aca="false">IF(ISNUMBER($O707),IF($O707&gt;=2,IF(COUNTIFS($D707:$D$2006,$D707,$E707:$E$2006,$E707)=1,ROW(),""),""),"")</f>
        <v/>
      </c>
    </row>
    <row r="708" customFormat="false" ht="15" hidden="false" customHeight="true" outlineLevel="0" collapsed="false">
      <c r="A708" s="13" t="str">
        <f aca="false">IF(AND($B708="",$D708="",$E708="",$F708=""),"",IF(OR($B708="",$D708="",$E708=""),"待补",IF($D708="公共区域","公",IF($D708="商铺","S",SUBSTITUTE($D708,"栋","")))&amp;"-"&amp;$E708&amp;"-"&amp;TEXT(MONTH($B708),"00")&amp;TEXT(DAY($B708),"00")&amp;IF(ISNUMBER($O708),IF($O708&gt;1,"-"&amp;TEXT($O708,"00"),""),"")))</f>
        <v/>
      </c>
      <c r="B708" s="14"/>
      <c r="C708" s="10"/>
      <c r="D708" s="10"/>
      <c r="E708" s="10"/>
      <c r="F708" s="16"/>
      <c r="G708" s="10"/>
      <c r="H708" s="10"/>
      <c r="I708" s="10"/>
      <c r="J708" s="10"/>
      <c r="K708" s="10"/>
      <c r="L708" s="10"/>
      <c r="M708" s="14"/>
      <c r="N708" s="17" t="str">
        <f aca="false">IF($B708="","",IF($L708="已完成",IF($M708="","",$M708-$B708),IF(设置!$B$6&lt;$B708,"",IF((设置!$B$6-$B708)&gt;=设置!$B$5,"超期"&amp;(设置!$B$6-$B708)&amp;"天","已等"&amp;(设置!$B$6-$B708)&amp;"天"))))</f>
        <v/>
      </c>
      <c r="O708" s="18" t="str">
        <f aca="false">IF(OR($D708="",$E708=""),"",COUNTIFS($D$7:$D708,$D708,$E$7:$E708,$E708))</f>
        <v/>
      </c>
      <c r="P708" s="16"/>
      <c r="Q708" s="19"/>
      <c r="R708" s="10"/>
      <c r="S708" s="16"/>
      <c r="T708" s="0" t="str">
        <f aca="false">IF(OR($D708="",单元查询!$B$3=""),"",IF($D708&lt;&gt;单元查询!$B$3,"",IF(OR(单元查询!$D$3="",$E708&amp;""=单元查询!$D$3&amp;""),IF(ISNUMBER($B708),$B708*10000,0)+ROW(),"")))</f>
        <v/>
      </c>
      <c r="U708" s="0" t="str">
        <f aca="false">IF(OR($B708="",$L708="已完成"),"",IF(ISNUMBER($B708),IF(设置!$B$6&lt;$B708,"",(设置!$B$6-$B708)*100000+ROW()),""))</f>
        <v/>
      </c>
      <c r="V708" s="0" t="str">
        <f aca="false">IF(ISNUMBER($O708),IF($O708&gt;=2,IF(COUNTIFS($D708:$D$2006,$D708,$E708:$E$2006,$E708)=1,ROW(),""),""),"")</f>
        <v/>
      </c>
    </row>
    <row r="709" customFormat="false" ht="15" hidden="false" customHeight="true" outlineLevel="0" collapsed="false">
      <c r="A709" s="13" t="str">
        <f aca="false">IF(AND($B709="",$D709="",$E709="",$F709=""),"",IF(OR($B709="",$D709="",$E709=""),"待补",IF($D709="公共区域","公",IF($D709="商铺","S",SUBSTITUTE($D709,"栋","")))&amp;"-"&amp;$E709&amp;"-"&amp;TEXT(MONTH($B709),"00")&amp;TEXT(DAY($B709),"00")&amp;IF(ISNUMBER($O709),IF($O709&gt;1,"-"&amp;TEXT($O709,"00"),""),"")))</f>
        <v/>
      </c>
      <c r="B709" s="14"/>
      <c r="C709" s="10"/>
      <c r="D709" s="10"/>
      <c r="E709" s="10"/>
      <c r="F709" s="16"/>
      <c r="G709" s="10"/>
      <c r="H709" s="10"/>
      <c r="I709" s="10"/>
      <c r="J709" s="10"/>
      <c r="K709" s="10"/>
      <c r="L709" s="10"/>
      <c r="M709" s="14"/>
      <c r="N709" s="17" t="str">
        <f aca="false">IF($B709="","",IF($L709="已完成",IF($M709="","",$M709-$B709),IF(设置!$B$6&lt;$B709,"",IF((设置!$B$6-$B709)&gt;=设置!$B$5,"超期"&amp;(设置!$B$6-$B709)&amp;"天","已等"&amp;(设置!$B$6-$B709)&amp;"天"))))</f>
        <v/>
      </c>
      <c r="O709" s="18" t="str">
        <f aca="false">IF(OR($D709="",$E709=""),"",COUNTIFS($D$7:$D709,$D709,$E$7:$E709,$E709))</f>
        <v/>
      </c>
      <c r="P709" s="16"/>
      <c r="Q709" s="19"/>
      <c r="R709" s="10"/>
      <c r="S709" s="16"/>
      <c r="T709" s="0" t="str">
        <f aca="false">IF(OR($D709="",单元查询!$B$3=""),"",IF($D709&lt;&gt;单元查询!$B$3,"",IF(OR(单元查询!$D$3="",$E709&amp;""=单元查询!$D$3&amp;""),IF(ISNUMBER($B709),$B709*10000,0)+ROW(),"")))</f>
        <v/>
      </c>
      <c r="U709" s="0" t="str">
        <f aca="false">IF(OR($B709="",$L709="已完成"),"",IF(ISNUMBER($B709),IF(设置!$B$6&lt;$B709,"",(设置!$B$6-$B709)*100000+ROW()),""))</f>
        <v/>
      </c>
      <c r="V709" s="0" t="str">
        <f aca="false">IF(ISNUMBER($O709),IF($O709&gt;=2,IF(COUNTIFS($D709:$D$2006,$D709,$E709:$E$2006,$E709)=1,ROW(),""),""),"")</f>
        <v/>
      </c>
    </row>
    <row r="710" customFormat="false" ht="15" hidden="false" customHeight="true" outlineLevel="0" collapsed="false">
      <c r="A710" s="13" t="str">
        <f aca="false">IF(AND($B710="",$D710="",$E710="",$F710=""),"",IF(OR($B710="",$D710="",$E710=""),"待补",IF($D710="公共区域","公",IF($D710="商铺","S",SUBSTITUTE($D710,"栋","")))&amp;"-"&amp;$E710&amp;"-"&amp;TEXT(MONTH($B710),"00")&amp;TEXT(DAY($B710),"00")&amp;IF(ISNUMBER($O710),IF($O710&gt;1,"-"&amp;TEXT($O710,"00"),""),"")))</f>
        <v/>
      </c>
      <c r="B710" s="14"/>
      <c r="C710" s="10"/>
      <c r="D710" s="10"/>
      <c r="E710" s="10"/>
      <c r="F710" s="16"/>
      <c r="G710" s="10"/>
      <c r="H710" s="10"/>
      <c r="I710" s="10"/>
      <c r="J710" s="10"/>
      <c r="K710" s="10"/>
      <c r="L710" s="10"/>
      <c r="M710" s="14"/>
      <c r="N710" s="17" t="str">
        <f aca="false">IF($B710="","",IF($L710="已完成",IF($M710="","",$M710-$B710),IF(设置!$B$6&lt;$B710,"",IF((设置!$B$6-$B710)&gt;=设置!$B$5,"超期"&amp;(设置!$B$6-$B710)&amp;"天","已等"&amp;(设置!$B$6-$B710)&amp;"天"))))</f>
        <v/>
      </c>
      <c r="O710" s="18" t="str">
        <f aca="false">IF(OR($D710="",$E710=""),"",COUNTIFS($D$7:$D710,$D710,$E$7:$E710,$E710))</f>
        <v/>
      </c>
      <c r="P710" s="16"/>
      <c r="Q710" s="19"/>
      <c r="R710" s="10"/>
      <c r="S710" s="16"/>
      <c r="T710" s="0" t="str">
        <f aca="false">IF(OR($D710="",单元查询!$B$3=""),"",IF($D710&lt;&gt;单元查询!$B$3,"",IF(OR(单元查询!$D$3="",$E710&amp;""=单元查询!$D$3&amp;""),IF(ISNUMBER($B710),$B710*10000,0)+ROW(),"")))</f>
        <v/>
      </c>
      <c r="U710" s="0" t="str">
        <f aca="false">IF(OR($B710="",$L710="已完成"),"",IF(ISNUMBER($B710),IF(设置!$B$6&lt;$B710,"",(设置!$B$6-$B710)*100000+ROW()),""))</f>
        <v/>
      </c>
      <c r="V710" s="0" t="str">
        <f aca="false">IF(ISNUMBER($O710),IF($O710&gt;=2,IF(COUNTIFS($D710:$D$2006,$D710,$E710:$E$2006,$E710)=1,ROW(),""),""),"")</f>
        <v/>
      </c>
    </row>
    <row r="711" customFormat="false" ht="15" hidden="false" customHeight="true" outlineLevel="0" collapsed="false">
      <c r="A711" s="13" t="str">
        <f aca="false">IF(AND($B711="",$D711="",$E711="",$F711=""),"",IF(OR($B711="",$D711="",$E711=""),"待补",IF($D711="公共区域","公",IF($D711="商铺","S",SUBSTITUTE($D711,"栋","")))&amp;"-"&amp;$E711&amp;"-"&amp;TEXT(MONTH($B711),"00")&amp;TEXT(DAY($B711),"00")&amp;IF(ISNUMBER($O711),IF($O711&gt;1,"-"&amp;TEXT($O711,"00"),""),"")))</f>
        <v/>
      </c>
      <c r="B711" s="14"/>
      <c r="C711" s="10"/>
      <c r="D711" s="10"/>
      <c r="E711" s="10"/>
      <c r="F711" s="16"/>
      <c r="G711" s="10"/>
      <c r="H711" s="10"/>
      <c r="I711" s="10"/>
      <c r="J711" s="10"/>
      <c r="K711" s="10"/>
      <c r="L711" s="10"/>
      <c r="M711" s="14"/>
      <c r="N711" s="17" t="str">
        <f aca="false">IF($B711="","",IF($L711="已完成",IF($M711="","",$M711-$B711),IF(设置!$B$6&lt;$B711,"",IF((设置!$B$6-$B711)&gt;=设置!$B$5,"超期"&amp;(设置!$B$6-$B711)&amp;"天","已等"&amp;(设置!$B$6-$B711)&amp;"天"))))</f>
        <v/>
      </c>
      <c r="O711" s="18" t="str">
        <f aca="false">IF(OR($D711="",$E711=""),"",COUNTIFS($D$7:$D711,$D711,$E$7:$E711,$E711))</f>
        <v/>
      </c>
      <c r="P711" s="16"/>
      <c r="Q711" s="19"/>
      <c r="R711" s="10"/>
      <c r="S711" s="16"/>
      <c r="T711" s="0" t="str">
        <f aca="false">IF(OR($D711="",单元查询!$B$3=""),"",IF($D711&lt;&gt;单元查询!$B$3,"",IF(OR(单元查询!$D$3="",$E711&amp;""=单元查询!$D$3&amp;""),IF(ISNUMBER($B711),$B711*10000,0)+ROW(),"")))</f>
        <v/>
      </c>
      <c r="U711" s="0" t="str">
        <f aca="false">IF(OR($B711="",$L711="已完成"),"",IF(ISNUMBER($B711),IF(设置!$B$6&lt;$B711,"",(设置!$B$6-$B711)*100000+ROW()),""))</f>
        <v/>
      </c>
      <c r="V711" s="0" t="str">
        <f aca="false">IF(ISNUMBER($O711),IF($O711&gt;=2,IF(COUNTIFS($D711:$D$2006,$D711,$E711:$E$2006,$E711)=1,ROW(),""),""),"")</f>
        <v/>
      </c>
    </row>
    <row r="712" customFormat="false" ht="15" hidden="false" customHeight="true" outlineLevel="0" collapsed="false">
      <c r="A712" s="13" t="str">
        <f aca="false">IF(AND($B712="",$D712="",$E712="",$F712=""),"",IF(OR($B712="",$D712="",$E712=""),"待补",IF($D712="公共区域","公",IF($D712="商铺","S",SUBSTITUTE($D712,"栋","")))&amp;"-"&amp;$E712&amp;"-"&amp;TEXT(MONTH($B712),"00")&amp;TEXT(DAY($B712),"00")&amp;IF(ISNUMBER($O712),IF($O712&gt;1,"-"&amp;TEXT($O712,"00"),""),"")))</f>
        <v/>
      </c>
      <c r="B712" s="14"/>
      <c r="C712" s="10"/>
      <c r="D712" s="10"/>
      <c r="E712" s="10"/>
      <c r="F712" s="16"/>
      <c r="G712" s="10"/>
      <c r="H712" s="10"/>
      <c r="I712" s="10"/>
      <c r="J712" s="10"/>
      <c r="K712" s="10"/>
      <c r="L712" s="10"/>
      <c r="M712" s="14"/>
      <c r="N712" s="17" t="str">
        <f aca="false">IF($B712="","",IF($L712="已完成",IF($M712="","",$M712-$B712),IF(设置!$B$6&lt;$B712,"",IF((设置!$B$6-$B712)&gt;=设置!$B$5,"超期"&amp;(设置!$B$6-$B712)&amp;"天","已等"&amp;(设置!$B$6-$B712)&amp;"天"))))</f>
        <v/>
      </c>
      <c r="O712" s="18" t="str">
        <f aca="false">IF(OR($D712="",$E712=""),"",COUNTIFS($D$7:$D712,$D712,$E$7:$E712,$E712))</f>
        <v/>
      </c>
      <c r="P712" s="16"/>
      <c r="Q712" s="19"/>
      <c r="R712" s="10"/>
      <c r="S712" s="16"/>
      <c r="T712" s="0" t="str">
        <f aca="false">IF(OR($D712="",单元查询!$B$3=""),"",IF($D712&lt;&gt;单元查询!$B$3,"",IF(OR(单元查询!$D$3="",$E712&amp;""=单元查询!$D$3&amp;""),IF(ISNUMBER($B712),$B712*10000,0)+ROW(),"")))</f>
        <v/>
      </c>
      <c r="U712" s="0" t="str">
        <f aca="false">IF(OR($B712="",$L712="已完成"),"",IF(ISNUMBER($B712),IF(设置!$B$6&lt;$B712,"",(设置!$B$6-$B712)*100000+ROW()),""))</f>
        <v/>
      </c>
      <c r="V712" s="0" t="str">
        <f aca="false">IF(ISNUMBER($O712),IF($O712&gt;=2,IF(COUNTIFS($D712:$D$2006,$D712,$E712:$E$2006,$E712)=1,ROW(),""),""),"")</f>
        <v/>
      </c>
    </row>
    <row r="713" customFormat="false" ht="15" hidden="false" customHeight="true" outlineLevel="0" collapsed="false">
      <c r="A713" s="13" t="str">
        <f aca="false">IF(AND($B713="",$D713="",$E713="",$F713=""),"",IF(OR($B713="",$D713="",$E713=""),"待补",IF($D713="公共区域","公",IF($D713="商铺","S",SUBSTITUTE($D713,"栋","")))&amp;"-"&amp;$E713&amp;"-"&amp;TEXT(MONTH($B713),"00")&amp;TEXT(DAY($B713),"00")&amp;IF(ISNUMBER($O713),IF($O713&gt;1,"-"&amp;TEXT($O713,"00"),""),"")))</f>
        <v/>
      </c>
      <c r="B713" s="14"/>
      <c r="C713" s="10"/>
      <c r="D713" s="10"/>
      <c r="E713" s="10"/>
      <c r="F713" s="16"/>
      <c r="G713" s="10"/>
      <c r="H713" s="10"/>
      <c r="I713" s="10"/>
      <c r="J713" s="10"/>
      <c r="K713" s="10"/>
      <c r="L713" s="10"/>
      <c r="M713" s="14"/>
      <c r="N713" s="17" t="str">
        <f aca="false">IF($B713="","",IF($L713="已完成",IF($M713="","",$M713-$B713),IF(设置!$B$6&lt;$B713,"",IF((设置!$B$6-$B713)&gt;=设置!$B$5,"超期"&amp;(设置!$B$6-$B713)&amp;"天","已等"&amp;(设置!$B$6-$B713)&amp;"天"))))</f>
        <v/>
      </c>
      <c r="O713" s="18" t="str">
        <f aca="false">IF(OR($D713="",$E713=""),"",COUNTIFS($D$7:$D713,$D713,$E$7:$E713,$E713))</f>
        <v/>
      </c>
      <c r="P713" s="16"/>
      <c r="Q713" s="19"/>
      <c r="R713" s="10"/>
      <c r="S713" s="16"/>
      <c r="T713" s="0" t="str">
        <f aca="false">IF(OR($D713="",单元查询!$B$3=""),"",IF($D713&lt;&gt;单元查询!$B$3,"",IF(OR(单元查询!$D$3="",$E713&amp;""=单元查询!$D$3&amp;""),IF(ISNUMBER($B713),$B713*10000,0)+ROW(),"")))</f>
        <v/>
      </c>
      <c r="U713" s="0" t="str">
        <f aca="false">IF(OR($B713="",$L713="已完成"),"",IF(ISNUMBER($B713),IF(设置!$B$6&lt;$B713,"",(设置!$B$6-$B713)*100000+ROW()),""))</f>
        <v/>
      </c>
      <c r="V713" s="0" t="str">
        <f aca="false">IF(ISNUMBER($O713),IF($O713&gt;=2,IF(COUNTIFS($D713:$D$2006,$D713,$E713:$E$2006,$E713)=1,ROW(),""),""),"")</f>
        <v/>
      </c>
    </row>
    <row r="714" customFormat="false" ht="15" hidden="false" customHeight="true" outlineLevel="0" collapsed="false">
      <c r="A714" s="13" t="str">
        <f aca="false">IF(AND($B714="",$D714="",$E714="",$F714=""),"",IF(OR($B714="",$D714="",$E714=""),"待补",IF($D714="公共区域","公",IF($D714="商铺","S",SUBSTITUTE($D714,"栋","")))&amp;"-"&amp;$E714&amp;"-"&amp;TEXT(MONTH($B714),"00")&amp;TEXT(DAY($B714),"00")&amp;IF(ISNUMBER($O714),IF($O714&gt;1,"-"&amp;TEXT($O714,"00"),""),"")))</f>
        <v/>
      </c>
      <c r="B714" s="14"/>
      <c r="C714" s="10"/>
      <c r="D714" s="10"/>
      <c r="E714" s="10"/>
      <c r="F714" s="16"/>
      <c r="G714" s="10"/>
      <c r="H714" s="10"/>
      <c r="I714" s="10"/>
      <c r="J714" s="10"/>
      <c r="K714" s="10"/>
      <c r="L714" s="10"/>
      <c r="M714" s="14"/>
      <c r="N714" s="17" t="str">
        <f aca="false">IF($B714="","",IF($L714="已完成",IF($M714="","",$M714-$B714),IF(设置!$B$6&lt;$B714,"",IF((设置!$B$6-$B714)&gt;=设置!$B$5,"超期"&amp;(设置!$B$6-$B714)&amp;"天","已等"&amp;(设置!$B$6-$B714)&amp;"天"))))</f>
        <v/>
      </c>
      <c r="O714" s="18" t="str">
        <f aca="false">IF(OR($D714="",$E714=""),"",COUNTIFS($D$7:$D714,$D714,$E$7:$E714,$E714))</f>
        <v/>
      </c>
      <c r="P714" s="16"/>
      <c r="Q714" s="19"/>
      <c r="R714" s="10"/>
      <c r="S714" s="16"/>
      <c r="T714" s="0" t="str">
        <f aca="false">IF(OR($D714="",单元查询!$B$3=""),"",IF($D714&lt;&gt;单元查询!$B$3,"",IF(OR(单元查询!$D$3="",$E714&amp;""=单元查询!$D$3&amp;""),IF(ISNUMBER($B714),$B714*10000,0)+ROW(),"")))</f>
        <v/>
      </c>
      <c r="U714" s="0" t="str">
        <f aca="false">IF(OR($B714="",$L714="已完成"),"",IF(ISNUMBER($B714),IF(设置!$B$6&lt;$B714,"",(设置!$B$6-$B714)*100000+ROW()),""))</f>
        <v/>
      </c>
      <c r="V714" s="0" t="str">
        <f aca="false">IF(ISNUMBER($O714),IF($O714&gt;=2,IF(COUNTIFS($D714:$D$2006,$D714,$E714:$E$2006,$E714)=1,ROW(),""),""),"")</f>
        <v/>
      </c>
    </row>
    <row r="715" customFormat="false" ht="15" hidden="false" customHeight="true" outlineLevel="0" collapsed="false">
      <c r="A715" s="13" t="str">
        <f aca="false">IF(AND($B715="",$D715="",$E715="",$F715=""),"",IF(OR($B715="",$D715="",$E715=""),"待补",IF($D715="公共区域","公",IF($D715="商铺","S",SUBSTITUTE($D715,"栋","")))&amp;"-"&amp;$E715&amp;"-"&amp;TEXT(MONTH($B715),"00")&amp;TEXT(DAY($B715),"00")&amp;IF(ISNUMBER($O715),IF($O715&gt;1,"-"&amp;TEXT($O715,"00"),""),"")))</f>
        <v/>
      </c>
      <c r="B715" s="14"/>
      <c r="C715" s="10"/>
      <c r="D715" s="10"/>
      <c r="E715" s="10"/>
      <c r="F715" s="16"/>
      <c r="G715" s="10"/>
      <c r="H715" s="10"/>
      <c r="I715" s="10"/>
      <c r="J715" s="10"/>
      <c r="K715" s="10"/>
      <c r="L715" s="10"/>
      <c r="M715" s="14"/>
      <c r="N715" s="17" t="str">
        <f aca="false">IF($B715="","",IF($L715="已完成",IF($M715="","",$M715-$B715),IF(设置!$B$6&lt;$B715,"",IF((设置!$B$6-$B715)&gt;=设置!$B$5,"超期"&amp;(设置!$B$6-$B715)&amp;"天","已等"&amp;(设置!$B$6-$B715)&amp;"天"))))</f>
        <v/>
      </c>
      <c r="O715" s="18" t="str">
        <f aca="false">IF(OR($D715="",$E715=""),"",COUNTIFS($D$7:$D715,$D715,$E$7:$E715,$E715))</f>
        <v/>
      </c>
      <c r="P715" s="16"/>
      <c r="Q715" s="19"/>
      <c r="R715" s="10"/>
      <c r="S715" s="16"/>
      <c r="T715" s="0" t="str">
        <f aca="false">IF(OR($D715="",单元查询!$B$3=""),"",IF($D715&lt;&gt;单元查询!$B$3,"",IF(OR(单元查询!$D$3="",$E715&amp;""=单元查询!$D$3&amp;""),IF(ISNUMBER($B715),$B715*10000,0)+ROW(),"")))</f>
        <v/>
      </c>
      <c r="U715" s="0" t="str">
        <f aca="false">IF(OR($B715="",$L715="已完成"),"",IF(ISNUMBER($B715),IF(设置!$B$6&lt;$B715,"",(设置!$B$6-$B715)*100000+ROW()),""))</f>
        <v/>
      </c>
      <c r="V715" s="0" t="str">
        <f aca="false">IF(ISNUMBER($O715),IF($O715&gt;=2,IF(COUNTIFS($D715:$D$2006,$D715,$E715:$E$2006,$E715)=1,ROW(),""),""),"")</f>
        <v/>
      </c>
    </row>
    <row r="716" customFormat="false" ht="15" hidden="false" customHeight="true" outlineLevel="0" collapsed="false">
      <c r="A716" s="13" t="str">
        <f aca="false">IF(AND($B716="",$D716="",$E716="",$F716=""),"",IF(OR($B716="",$D716="",$E716=""),"待补",IF($D716="公共区域","公",IF($D716="商铺","S",SUBSTITUTE($D716,"栋","")))&amp;"-"&amp;$E716&amp;"-"&amp;TEXT(MONTH($B716),"00")&amp;TEXT(DAY($B716),"00")&amp;IF(ISNUMBER($O716),IF($O716&gt;1,"-"&amp;TEXT($O716,"00"),""),"")))</f>
        <v/>
      </c>
      <c r="B716" s="14"/>
      <c r="C716" s="10"/>
      <c r="D716" s="10"/>
      <c r="E716" s="10"/>
      <c r="F716" s="16"/>
      <c r="G716" s="10"/>
      <c r="H716" s="10"/>
      <c r="I716" s="10"/>
      <c r="J716" s="10"/>
      <c r="K716" s="10"/>
      <c r="L716" s="10"/>
      <c r="M716" s="14"/>
      <c r="N716" s="17" t="str">
        <f aca="false">IF($B716="","",IF($L716="已完成",IF($M716="","",$M716-$B716),IF(设置!$B$6&lt;$B716,"",IF((设置!$B$6-$B716)&gt;=设置!$B$5,"超期"&amp;(设置!$B$6-$B716)&amp;"天","已等"&amp;(设置!$B$6-$B716)&amp;"天"))))</f>
        <v/>
      </c>
      <c r="O716" s="18" t="str">
        <f aca="false">IF(OR($D716="",$E716=""),"",COUNTIFS($D$7:$D716,$D716,$E$7:$E716,$E716))</f>
        <v/>
      </c>
      <c r="P716" s="16"/>
      <c r="Q716" s="19"/>
      <c r="R716" s="10"/>
      <c r="S716" s="16"/>
      <c r="T716" s="0" t="str">
        <f aca="false">IF(OR($D716="",单元查询!$B$3=""),"",IF($D716&lt;&gt;单元查询!$B$3,"",IF(OR(单元查询!$D$3="",$E716&amp;""=单元查询!$D$3&amp;""),IF(ISNUMBER($B716),$B716*10000,0)+ROW(),"")))</f>
        <v/>
      </c>
      <c r="U716" s="0" t="str">
        <f aca="false">IF(OR($B716="",$L716="已完成"),"",IF(ISNUMBER($B716),IF(设置!$B$6&lt;$B716,"",(设置!$B$6-$B716)*100000+ROW()),""))</f>
        <v/>
      </c>
      <c r="V716" s="0" t="str">
        <f aca="false">IF(ISNUMBER($O716),IF($O716&gt;=2,IF(COUNTIFS($D716:$D$2006,$D716,$E716:$E$2006,$E716)=1,ROW(),""),""),"")</f>
        <v/>
      </c>
    </row>
    <row r="717" customFormat="false" ht="15" hidden="false" customHeight="true" outlineLevel="0" collapsed="false">
      <c r="A717" s="13" t="str">
        <f aca="false">IF(AND($B717="",$D717="",$E717="",$F717=""),"",IF(OR($B717="",$D717="",$E717=""),"待补",IF($D717="公共区域","公",IF($D717="商铺","S",SUBSTITUTE($D717,"栋","")))&amp;"-"&amp;$E717&amp;"-"&amp;TEXT(MONTH($B717),"00")&amp;TEXT(DAY($B717),"00")&amp;IF(ISNUMBER($O717),IF($O717&gt;1,"-"&amp;TEXT($O717,"00"),""),"")))</f>
        <v/>
      </c>
      <c r="B717" s="14"/>
      <c r="C717" s="10"/>
      <c r="D717" s="10"/>
      <c r="E717" s="10"/>
      <c r="F717" s="16"/>
      <c r="G717" s="10"/>
      <c r="H717" s="10"/>
      <c r="I717" s="10"/>
      <c r="J717" s="10"/>
      <c r="K717" s="10"/>
      <c r="L717" s="10"/>
      <c r="M717" s="14"/>
      <c r="N717" s="17" t="str">
        <f aca="false">IF($B717="","",IF($L717="已完成",IF($M717="","",$M717-$B717),IF(设置!$B$6&lt;$B717,"",IF((设置!$B$6-$B717)&gt;=设置!$B$5,"超期"&amp;(设置!$B$6-$B717)&amp;"天","已等"&amp;(设置!$B$6-$B717)&amp;"天"))))</f>
        <v/>
      </c>
      <c r="O717" s="18" t="str">
        <f aca="false">IF(OR($D717="",$E717=""),"",COUNTIFS($D$7:$D717,$D717,$E$7:$E717,$E717))</f>
        <v/>
      </c>
      <c r="P717" s="16"/>
      <c r="Q717" s="19"/>
      <c r="R717" s="10"/>
      <c r="S717" s="16"/>
      <c r="T717" s="0" t="str">
        <f aca="false">IF(OR($D717="",单元查询!$B$3=""),"",IF($D717&lt;&gt;单元查询!$B$3,"",IF(OR(单元查询!$D$3="",$E717&amp;""=单元查询!$D$3&amp;""),IF(ISNUMBER($B717),$B717*10000,0)+ROW(),"")))</f>
        <v/>
      </c>
      <c r="U717" s="0" t="str">
        <f aca="false">IF(OR($B717="",$L717="已完成"),"",IF(ISNUMBER($B717),IF(设置!$B$6&lt;$B717,"",(设置!$B$6-$B717)*100000+ROW()),""))</f>
        <v/>
      </c>
      <c r="V717" s="0" t="str">
        <f aca="false">IF(ISNUMBER($O717),IF($O717&gt;=2,IF(COUNTIFS($D717:$D$2006,$D717,$E717:$E$2006,$E717)=1,ROW(),""),""),"")</f>
        <v/>
      </c>
    </row>
    <row r="718" customFormat="false" ht="15" hidden="false" customHeight="true" outlineLevel="0" collapsed="false">
      <c r="A718" s="13" t="str">
        <f aca="false">IF(AND($B718="",$D718="",$E718="",$F718=""),"",IF(OR($B718="",$D718="",$E718=""),"待补",IF($D718="公共区域","公",IF($D718="商铺","S",SUBSTITUTE($D718,"栋","")))&amp;"-"&amp;$E718&amp;"-"&amp;TEXT(MONTH($B718),"00")&amp;TEXT(DAY($B718),"00")&amp;IF(ISNUMBER($O718),IF($O718&gt;1,"-"&amp;TEXT($O718,"00"),""),"")))</f>
        <v/>
      </c>
      <c r="B718" s="14"/>
      <c r="C718" s="10"/>
      <c r="D718" s="10"/>
      <c r="E718" s="10"/>
      <c r="F718" s="16"/>
      <c r="G718" s="10"/>
      <c r="H718" s="10"/>
      <c r="I718" s="10"/>
      <c r="J718" s="10"/>
      <c r="K718" s="10"/>
      <c r="L718" s="10"/>
      <c r="M718" s="14"/>
      <c r="N718" s="17" t="str">
        <f aca="false">IF($B718="","",IF($L718="已完成",IF($M718="","",$M718-$B718),IF(设置!$B$6&lt;$B718,"",IF((设置!$B$6-$B718)&gt;=设置!$B$5,"超期"&amp;(设置!$B$6-$B718)&amp;"天","已等"&amp;(设置!$B$6-$B718)&amp;"天"))))</f>
        <v/>
      </c>
      <c r="O718" s="18" t="str">
        <f aca="false">IF(OR($D718="",$E718=""),"",COUNTIFS($D$7:$D718,$D718,$E$7:$E718,$E718))</f>
        <v/>
      </c>
      <c r="P718" s="16"/>
      <c r="Q718" s="19"/>
      <c r="R718" s="10"/>
      <c r="S718" s="16"/>
      <c r="T718" s="0" t="str">
        <f aca="false">IF(OR($D718="",单元查询!$B$3=""),"",IF($D718&lt;&gt;单元查询!$B$3,"",IF(OR(单元查询!$D$3="",$E718&amp;""=单元查询!$D$3&amp;""),IF(ISNUMBER($B718),$B718*10000,0)+ROW(),"")))</f>
        <v/>
      </c>
      <c r="U718" s="0" t="str">
        <f aca="false">IF(OR($B718="",$L718="已完成"),"",IF(ISNUMBER($B718),IF(设置!$B$6&lt;$B718,"",(设置!$B$6-$B718)*100000+ROW()),""))</f>
        <v/>
      </c>
      <c r="V718" s="0" t="str">
        <f aca="false">IF(ISNUMBER($O718),IF($O718&gt;=2,IF(COUNTIFS($D718:$D$2006,$D718,$E718:$E$2006,$E718)=1,ROW(),""),""),"")</f>
        <v/>
      </c>
    </row>
    <row r="719" customFormat="false" ht="15" hidden="false" customHeight="true" outlineLevel="0" collapsed="false">
      <c r="A719" s="13" t="str">
        <f aca="false">IF(AND($B719="",$D719="",$E719="",$F719=""),"",IF(OR($B719="",$D719="",$E719=""),"待补",IF($D719="公共区域","公",IF($D719="商铺","S",SUBSTITUTE($D719,"栋","")))&amp;"-"&amp;$E719&amp;"-"&amp;TEXT(MONTH($B719),"00")&amp;TEXT(DAY($B719),"00")&amp;IF(ISNUMBER($O719),IF($O719&gt;1,"-"&amp;TEXT($O719,"00"),""),"")))</f>
        <v/>
      </c>
      <c r="B719" s="14"/>
      <c r="C719" s="10"/>
      <c r="D719" s="10"/>
      <c r="E719" s="10"/>
      <c r="F719" s="16"/>
      <c r="G719" s="10"/>
      <c r="H719" s="10"/>
      <c r="I719" s="10"/>
      <c r="J719" s="10"/>
      <c r="K719" s="10"/>
      <c r="L719" s="10"/>
      <c r="M719" s="14"/>
      <c r="N719" s="17" t="str">
        <f aca="false">IF($B719="","",IF($L719="已完成",IF($M719="","",$M719-$B719),IF(设置!$B$6&lt;$B719,"",IF((设置!$B$6-$B719)&gt;=设置!$B$5,"超期"&amp;(设置!$B$6-$B719)&amp;"天","已等"&amp;(设置!$B$6-$B719)&amp;"天"))))</f>
        <v/>
      </c>
      <c r="O719" s="18" t="str">
        <f aca="false">IF(OR($D719="",$E719=""),"",COUNTIFS($D$7:$D719,$D719,$E$7:$E719,$E719))</f>
        <v/>
      </c>
      <c r="P719" s="16"/>
      <c r="Q719" s="19"/>
      <c r="R719" s="10"/>
      <c r="S719" s="16"/>
      <c r="T719" s="0" t="str">
        <f aca="false">IF(OR($D719="",单元查询!$B$3=""),"",IF($D719&lt;&gt;单元查询!$B$3,"",IF(OR(单元查询!$D$3="",$E719&amp;""=单元查询!$D$3&amp;""),IF(ISNUMBER($B719),$B719*10000,0)+ROW(),"")))</f>
        <v/>
      </c>
      <c r="U719" s="0" t="str">
        <f aca="false">IF(OR($B719="",$L719="已完成"),"",IF(ISNUMBER($B719),IF(设置!$B$6&lt;$B719,"",(设置!$B$6-$B719)*100000+ROW()),""))</f>
        <v/>
      </c>
      <c r="V719" s="0" t="str">
        <f aca="false">IF(ISNUMBER($O719),IF($O719&gt;=2,IF(COUNTIFS($D719:$D$2006,$D719,$E719:$E$2006,$E719)=1,ROW(),""),""),"")</f>
        <v/>
      </c>
    </row>
    <row r="720" customFormat="false" ht="15" hidden="false" customHeight="true" outlineLevel="0" collapsed="false">
      <c r="A720" s="13" t="str">
        <f aca="false">IF(AND($B720="",$D720="",$E720="",$F720=""),"",IF(OR($B720="",$D720="",$E720=""),"待补",IF($D720="公共区域","公",IF($D720="商铺","S",SUBSTITUTE($D720,"栋","")))&amp;"-"&amp;$E720&amp;"-"&amp;TEXT(MONTH($B720),"00")&amp;TEXT(DAY($B720),"00")&amp;IF(ISNUMBER($O720),IF($O720&gt;1,"-"&amp;TEXT($O720,"00"),""),"")))</f>
        <v/>
      </c>
      <c r="B720" s="14"/>
      <c r="C720" s="10"/>
      <c r="D720" s="10"/>
      <c r="E720" s="10"/>
      <c r="F720" s="16"/>
      <c r="G720" s="10"/>
      <c r="H720" s="10"/>
      <c r="I720" s="10"/>
      <c r="J720" s="10"/>
      <c r="K720" s="10"/>
      <c r="L720" s="10"/>
      <c r="M720" s="14"/>
      <c r="N720" s="17" t="str">
        <f aca="false">IF($B720="","",IF($L720="已完成",IF($M720="","",$M720-$B720),IF(设置!$B$6&lt;$B720,"",IF((设置!$B$6-$B720)&gt;=设置!$B$5,"超期"&amp;(设置!$B$6-$B720)&amp;"天","已等"&amp;(设置!$B$6-$B720)&amp;"天"))))</f>
        <v/>
      </c>
      <c r="O720" s="18" t="str">
        <f aca="false">IF(OR($D720="",$E720=""),"",COUNTIFS($D$7:$D720,$D720,$E$7:$E720,$E720))</f>
        <v/>
      </c>
      <c r="P720" s="16"/>
      <c r="Q720" s="19"/>
      <c r="R720" s="10"/>
      <c r="S720" s="16"/>
      <c r="T720" s="0" t="str">
        <f aca="false">IF(OR($D720="",单元查询!$B$3=""),"",IF($D720&lt;&gt;单元查询!$B$3,"",IF(OR(单元查询!$D$3="",$E720&amp;""=单元查询!$D$3&amp;""),IF(ISNUMBER($B720),$B720*10000,0)+ROW(),"")))</f>
        <v/>
      </c>
      <c r="U720" s="0" t="str">
        <f aca="false">IF(OR($B720="",$L720="已完成"),"",IF(ISNUMBER($B720),IF(设置!$B$6&lt;$B720,"",(设置!$B$6-$B720)*100000+ROW()),""))</f>
        <v/>
      </c>
      <c r="V720" s="0" t="str">
        <f aca="false">IF(ISNUMBER($O720),IF($O720&gt;=2,IF(COUNTIFS($D720:$D$2006,$D720,$E720:$E$2006,$E720)=1,ROW(),""),""),"")</f>
        <v/>
      </c>
    </row>
    <row r="721" customFormat="false" ht="15" hidden="false" customHeight="true" outlineLevel="0" collapsed="false">
      <c r="A721" s="13" t="str">
        <f aca="false">IF(AND($B721="",$D721="",$E721="",$F721=""),"",IF(OR($B721="",$D721="",$E721=""),"待补",IF($D721="公共区域","公",IF($D721="商铺","S",SUBSTITUTE($D721,"栋","")))&amp;"-"&amp;$E721&amp;"-"&amp;TEXT(MONTH($B721),"00")&amp;TEXT(DAY($B721),"00")&amp;IF(ISNUMBER($O721),IF($O721&gt;1,"-"&amp;TEXT($O721,"00"),""),"")))</f>
        <v/>
      </c>
      <c r="B721" s="14"/>
      <c r="C721" s="10"/>
      <c r="D721" s="10"/>
      <c r="E721" s="10"/>
      <c r="F721" s="16"/>
      <c r="G721" s="10"/>
      <c r="H721" s="10"/>
      <c r="I721" s="10"/>
      <c r="J721" s="10"/>
      <c r="K721" s="10"/>
      <c r="L721" s="10"/>
      <c r="M721" s="14"/>
      <c r="N721" s="17" t="str">
        <f aca="false">IF($B721="","",IF($L721="已完成",IF($M721="","",$M721-$B721),IF(设置!$B$6&lt;$B721,"",IF((设置!$B$6-$B721)&gt;=设置!$B$5,"超期"&amp;(设置!$B$6-$B721)&amp;"天","已等"&amp;(设置!$B$6-$B721)&amp;"天"))))</f>
        <v/>
      </c>
      <c r="O721" s="18" t="str">
        <f aca="false">IF(OR($D721="",$E721=""),"",COUNTIFS($D$7:$D721,$D721,$E$7:$E721,$E721))</f>
        <v/>
      </c>
      <c r="P721" s="16"/>
      <c r="Q721" s="19"/>
      <c r="R721" s="10"/>
      <c r="S721" s="16"/>
      <c r="T721" s="0" t="str">
        <f aca="false">IF(OR($D721="",单元查询!$B$3=""),"",IF($D721&lt;&gt;单元查询!$B$3,"",IF(OR(单元查询!$D$3="",$E721&amp;""=单元查询!$D$3&amp;""),IF(ISNUMBER($B721),$B721*10000,0)+ROW(),"")))</f>
        <v/>
      </c>
      <c r="U721" s="0" t="str">
        <f aca="false">IF(OR($B721="",$L721="已完成"),"",IF(ISNUMBER($B721),IF(设置!$B$6&lt;$B721,"",(设置!$B$6-$B721)*100000+ROW()),""))</f>
        <v/>
      </c>
      <c r="V721" s="0" t="str">
        <f aca="false">IF(ISNUMBER($O721),IF($O721&gt;=2,IF(COUNTIFS($D721:$D$2006,$D721,$E721:$E$2006,$E721)=1,ROW(),""),""),"")</f>
        <v/>
      </c>
    </row>
    <row r="722" customFormat="false" ht="15" hidden="false" customHeight="true" outlineLevel="0" collapsed="false">
      <c r="A722" s="13" t="str">
        <f aca="false">IF(AND($B722="",$D722="",$E722="",$F722=""),"",IF(OR($B722="",$D722="",$E722=""),"待补",IF($D722="公共区域","公",IF($D722="商铺","S",SUBSTITUTE($D722,"栋","")))&amp;"-"&amp;$E722&amp;"-"&amp;TEXT(MONTH($B722),"00")&amp;TEXT(DAY($B722),"00")&amp;IF(ISNUMBER($O722),IF($O722&gt;1,"-"&amp;TEXT($O722,"00"),""),"")))</f>
        <v/>
      </c>
      <c r="B722" s="14"/>
      <c r="C722" s="10"/>
      <c r="D722" s="10"/>
      <c r="E722" s="10"/>
      <c r="F722" s="16"/>
      <c r="G722" s="10"/>
      <c r="H722" s="10"/>
      <c r="I722" s="10"/>
      <c r="J722" s="10"/>
      <c r="K722" s="10"/>
      <c r="L722" s="10"/>
      <c r="M722" s="14"/>
      <c r="N722" s="17" t="str">
        <f aca="false">IF($B722="","",IF($L722="已完成",IF($M722="","",$M722-$B722),IF(设置!$B$6&lt;$B722,"",IF((设置!$B$6-$B722)&gt;=设置!$B$5,"超期"&amp;(设置!$B$6-$B722)&amp;"天","已等"&amp;(设置!$B$6-$B722)&amp;"天"))))</f>
        <v/>
      </c>
      <c r="O722" s="18" t="str">
        <f aca="false">IF(OR($D722="",$E722=""),"",COUNTIFS($D$7:$D722,$D722,$E$7:$E722,$E722))</f>
        <v/>
      </c>
      <c r="P722" s="16"/>
      <c r="Q722" s="19"/>
      <c r="R722" s="10"/>
      <c r="S722" s="16"/>
      <c r="T722" s="0" t="str">
        <f aca="false">IF(OR($D722="",单元查询!$B$3=""),"",IF($D722&lt;&gt;单元查询!$B$3,"",IF(OR(单元查询!$D$3="",$E722&amp;""=单元查询!$D$3&amp;""),IF(ISNUMBER($B722),$B722*10000,0)+ROW(),"")))</f>
        <v/>
      </c>
      <c r="U722" s="0" t="str">
        <f aca="false">IF(OR($B722="",$L722="已完成"),"",IF(ISNUMBER($B722),IF(设置!$B$6&lt;$B722,"",(设置!$B$6-$B722)*100000+ROW()),""))</f>
        <v/>
      </c>
      <c r="V722" s="0" t="str">
        <f aca="false">IF(ISNUMBER($O722),IF($O722&gt;=2,IF(COUNTIFS($D722:$D$2006,$D722,$E722:$E$2006,$E722)=1,ROW(),""),""),"")</f>
        <v/>
      </c>
    </row>
    <row r="723" customFormat="false" ht="15" hidden="false" customHeight="true" outlineLevel="0" collapsed="false">
      <c r="A723" s="13" t="str">
        <f aca="false">IF(AND($B723="",$D723="",$E723="",$F723=""),"",IF(OR($B723="",$D723="",$E723=""),"待补",IF($D723="公共区域","公",IF($D723="商铺","S",SUBSTITUTE($D723,"栋","")))&amp;"-"&amp;$E723&amp;"-"&amp;TEXT(MONTH($B723),"00")&amp;TEXT(DAY($B723),"00")&amp;IF(ISNUMBER($O723),IF($O723&gt;1,"-"&amp;TEXT($O723,"00"),""),"")))</f>
        <v/>
      </c>
      <c r="B723" s="14"/>
      <c r="C723" s="10"/>
      <c r="D723" s="10"/>
      <c r="E723" s="10"/>
      <c r="F723" s="16"/>
      <c r="G723" s="10"/>
      <c r="H723" s="10"/>
      <c r="I723" s="10"/>
      <c r="J723" s="10"/>
      <c r="K723" s="10"/>
      <c r="L723" s="10"/>
      <c r="M723" s="14"/>
      <c r="N723" s="17" t="str">
        <f aca="false">IF($B723="","",IF($L723="已完成",IF($M723="","",$M723-$B723),IF(设置!$B$6&lt;$B723,"",IF((设置!$B$6-$B723)&gt;=设置!$B$5,"超期"&amp;(设置!$B$6-$B723)&amp;"天","已等"&amp;(设置!$B$6-$B723)&amp;"天"))))</f>
        <v/>
      </c>
      <c r="O723" s="18" t="str">
        <f aca="false">IF(OR($D723="",$E723=""),"",COUNTIFS($D$7:$D723,$D723,$E$7:$E723,$E723))</f>
        <v/>
      </c>
      <c r="P723" s="16"/>
      <c r="Q723" s="19"/>
      <c r="R723" s="10"/>
      <c r="S723" s="16"/>
      <c r="T723" s="0" t="str">
        <f aca="false">IF(OR($D723="",单元查询!$B$3=""),"",IF($D723&lt;&gt;单元查询!$B$3,"",IF(OR(单元查询!$D$3="",$E723&amp;""=单元查询!$D$3&amp;""),IF(ISNUMBER($B723),$B723*10000,0)+ROW(),"")))</f>
        <v/>
      </c>
      <c r="U723" s="0" t="str">
        <f aca="false">IF(OR($B723="",$L723="已完成"),"",IF(ISNUMBER($B723),IF(设置!$B$6&lt;$B723,"",(设置!$B$6-$B723)*100000+ROW()),""))</f>
        <v/>
      </c>
      <c r="V723" s="0" t="str">
        <f aca="false">IF(ISNUMBER($O723),IF($O723&gt;=2,IF(COUNTIFS($D723:$D$2006,$D723,$E723:$E$2006,$E723)=1,ROW(),""),""),"")</f>
        <v/>
      </c>
    </row>
    <row r="724" customFormat="false" ht="15" hidden="false" customHeight="true" outlineLevel="0" collapsed="false">
      <c r="A724" s="13" t="str">
        <f aca="false">IF(AND($B724="",$D724="",$E724="",$F724=""),"",IF(OR($B724="",$D724="",$E724=""),"待补",IF($D724="公共区域","公",IF($D724="商铺","S",SUBSTITUTE($D724,"栋","")))&amp;"-"&amp;$E724&amp;"-"&amp;TEXT(MONTH($B724),"00")&amp;TEXT(DAY($B724),"00")&amp;IF(ISNUMBER($O724),IF($O724&gt;1,"-"&amp;TEXT($O724,"00"),""),"")))</f>
        <v/>
      </c>
      <c r="B724" s="14"/>
      <c r="C724" s="10"/>
      <c r="D724" s="10"/>
      <c r="E724" s="10"/>
      <c r="F724" s="16"/>
      <c r="G724" s="10"/>
      <c r="H724" s="10"/>
      <c r="I724" s="10"/>
      <c r="J724" s="10"/>
      <c r="K724" s="10"/>
      <c r="L724" s="10"/>
      <c r="M724" s="14"/>
      <c r="N724" s="17" t="str">
        <f aca="false">IF($B724="","",IF($L724="已完成",IF($M724="","",$M724-$B724),IF(设置!$B$6&lt;$B724,"",IF((设置!$B$6-$B724)&gt;=设置!$B$5,"超期"&amp;(设置!$B$6-$B724)&amp;"天","已等"&amp;(设置!$B$6-$B724)&amp;"天"))))</f>
        <v/>
      </c>
      <c r="O724" s="18" t="str">
        <f aca="false">IF(OR($D724="",$E724=""),"",COUNTIFS($D$7:$D724,$D724,$E$7:$E724,$E724))</f>
        <v/>
      </c>
      <c r="P724" s="16"/>
      <c r="Q724" s="19"/>
      <c r="R724" s="10"/>
      <c r="S724" s="16"/>
      <c r="T724" s="0" t="str">
        <f aca="false">IF(OR($D724="",单元查询!$B$3=""),"",IF($D724&lt;&gt;单元查询!$B$3,"",IF(OR(单元查询!$D$3="",$E724&amp;""=单元查询!$D$3&amp;""),IF(ISNUMBER($B724),$B724*10000,0)+ROW(),"")))</f>
        <v/>
      </c>
      <c r="U724" s="0" t="str">
        <f aca="false">IF(OR($B724="",$L724="已完成"),"",IF(ISNUMBER($B724),IF(设置!$B$6&lt;$B724,"",(设置!$B$6-$B724)*100000+ROW()),""))</f>
        <v/>
      </c>
      <c r="V724" s="0" t="str">
        <f aca="false">IF(ISNUMBER($O724),IF($O724&gt;=2,IF(COUNTIFS($D724:$D$2006,$D724,$E724:$E$2006,$E724)=1,ROW(),""),""),"")</f>
        <v/>
      </c>
    </row>
    <row r="725" customFormat="false" ht="15" hidden="false" customHeight="true" outlineLevel="0" collapsed="false">
      <c r="A725" s="13" t="str">
        <f aca="false">IF(AND($B725="",$D725="",$E725="",$F725=""),"",IF(OR($B725="",$D725="",$E725=""),"待补",IF($D725="公共区域","公",IF($D725="商铺","S",SUBSTITUTE($D725,"栋","")))&amp;"-"&amp;$E725&amp;"-"&amp;TEXT(MONTH($B725),"00")&amp;TEXT(DAY($B725),"00")&amp;IF(ISNUMBER($O725),IF($O725&gt;1,"-"&amp;TEXT($O725,"00"),""),"")))</f>
        <v/>
      </c>
      <c r="B725" s="14"/>
      <c r="C725" s="10"/>
      <c r="D725" s="10"/>
      <c r="E725" s="10"/>
      <c r="F725" s="16"/>
      <c r="G725" s="10"/>
      <c r="H725" s="10"/>
      <c r="I725" s="10"/>
      <c r="J725" s="10"/>
      <c r="K725" s="10"/>
      <c r="L725" s="10"/>
      <c r="M725" s="14"/>
      <c r="N725" s="17" t="str">
        <f aca="false">IF($B725="","",IF($L725="已完成",IF($M725="","",$M725-$B725),IF(设置!$B$6&lt;$B725,"",IF((设置!$B$6-$B725)&gt;=设置!$B$5,"超期"&amp;(设置!$B$6-$B725)&amp;"天","已等"&amp;(设置!$B$6-$B725)&amp;"天"))))</f>
        <v/>
      </c>
      <c r="O725" s="18" t="str">
        <f aca="false">IF(OR($D725="",$E725=""),"",COUNTIFS($D$7:$D725,$D725,$E$7:$E725,$E725))</f>
        <v/>
      </c>
      <c r="P725" s="16"/>
      <c r="Q725" s="19"/>
      <c r="R725" s="10"/>
      <c r="S725" s="16"/>
      <c r="T725" s="0" t="str">
        <f aca="false">IF(OR($D725="",单元查询!$B$3=""),"",IF($D725&lt;&gt;单元查询!$B$3,"",IF(OR(单元查询!$D$3="",$E725&amp;""=单元查询!$D$3&amp;""),IF(ISNUMBER($B725),$B725*10000,0)+ROW(),"")))</f>
        <v/>
      </c>
      <c r="U725" s="0" t="str">
        <f aca="false">IF(OR($B725="",$L725="已完成"),"",IF(ISNUMBER($B725),IF(设置!$B$6&lt;$B725,"",(设置!$B$6-$B725)*100000+ROW()),""))</f>
        <v/>
      </c>
      <c r="V725" s="0" t="str">
        <f aca="false">IF(ISNUMBER($O725),IF($O725&gt;=2,IF(COUNTIFS($D725:$D$2006,$D725,$E725:$E$2006,$E725)=1,ROW(),""),""),"")</f>
        <v/>
      </c>
    </row>
    <row r="726" customFormat="false" ht="15" hidden="false" customHeight="true" outlineLevel="0" collapsed="false">
      <c r="A726" s="13" t="str">
        <f aca="false">IF(AND($B726="",$D726="",$E726="",$F726=""),"",IF(OR($B726="",$D726="",$E726=""),"待补",IF($D726="公共区域","公",IF($D726="商铺","S",SUBSTITUTE($D726,"栋","")))&amp;"-"&amp;$E726&amp;"-"&amp;TEXT(MONTH($B726),"00")&amp;TEXT(DAY($B726),"00")&amp;IF(ISNUMBER($O726),IF($O726&gt;1,"-"&amp;TEXT($O726,"00"),""),"")))</f>
        <v/>
      </c>
      <c r="B726" s="14"/>
      <c r="C726" s="10"/>
      <c r="D726" s="10"/>
      <c r="E726" s="10"/>
      <c r="F726" s="16"/>
      <c r="G726" s="10"/>
      <c r="H726" s="10"/>
      <c r="I726" s="10"/>
      <c r="J726" s="10"/>
      <c r="K726" s="10"/>
      <c r="L726" s="10"/>
      <c r="M726" s="14"/>
      <c r="N726" s="17" t="str">
        <f aca="false">IF($B726="","",IF($L726="已完成",IF($M726="","",$M726-$B726),IF(设置!$B$6&lt;$B726,"",IF((设置!$B$6-$B726)&gt;=设置!$B$5,"超期"&amp;(设置!$B$6-$B726)&amp;"天","已等"&amp;(设置!$B$6-$B726)&amp;"天"))))</f>
        <v/>
      </c>
      <c r="O726" s="18" t="str">
        <f aca="false">IF(OR($D726="",$E726=""),"",COUNTIFS($D$7:$D726,$D726,$E$7:$E726,$E726))</f>
        <v/>
      </c>
      <c r="P726" s="16"/>
      <c r="Q726" s="19"/>
      <c r="R726" s="10"/>
      <c r="S726" s="16"/>
      <c r="T726" s="0" t="str">
        <f aca="false">IF(OR($D726="",单元查询!$B$3=""),"",IF($D726&lt;&gt;单元查询!$B$3,"",IF(OR(单元查询!$D$3="",$E726&amp;""=单元查询!$D$3&amp;""),IF(ISNUMBER($B726),$B726*10000,0)+ROW(),"")))</f>
        <v/>
      </c>
      <c r="U726" s="0" t="str">
        <f aca="false">IF(OR($B726="",$L726="已完成"),"",IF(ISNUMBER($B726),IF(设置!$B$6&lt;$B726,"",(设置!$B$6-$B726)*100000+ROW()),""))</f>
        <v/>
      </c>
      <c r="V726" s="0" t="str">
        <f aca="false">IF(ISNUMBER($O726),IF($O726&gt;=2,IF(COUNTIFS($D726:$D$2006,$D726,$E726:$E$2006,$E726)=1,ROW(),""),""),"")</f>
        <v/>
      </c>
    </row>
    <row r="727" customFormat="false" ht="15" hidden="false" customHeight="true" outlineLevel="0" collapsed="false">
      <c r="A727" s="13" t="str">
        <f aca="false">IF(AND($B727="",$D727="",$E727="",$F727=""),"",IF(OR($B727="",$D727="",$E727=""),"待补",IF($D727="公共区域","公",IF($D727="商铺","S",SUBSTITUTE($D727,"栋","")))&amp;"-"&amp;$E727&amp;"-"&amp;TEXT(MONTH($B727),"00")&amp;TEXT(DAY($B727),"00")&amp;IF(ISNUMBER($O727),IF($O727&gt;1,"-"&amp;TEXT($O727,"00"),""),"")))</f>
        <v/>
      </c>
      <c r="B727" s="14"/>
      <c r="C727" s="10"/>
      <c r="D727" s="10"/>
      <c r="E727" s="10"/>
      <c r="F727" s="16"/>
      <c r="G727" s="10"/>
      <c r="H727" s="10"/>
      <c r="I727" s="10"/>
      <c r="J727" s="10"/>
      <c r="K727" s="10"/>
      <c r="L727" s="10"/>
      <c r="M727" s="14"/>
      <c r="N727" s="17" t="str">
        <f aca="false">IF($B727="","",IF($L727="已完成",IF($M727="","",$M727-$B727),IF(设置!$B$6&lt;$B727,"",IF((设置!$B$6-$B727)&gt;=设置!$B$5,"超期"&amp;(设置!$B$6-$B727)&amp;"天","已等"&amp;(设置!$B$6-$B727)&amp;"天"))))</f>
        <v/>
      </c>
      <c r="O727" s="18" t="str">
        <f aca="false">IF(OR($D727="",$E727=""),"",COUNTIFS($D$7:$D727,$D727,$E$7:$E727,$E727))</f>
        <v/>
      </c>
      <c r="P727" s="16"/>
      <c r="Q727" s="19"/>
      <c r="R727" s="10"/>
      <c r="S727" s="16"/>
      <c r="T727" s="0" t="str">
        <f aca="false">IF(OR($D727="",单元查询!$B$3=""),"",IF($D727&lt;&gt;单元查询!$B$3,"",IF(OR(单元查询!$D$3="",$E727&amp;""=单元查询!$D$3&amp;""),IF(ISNUMBER($B727),$B727*10000,0)+ROW(),"")))</f>
        <v/>
      </c>
      <c r="U727" s="0" t="str">
        <f aca="false">IF(OR($B727="",$L727="已完成"),"",IF(ISNUMBER($B727),IF(设置!$B$6&lt;$B727,"",(设置!$B$6-$B727)*100000+ROW()),""))</f>
        <v/>
      </c>
      <c r="V727" s="0" t="str">
        <f aca="false">IF(ISNUMBER($O727),IF($O727&gt;=2,IF(COUNTIFS($D727:$D$2006,$D727,$E727:$E$2006,$E727)=1,ROW(),""),""),"")</f>
        <v/>
      </c>
    </row>
    <row r="728" customFormat="false" ht="15" hidden="false" customHeight="true" outlineLevel="0" collapsed="false">
      <c r="A728" s="13" t="str">
        <f aca="false">IF(AND($B728="",$D728="",$E728="",$F728=""),"",IF(OR($B728="",$D728="",$E728=""),"待补",IF($D728="公共区域","公",IF($D728="商铺","S",SUBSTITUTE($D728,"栋","")))&amp;"-"&amp;$E728&amp;"-"&amp;TEXT(MONTH($B728),"00")&amp;TEXT(DAY($B728),"00")&amp;IF(ISNUMBER($O728),IF($O728&gt;1,"-"&amp;TEXT($O728,"00"),""),"")))</f>
        <v/>
      </c>
      <c r="B728" s="14"/>
      <c r="C728" s="10"/>
      <c r="D728" s="10"/>
      <c r="E728" s="10"/>
      <c r="F728" s="16"/>
      <c r="G728" s="10"/>
      <c r="H728" s="10"/>
      <c r="I728" s="10"/>
      <c r="J728" s="10"/>
      <c r="K728" s="10"/>
      <c r="L728" s="10"/>
      <c r="M728" s="14"/>
      <c r="N728" s="17" t="str">
        <f aca="false">IF($B728="","",IF($L728="已完成",IF($M728="","",$M728-$B728),IF(设置!$B$6&lt;$B728,"",IF((设置!$B$6-$B728)&gt;=设置!$B$5,"超期"&amp;(设置!$B$6-$B728)&amp;"天","已等"&amp;(设置!$B$6-$B728)&amp;"天"))))</f>
        <v/>
      </c>
      <c r="O728" s="18" t="str">
        <f aca="false">IF(OR($D728="",$E728=""),"",COUNTIFS($D$7:$D728,$D728,$E$7:$E728,$E728))</f>
        <v/>
      </c>
      <c r="P728" s="16"/>
      <c r="Q728" s="19"/>
      <c r="R728" s="10"/>
      <c r="S728" s="16"/>
      <c r="T728" s="0" t="str">
        <f aca="false">IF(OR($D728="",单元查询!$B$3=""),"",IF($D728&lt;&gt;单元查询!$B$3,"",IF(OR(单元查询!$D$3="",$E728&amp;""=单元查询!$D$3&amp;""),IF(ISNUMBER($B728),$B728*10000,0)+ROW(),"")))</f>
        <v/>
      </c>
      <c r="U728" s="0" t="str">
        <f aca="false">IF(OR($B728="",$L728="已完成"),"",IF(ISNUMBER($B728),IF(设置!$B$6&lt;$B728,"",(设置!$B$6-$B728)*100000+ROW()),""))</f>
        <v/>
      </c>
      <c r="V728" s="0" t="str">
        <f aca="false">IF(ISNUMBER($O728),IF($O728&gt;=2,IF(COUNTIFS($D728:$D$2006,$D728,$E728:$E$2006,$E728)=1,ROW(),""),""),"")</f>
        <v/>
      </c>
    </row>
    <row r="729" customFormat="false" ht="15" hidden="false" customHeight="true" outlineLevel="0" collapsed="false">
      <c r="A729" s="13" t="str">
        <f aca="false">IF(AND($B729="",$D729="",$E729="",$F729=""),"",IF(OR($B729="",$D729="",$E729=""),"待补",IF($D729="公共区域","公",IF($D729="商铺","S",SUBSTITUTE($D729,"栋","")))&amp;"-"&amp;$E729&amp;"-"&amp;TEXT(MONTH($B729),"00")&amp;TEXT(DAY($B729),"00")&amp;IF(ISNUMBER($O729),IF($O729&gt;1,"-"&amp;TEXT($O729,"00"),""),"")))</f>
        <v/>
      </c>
      <c r="B729" s="14"/>
      <c r="C729" s="10"/>
      <c r="D729" s="10"/>
      <c r="E729" s="10"/>
      <c r="F729" s="16"/>
      <c r="G729" s="10"/>
      <c r="H729" s="10"/>
      <c r="I729" s="10"/>
      <c r="J729" s="10"/>
      <c r="K729" s="10"/>
      <c r="L729" s="10"/>
      <c r="M729" s="14"/>
      <c r="N729" s="17" t="str">
        <f aca="false">IF($B729="","",IF($L729="已完成",IF($M729="","",$M729-$B729),IF(设置!$B$6&lt;$B729,"",IF((设置!$B$6-$B729)&gt;=设置!$B$5,"超期"&amp;(设置!$B$6-$B729)&amp;"天","已等"&amp;(设置!$B$6-$B729)&amp;"天"))))</f>
        <v/>
      </c>
      <c r="O729" s="18" t="str">
        <f aca="false">IF(OR($D729="",$E729=""),"",COUNTIFS($D$7:$D729,$D729,$E$7:$E729,$E729))</f>
        <v/>
      </c>
      <c r="P729" s="16"/>
      <c r="Q729" s="19"/>
      <c r="R729" s="10"/>
      <c r="S729" s="16"/>
      <c r="T729" s="0" t="str">
        <f aca="false">IF(OR($D729="",单元查询!$B$3=""),"",IF($D729&lt;&gt;单元查询!$B$3,"",IF(OR(单元查询!$D$3="",$E729&amp;""=单元查询!$D$3&amp;""),IF(ISNUMBER($B729),$B729*10000,0)+ROW(),"")))</f>
        <v/>
      </c>
      <c r="U729" s="0" t="str">
        <f aca="false">IF(OR($B729="",$L729="已完成"),"",IF(ISNUMBER($B729),IF(设置!$B$6&lt;$B729,"",(设置!$B$6-$B729)*100000+ROW()),""))</f>
        <v/>
      </c>
      <c r="V729" s="0" t="str">
        <f aca="false">IF(ISNUMBER($O729),IF($O729&gt;=2,IF(COUNTIFS($D729:$D$2006,$D729,$E729:$E$2006,$E729)=1,ROW(),""),""),"")</f>
        <v/>
      </c>
    </row>
    <row r="730" customFormat="false" ht="15" hidden="false" customHeight="true" outlineLevel="0" collapsed="false">
      <c r="A730" s="13" t="str">
        <f aca="false">IF(AND($B730="",$D730="",$E730="",$F730=""),"",IF(OR($B730="",$D730="",$E730=""),"待补",IF($D730="公共区域","公",IF($D730="商铺","S",SUBSTITUTE($D730,"栋","")))&amp;"-"&amp;$E730&amp;"-"&amp;TEXT(MONTH($B730),"00")&amp;TEXT(DAY($B730),"00")&amp;IF(ISNUMBER($O730),IF($O730&gt;1,"-"&amp;TEXT($O730,"00"),""),"")))</f>
        <v/>
      </c>
      <c r="B730" s="14"/>
      <c r="C730" s="10"/>
      <c r="D730" s="10"/>
      <c r="E730" s="10"/>
      <c r="F730" s="16"/>
      <c r="G730" s="10"/>
      <c r="H730" s="10"/>
      <c r="I730" s="10"/>
      <c r="J730" s="10"/>
      <c r="K730" s="10"/>
      <c r="L730" s="10"/>
      <c r="M730" s="14"/>
      <c r="N730" s="17" t="str">
        <f aca="false">IF($B730="","",IF($L730="已完成",IF($M730="","",$M730-$B730),IF(设置!$B$6&lt;$B730,"",IF((设置!$B$6-$B730)&gt;=设置!$B$5,"超期"&amp;(设置!$B$6-$B730)&amp;"天","已等"&amp;(设置!$B$6-$B730)&amp;"天"))))</f>
        <v/>
      </c>
      <c r="O730" s="18" t="str">
        <f aca="false">IF(OR($D730="",$E730=""),"",COUNTIFS($D$7:$D730,$D730,$E$7:$E730,$E730))</f>
        <v/>
      </c>
      <c r="P730" s="16"/>
      <c r="Q730" s="19"/>
      <c r="R730" s="10"/>
      <c r="S730" s="16"/>
      <c r="T730" s="0" t="str">
        <f aca="false">IF(OR($D730="",单元查询!$B$3=""),"",IF($D730&lt;&gt;单元查询!$B$3,"",IF(OR(单元查询!$D$3="",$E730&amp;""=单元查询!$D$3&amp;""),IF(ISNUMBER($B730),$B730*10000,0)+ROW(),"")))</f>
        <v/>
      </c>
      <c r="U730" s="0" t="str">
        <f aca="false">IF(OR($B730="",$L730="已完成"),"",IF(ISNUMBER($B730),IF(设置!$B$6&lt;$B730,"",(设置!$B$6-$B730)*100000+ROW()),""))</f>
        <v/>
      </c>
      <c r="V730" s="0" t="str">
        <f aca="false">IF(ISNUMBER($O730),IF($O730&gt;=2,IF(COUNTIFS($D730:$D$2006,$D730,$E730:$E$2006,$E730)=1,ROW(),""),""),"")</f>
        <v/>
      </c>
    </row>
    <row r="731" customFormat="false" ht="15" hidden="false" customHeight="true" outlineLevel="0" collapsed="false">
      <c r="A731" s="13" t="str">
        <f aca="false">IF(AND($B731="",$D731="",$E731="",$F731=""),"",IF(OR($B731="",$D731="",$E731=""),"待补",IF($D731="公共区域","公",IF($D731="商铺","S",SUBSTITUTE($D731,"栋","")))&amp;"-"&amp;$E731&amp;"-"&amp;TEXT(MONTH($B731),"00")&amp;TEXT(DAY($B731),"00")&amp;IF(ISNUMBER($O731),IF($O731&gt;1,"-"&amp;TEXT($O731,"00"),""),"")))</f>
        <v/>
      </c>
      <c r="B731" s="14"/>
      <c r="C731" s="10"/>
      <c r="D731" s="10"/>
      <c r="E731" s="10"/>
      <c r="F731" s="16"/>
      <c r="G731" s="10"/>
      <c r="H731" s="10"/>
      <c r="I731" s="10"/>
      <c r="J731" s="10"/>
      <c r="K731" s="10"/>
      <c r="L731" s="10"/>
      <c r="M731" s="14"/>
      <c r="N731" s="17" t="str">
        <f aca="false">IF($B731="","",IF($L731="已完成",IF($M731="","",$M731-$B731),IF(设置!$B$6&lt;$B731,"",IF((设置!$B$6-$B731)&gt;=设置!$B$5,"超期"&amp;(设置!$B$6-$B731)&amp;"天","已等"&amp;(设置!$B$6-$B731)&amp;"天"))))</f>
        <v/>
      </c>
      <c r="O731" s="18" t="str">
        <f aca="false">IF(OR($D731="",$E731=""),"",COUNTIFS($D$7:$D731,$D731,$E$7:$E731,$E731))</f>
        <v/>
      </c>
      <c r="P731" s="16"/>
      <c r="Q731" s="19"/>
      <c r="R731" s="10"/>
      <c r="S731" s="16"/>
      <c r="T731" s="0" t="str">
        <f aca="false">IF(OR($D731="",单元查询!$B$3=""),"",IF($D731&lt;&gt;单元查询!$B$3,"",IF(OR(单元查询!$D$3="",$E731&amp;""=单元查询!$D$3&amp;""),IF(ISNUMBER($B731),$B731*10000,0)+ROW(),"")))</f>
        <v/>
      </c>
      <c r="U731" s="0" t="str">
        <f aca="false">IF(OR($B731="",$L731="已完成"),"",IF(ISNUMBER($B731),IF(设置!$B$6&lt;$B731,"",(设置!$B$6-$B731)*100000+ROW()),""))</f>
        <v/>
      </c>
      <c r="V731" s="0" t="str">
        <f aca="false">IF(ISNUMBER($O731),IF($O731&gt;=2,IF(COUNTIFS($D731:$D$2006,$D731,$E731:$E$2006,$E731)=1,ROW(),""),""),"")</f>
        <v/>
      </c>
    </row>
    <row r="732" customFormat="false" ht="15" hidden="false" customHeight="true" outlineLevel="0" collapsed="false">
      <c r="A732" s="13" t="str">
        <f aca="false">IF(AND($B732="",$D732="",$E732="",$F732=""),"",IF(OR($B732="",$D732="",$E732=""),"待补",IF($D732="公共区域","公",IF($D732="商铺","S",SUBSTITUTE($D732,"栋","")))&amp;"-"&amp;$E732&amp;"-"&amp;TEXT(MONTH($B732),"00")&amp;TEXT(DAY($B732),"00")&amp;IF(ISNUMBER($O732),IF($O732&gt;1,"-"&amp;TEXT($O732,"00"),""),"")))</f>
        <v/>
      </c>
      <c r="B732" s="14"/>
      <c r="C732" s="10"/>
      <c r="D732" s="10"/>
      <c r="E732" s="10"/>
      <c r="F732" s="16"/>
      <c r="G732" s="10"/>
      <c r="H732" s="10"/>
      <c r="I732" s="10"/>
      <c r="J732" s="10"/>
      <c r="K732" s="10"/>
      <c r="L732" s="10"/>
      <c r="M732" s="14"/>
      <c r="N732" s="17" t="str">
        <f aca="false">IF($B732="","",IF($L732="已完成",IF($M732="","",$M732-$B732),IF(设置!$B$6&lt;$B732,"",IF((设置!$B$6-$B732)&gt;=设置!$B$5,"超期"&amp;(设置!$B$6-$B732)&amp;"天","已等"&amp;(设置!$B$6-$B732)&amp;"天"))))</f>
        <v/>
      </c>
      <c r="O732" s="18" t="str">
        <f aca="false">IF(OR($D732="",$E732=""),"",COUNTIFS($D$7:$D732,$D732,$E$7:$E732,$E732))</f>
        <v/>
      </c>
      <c r="P732" s="16"/>
      <c r="Q732" s="19"/>
      <c r="R732" s="10"/>
      <c r="S732" s="16"/>
      <c r="T732" s="0" t="str">
        <f aca="false">IF(OR($D732="",单元查询!$B$3=""),"",IF($D732&lt;&gt;单元查询!$B$3,"",IF(OR(单元查询!$D$3="",$E732&amp;""=单元查询!$D$3&amp;""),IF(ISNUMBER($B732),$B732*10000,0)+ROW(),"")))</f>
        <v/>
      </c>
      <c r="U732" s="0" t="str">
        <f aca="false">IF(OR($B732="",$L732="已完成"),"",IF(ISNUMBER($B732),IF(设置!$B$6&lt;$B732,"",(设置!$B$6-$B732)*100000+ROW()),""))</f>
        <v/>
      </c>
      <c r="V732" s="0" t="str">
        <f aca="false">IF(ISNUMBER($O732),IF($O732&gt;=2,IF(COUNTIFS($D732:$D$2006,$D732,$E732:$E$2006,$E732)=1,ROW(),""),""),"")</f>
        <v/>
      </c>
    </row>
    <row r="733" customFormat="false" ht="15" hidden="false" customHeight="true" outlineLevel="0" collapsed="false">
      <c r="A733" s="13" t="str">
        <f aca="false">IF(AND($B733="",$D733="",$E733="",$F733=""),"",IF(OR($B733="",$D733="",$E733=""),"待补",IF($D733="公共区域","公",IF($D733="商铺","S",SUBSTITUTE($D733,"栋","")))&amp;"-"&amp;$E733&amp;"-"&amp;TEXT(MONTH($B733),"00")&amp;TEXT(DAY($B733),"00")&amp;IF(ISNUMBER($O733),IF($O733&gt;1,"-"&amp;TEXT($O733,"00"),""),"")))</f>
        <v/>
      </c>
      <c r="B733" s="14"/>
      <c r="C733" s="10"/>
      <c r="D733" s="10"/>
      <c r="E733" s="10"/>
      <c r="F733" s="16"/>
      <c r="G733" s="10"/>
      <c r="H733" s="10"/>
      <c r="I733" s="10"/>
      <c r="J733" s="10"/>
      <c r="K733" s="10"/>
      <c r="L733" s="10"/>
      <c r="M733" s="14"/>
      <c r="N733" s="17" t="str">
        <f aca="false">IF($B733="","",IF($L733="已完成",IF($M733="","",$M733-$B733),IF(设置!$B$6&lt;$B733,"",IF((设置!$B$6-$B733)&gt;=设置!$B$5,"超期"&amp;(设置!$B$6-$B733)&amp;"天","已等"&amp;(设置!$B$6-$B733)&amp;"天"))))</f>
        <v/>
      </c>
      <c r="O733" s="18" t="str">
        <f aca="false">IF(OR($D733="",$E733=""),"",COUNTIFS($D$7:$D733,$D733,$E$7:$E733,$E733))</f>
        <v/>
      </c>
      <c r="P733" s="16"/>
      <c r="Q733" s="19"/>
      <c r="R733" s="10"/>
      <c r="S733" s="16"/>
      <c r="T733" s="0" t="str">
        <f aca="false">IF(OR($D733="",单元查询!$B$3=""),"",IF($D733&lt;&gt;单元查询!$B$3,"",IF(OR(单元查询!$D$3="",$E733&amp;""=单元查询!$D$3&amp;""),IF(ISNUMBER($B733),$B733*10000,0)+ROW(),"")))</f>
        <v/>
      </c>
      <c r="U733" s="0" t="str">
        <f aca="false">IF(OR($B733="",$L733="已完成"),"",IF(ISNUMBER($B733),IF(设置!$B$6&lt;$B733,"",(设置!$B$6-$B733)*100000+ROW()),""))</f>
        <v/>
      </c>
      <c r="V733" s="0" t="str">
        <f aca="false">IF(ISNUMBER($O733),IF($O733&gt;=2,IF(COUNTIFS($D733:$D$2006,$D733,$E733:$E$2006,$E733)=1,ROW(),""),""),"")</f>
        <v/>
      </c>
    </row>
    <row r="734" customFormat="false" ht="15" hidden="false" customHeight="true" outlineLevel="0" collapsed="false">
      <c r="A734" s="13" t="str">
        <f aca="false">IF(AND($B734="",$D734="",$E734="",$F734=""),"",IF(OR($B734="",$D734="",$E734=""),"待补",IF($D734="公共区域","公",IF($D734="商铺","S",SUBSTITUTE($D734,"栋","")))&amp;"-"&amp;$E734&amp;"-"&amp;TEXT(MONTH($B734),"00")&amp;TEXT(DAY($B734),"00")&amp;IF(ISNUMBER($O734),IF($O734&gt;1,"-"&amp;TEXT($O734,"00"),""),"")))</f>
        <v/>
      </c>
      <c r="B734" s="14"/>
      <c r="C734" s="10"/>
      <c r="D734" s="10"/>
      <c r="E734" s="10"/>
      <c r="F734" s="16"/>
      <c r="G734" s="10"/>
      <c r="H734" s="10"/>
      <c r="I734" s="10"/>
      <c r="J734" s="10"/>
      <c r="K734" s="10"/>
      <c r="L734" s="10"/>
      <c r="M734" s="14"/>
      <c r="N734" s="17" t="str">
        <f aca="false">IF($B734="","",IF($L734="已完成",IF($M734="","",$M734-$B734),IF(设置!$B$6&lt;$B734,"",IF((设置!$B$6-$B734)&gt;=设置!$B$5,"超期"&amp;(设置!$B$6-$B734)&amp;"天","已等"&amp;(设置!$B$6-$B734)&amp;"天"))))</f>
        <v/>
      </c>
      <c r="O734" s="18" t="str">
        <f aca="false">IF(OR($D734="",$E734=""),"",COUNTIFS($D$7:$D734,$D734,$E$7:$E734,$E734))</f>
        <v/>
      </c>
      <c r="P734" s="16"/>
      <c r="Q734" s="19"/>
      <c r="R734" s="10"/>
      <c r="S734" s="16"/>
      <c r="T734" s="0" t="str">
        <f aca="false">IF(OR($D734="",单元查询!$B$3=""),"",IF($D734&lt;&gt;单元查询!$B$3,"",IF(OR(单元查询!$D$3="",$E734&amp;""=单元查询!$D$3&amp;""),IF(ISNUMBER($B734),$B734*10000,0)+ROW(),"")))</f>
        <v/>
      </c>
      <c r="U734" s="0" t="str">
        <f aca="false">IF(OR($B734="",$L734="已完成"),"",IF(ISNUMBER($B734),IF(设置!$B$6&lt;$B734,"",(设置!$B$6-$B734)*100000+ROW()),""))</f>
        <v/>
      </c>
      <c r="V734" s="0" t="str">
        <f aca="false">IF(ISNUMBER($O734),IF($O734&gt;=2,IF(COUNTIFS($D734:$D$2006,$D734,$E734:$E$2006,$E734)=1,ROW(),""),""),"")</f>
        <v/>
      </c>
    </row>
    <row r="735" customFormat="false" ht="15" hidden="false" customHeight="true" outlineLevel="0" collapsed="false">
      <c r="A735" s="13" t="str">
        <f aca="false">IF(AND($B735="",$D735="",$E735="",$F735=""),"",IF(OR($B735="",$D735="",$E735=""),"待补",IF($D735="公共区域","公",IF($D735="商铺","S",SUBSTITUTE($D735,"栋","")))&amp;"-"&amp;$E735&amp;"-"&amp;TEXT(MONTH($B735),"00")&amp;TEXT(DAY($B735),"00")&amp;IF(ISNUMBER($O735),IF($O735&gt;1,"-"&amp;TEXT($O735,"00"),""),"")))</f>
        <v/>
      </c>
      <c r="B735" s="14"/>
      <c r="C735" s="10"/>
      <c r="D735" s="10"/>
      <c r="E735" s="10"/>
      <c r="F735" s="16"/>
      <c r="G735" s="10"/>
      <c r="H735" s="10"/>
      <c r="I735" s="10"/>
      <c r="J735" s="10"/>
      <c r="K735" s="10"/>
      <c r="L735" s="10"/>
      <c r="M735" s="14"/>
      <c r="N735" s="17" t="str">
        <f aca="false">IF($B735="","",IF($L735="已完成",IF($M735="","",$M735-$B735),IF(设置!$B$6&lt;$B735,"",IF((设置!$B$6-$B735)&gt;=设置!$B$5,"超期"&amp;(设置!$B$6-$B735)&amp;"天","已等"&amp;(设置!$B$6-$B735)&amp;"天"))))</f>
        <v/>
      </c>
      <c r="O735" s="18" t="str">
        <f aca="false">IF(OR($D735="",$E735=""),"",COUNTIFS($D$7:$D735,$D735,$E$7:$E735,$E735))</f>
        <v/>
      </c>
      <c r="P735" s="16"/>
      <c r="Q735" s="19"/>
      <c r="R735" s="10"/>
      <c r="S735" s="16"/>
      <c r="T735" s="0" t="str">
        <f aca="false">IF(OR($D735="",单元查询!$B$3=""),"",IF($D735&lt;&gt;单元查询!$B$3,"",IF(OR(单元查询!$D$3="",$E735&amp;""=单元查询!$D$3&amp;""),IF(ISNUMBER($B735),$B735*10000,0)+ROW(),"")))</f>
        <v/>
      </c>
      <c r="U735" s="0" t="str">
        <f aca="false">IF(OR($B735="",$L735="已完成"),"",IF(ISNUMBER($B735),IF(设置!$B$6&lt;$B735,"",(设置!$B$6-$B735)*100000+ROW()),""))</f>
        <v/>
      </c>
      <c r="V735" s="0" t="str">
        <f aca="false">IF(ISNUMBER($O735),IF($O735&gt;=2,IF(COUNTIFS($D735:$D$2006,$D735,$E735:$E$2006,$E735)=1,ROW(),""),""),"")</f>
        <v/>
      </c>
    </row>
    <row r="736" customFormat="false" ht="15" hidden="false" customHeight="true" outlineLevel="0" collapsed="false">
      <c r="A736" s="13" t="str">
        <f aca="false">IF(AND($B736="",$D736="",$E736="",$F736=""),"",IF(OR($B736="",$D736="",$E736=""),"待补",IF($D736="公共区域","公",IF($D736="商铺","S",SUBSTITUTE($D736,"栋","")))&amp;"-"&amp;$E736&amp;"-"&amp;TEXT(MONTH($B736),"00")&amp;TEXT(DAY($B736),"00")&amp;IF(ISNUMBER($O736),IF($O736&gt;1,"-"&amp;TEXT($O736,"00"),""),"")))</f>
        <v/>
      </c>
      <c r="B736" s="14"/>
      <c r="C736" s="10"/>
      <c r="D736" s="10"/>
      <c r="E736" s="10"/>
      <c r="F736" s="16"/>
      <c r="G736" s="10"/>
      <c r="H736" s="10"/>
      <c r="I736" s="10"/>
      <c r="J736" s="10"/>
      <c r="K736" s="10"/>
      <c r="L736" s="10"/>
      <c r="M736" s="14"/>
      <c r="N736" s="17" t="str">
        <f aca="false">IF($B736="","",IF($L736="已完成",IF($M736="","",$M736-$B736),IF(设置!$B$6&lt;$B736,"",IF((设置!$B$6-$B736)&gt;=设置!$B$5,"超期"&amp;(设置!$B$6-$B736)&amp;"天","已等"&amp;(设置!$B$6-$B736)&amp;"天"))))</f>
        <v/>
      </c>
      <c r="O736" s="18" t="str">
        <f aca="false">IF(OR($D736="",$E736=""),"",COUNTIFS($D$7:$D736,$D736,$E$7:$E736,$E736))</f>
        <v/>
      </c>
      <c r="P736" s="16"/>
      <c r="Q736" s="19"/>
      <c r="R736" s="10"/>
      <c r="S736" s="16"/>
      <c r="T736" s="0" t="str">
        <f aca="false">IF(OR($D736="",单元查询!$B$3=""),"",IF($D736&lt;&gt;单元查询!$B$3,"",IF(OR(单元查询!$D$3="",$E736&amp;""=单元查询!$D$3&amp;""),IF(ISNUMBER($B736),$B736*10000,0)+ROW(),"")))</f>
        <v/>
      </c>
      <c r="U736" s="0" t="str">
        <f aca="false">IF(OR($B736="",$L736="已完成"),"",IF(ISNUMBER($B736),IF(设置!$B$6&lt;$B736,"",(设置!$B$6-$B736)*100000+ROW()),""))</f>
        <v/>
      </c>
      <c r="V736" s="0" t="str">
        <f aca="false">IF(ISNUMBER($O736),IF($O736&gt;=2,IF(COUNTIFS($D736:$D$2006,$D736,$E736:$E$2006,$E736)=1,ROW(),""),""),"")</f>
        <v/>
      </c>
    </row>
    <row r="737" customFormat="false" ht="15" hidden="false" customHeight="true" outlineLevel="0" collapsed="false">
      <c r="A737" s="13" t="str">
        <f aca="false">IF(AND($B737="",$D737="",$E737="",$F737=""),"",IF(OR($B737="",$D737="",$E737=""),"待补",IF($D737="公共区域","公",IF($D737="商铺","S",SUBSTITUTE($D737,"栋","")))&amp;"-"&amp;$E737&amp;"-"&amp;TEXT(MONTH($B737),"00")&amp;TEXT(DAY($B737),"00")&amp;IF(ISNUMBER($O737),IF($O737&gt;1,"-"&amp;TEXT($O737,"00"),""),"")))</f>
        <v/>
      </c>
      <c r="B737" s="14"/>
      <c r="C737" s="10"/>
      <c r="D737" s="10"/>
      <c r="E737" s="10"/>
      <c r="F737" s="16"/>
      <c r="G737" s="10"/>
      <c r="H737" s="10"/>
      <c r="I737" s="10"/>
      <c r="J737" s="10"/>
      <c r="K737" s="10"/>
      <c r="L737" s="10"/>
      <c r="M737" s="14"/>
      <c r="N737" s="17" t="str">
        <f aca="false">IF($B737="","",IF($L737="已完成",IF($M737="","",$M737-$B737),IF(设置!$B$6&lt;$B737,"",IF((设置!$B$6-$B737)&gt;=设置!$B$5,"超期"&amp;(设置!$B$6-$B737)&amp;"天","已等"&amp;(设置!$B$6-$B737)&amp;"天"))))</f>
        <v/>
      </c>
      <c r="O737" s="18" t="str">
        <f aca="false">IF(OR($D737="",$E737=""),"",COUNTIFS($D$7:$D737,$D737,$E$7:$E737,$E737))</f>
        <v/>
      </c>
      <c r="P737" s="16"/>
      <c r="Q737" s="19"/>
      <c r="R737" s="10"/>
      <c r="S737" s="16"/>
      <c r="T737" s="0" t="str">
        <f aca="false">IF(OR($D737="",单元查询!$B$3=""),"",IF($D737&lt;&gt;单元查询!$B$3,"",IF(OR(单元查询!$D$3="",$E737&amp;""=单元查询!$D$3&amp;""),IF(ISNUMBER($B737),$B737*10000,0)+ROW(),"")))</f>
        <v/>
      </c>
      <c r="U737" s="0" t="str">
        <f aca="false">IF(OR($B737="",$L737="已完成"),"",IF(ISNUMBER($B737),IF(设置!$B$6&lt;$B737,"",(设置!$B$6-$B737)*100000+ROW()),""))</f>
        <v/>
      </c>
      <c r="V737" s="0" t="str">
        <f aca="false">IF(ISNUMBER($O737),IF($O737&gt;=2,IF(COUNTIFS($D737:$D$2006,$D737,$E737:$E$2006,$E737)=1,ROW(),""),""),"")</f>
        <v/>
      </c>
    </row>
    <row r="738" customFormat="false" ht="15" hidden="false" customHeight="true" outlineLevel="0" collapsed="false">
      <c r="A738" s="13" t="str">
        <f aca="false">IF(AND($B738="",$D738="",$E738="",$F738=""),"",IF(OR($B738="",$D738="",$E738=""),"待补",IF($D738="公共区域","公",IF($D738="商铺","S",SUBSTITUTE($D738,"栋","")))&amp;"-"&amp;$E738&amp;"-"&amp;TEXT(MONTH($B738),"00")&amp;TEXT(DAY($B738),"00")&amp;IF(ISNUMBER($O738),IF($O738&gt;1,"-"&amp;TEXT($O738,"00"),""),"")))</f>
        <v/>
      </c>
      <c r="B738" s="14"/>
      <c r="C738" s="10"/>
      <c r="D738" s="10"/>
      <c r="E738" s="10"/>
      <c r="F738" s="16"/>
      <c r="G738" s="10"/>
      <c r="H738" s="10"/>
      <c r="I738" s="10"/>
      <c r="J738" s="10"/>
      <c r="K738" s="10"/>
      <c r="L738" s="10"/>
      <c r="M738" s="14"/>
      <c r="N738" s="17" t="str">
        <f aca="false">IF($B738="","",IF($L738="已完成",IF($M738="","",$M738-$B738),IF(设置!$B$6&lt;$B738,"",IF((设置!$B$6-$B738)&gt;=设置!$B$5,"超期"&amp;(设置!$B$6-$B738)&amp;"天","已等"&amp;(设置!$B$6-$B738)&amp;"天"))))</f>
        <v/>
      </c>
      <c r="O738" s="18" t="str">
        <f aca="false">IF(OR($D738="",$E738=""),"",COUNTIFS($D$7:$D738,$D738,$E$7:$E738,$E738))</f>
        <v/>
      </c>
      <c r="P738" s="16"/>
      <c r="Q738" s="19"/>
      <c r="R738" s="10"/>
      <c r="S738" s="16"/>
      <c r="T738" s="0" t="str">
        <f aca="false">IF(OR($D738="",单元查询!$B$3=""),"",IF($D738&lt;&gt;单元查询!$B$3,"",IF(OR(单元查询!$D$3="",$E738&amp;""=单元查询!$D$3&amp;""),IF(ISNUMBER($B738),$B738*10000,0)+ROW(),"")))</f>
        <v/>
      </c>
      <c r="U738" s="0" t="str">
        <f aca="false">IF(OR($B738="",$L738="已完成"),"",IF(ISNUMBER($B738),IF(设置!$B$6&lt;$B738,"",(设置!$B$6-$B738)*100000+ROW()),""))</f>
        <v/>
      </c>
      <c r="V738" s="0" t="str">
        <f aca="false">IF(ISNUMBER($O738),IF($O738&gt;=2,IF(COUNTIFS($D738:$D$2006,$D738,$E738:$E$2006,$E738)=1,ROW(),""),""),"")</f>
        <v/>
      </c>
    </row>
    <row r="739" customFormat="false" ht="15" hidden="false" customHeight="true" outlineLevel="0" collapsed="false">
      <c r="A739" s="13" t="str">
        <f aca="false">IF(AND($B739="",$D739="",$E739="",$F739=""),"",IF(OR($B739="",$D739="",$E739=""),"待补",IF($D739="公共区域","公",IF($D739="商铺","S",SUBSTITUTE($D739,"栋","")))&amp;"-"&amp;$E739&amp;"-"&amp;TEXT(MONTH($B739),"00")&amp;TEXT(DAY($B739),"00")&amp;IF(ISNUMBER($O739),IF($O739&gt;1,"-"&amp;TEXT($O739,"00"),""),"")))</f>
        <v/>
      </c>
      <c r="B739" s="14"/>
      <c r="C739" s="10"/>
      <c r="D739" s="10"/>
      <c r="E739" s="10"/>
      <c r="F739" s="16"/>
      <c r="G739" s="10"/>
      <c r="H739" s="10"/>
      <c r="I739" s="10"/>
      <c r="J739" s="10"/>
      <c r="K739" s="10"/>
      <c r="L739" s="10"/>
      <c r="M739" s="14"/>
      <c r="N739" s="17" t="str">
        <f aca="false">IF($B739="","",IF($L739="已完成",IF($M739="","",$M739-$B739),IF(设置!$B$6&lt;$B739,"",IF((设置!$B$6-$B739)&gt;=设置!$B$5,"超期"&amp;(设置!$B$6-$B739)&amp;"天","已等"&amp;(设置!$B$6-$B739)&amp;"天"))))</f>
        <v/>
      </c>
      <c r="O739" s="18" t="str">
        <f aca="false">IF(OR($D739="",$E739=""),"",COUNTIFS($D$7:$D739,$D739,$E$7:$E739,$E739))</f>
        <v/>
      </c>
      <c r="P739" s="16"/>
      <c r="Q739" s="19"/>
      <c r="R739" s="10"/>
      <c r="S739" s="16"/>
      <c r="T739" s="0" t="str">
        <f aca="false">IF(OR($D739="",单元查询!$B$3=""),"",IF($D739&lt;&gt;单元查询!$B$3,"",IF(OR(单元查询!$D$3="",$E739&amp;""=单元查询!$D$3&amp;""),IF(ISNUMBER($B739),$B739*10000,0)+ROW(),"")))</f>
        <v/>
      </c>
      <c r="U739" s="0" t="str">
        <f aca="false">IF(OR($B739="",$L739="已完成"),"",IF(ISNUMBER($B739),IF(设置!$B$6&lt;$B739,"",(设置!$B$6-$B739)*100000+ROW()),""))</f>
        <v/>
      </c>
      <c r="V739" s="0" t="str">
        <f aca="false">IF(ISNUMBER($O739),IF($O739&gt;=2,IF(COUNTIFS($D739:$D$2006,$D739,$E739:$E$2006,$E739)=1,ROW(),""),""),"")</f>
        <v/>
      </c>
    </row>
    <row r="740" customFormat="false" ht="15" hidden="false" customHeight="true" outlineLevel="0" collapsed="false">
      <c r="A740" s="13" t="str">
        <f aca="false">IF(AND($B740="",$D740="",$E740="",$F740=""),"",IF(OR($B740="",$D740="",$E740=""),"待补",IF($D740="公共区域","公",IF($D740="商铺","S",SUBSTITUTE($D740,"栋","")))&amp;"-"&amp;$E740&amp;"-"&amp;TEXT(MONTH($B740),"00")&amp;TEXT(DAY($B740),"00")&amp;IF(ISNUMBER($O740),IF($O740&gt;1,"-"&amp;TEXT($O740,"00"),""),"")))</f>
        <v/>
      </c>
      <c r="B740" s="14"/>
      <c r="C740" s="10"/>
      <c r="D740" s="10"/>
      <c r="E740" s="10"/>
      <c r="F740" s="16"/>
      <c r="G740" s="10"/>
      <c r="H740" s="10"/>
      <c r="I740" s="10"/>
      <c r="J740" s="10"/>
      <c r="K740" s="10"/>
      <c r="L740" s="10"/>
      <c r="M740" s="14"/>
      <c r="N740" s="17" t="str">
        <f aca="false">IF($B740="","",IF($L740="已完成",IF($M740="","",$M740-$B740),IF(设置!$B$6&lt;$B740,"",IF((设置!$B$6-$B740)&gt;=设置!$B$5,"超期"&amp;(设置!$B$6-$B740)&amp;"天","已等"&amp;(设置!$B$6-$B740)&amp;"天"))))</f>
        <v/>
      </c>
      <c r="O740" s="18" t="str">
        <f aca="false">IF(OR($D740="",$E740=""),"",COUNTIFS($D$7:$D740,$D740,$E$7:$E740,$E740))</f>
        <v/>
      </c>
      <c r="P740" s="16"/>
      <c r="Q740" s="19"/>
      <c r="R740" s="10"/>
      <c r="S740" s="16"/>
      <c r="T740" s="0" t="str">
        <f aca="false">IF(OR($D740="",单元查询!$B$3=""),"",IF($D740&lt;&gt;单元查询!$B$3,"",IF(OR(单元查询!$D$3="",$E740&amp;""=单元查询!$D$3&amp;""),IF(ISNUMBER($B740),$B740*10000,0)+ROW(),"")))</f>
        <v/>
      </c>
      <c r="U740" s="0" t="str">
        <f aca="false">IF(OR($B740="",$L740="已完成"),"",IF(ISNUMBER($B740),IF(设置!$B$6&lt;$B740,"",(设置!$B$6-$B740)*100000+ROW()),""))</f>
        <v/>
      </c>
      <c r="V740" s="0" t="str">
        <f aca="false">IF(ISNUMBER($O740),IF($O740&gt;=2,IF(COUNTIFS($D740:$D$2006,$D740,$E740:$E$2006,$E740)=1,ROW(),""),""),"")</f>
        <v/>
      </c>
    </row>
    <row r="741" customFormat="false" ht="15" hidden="false" customHeight="true" outlineLevel="0" collapsed="false">
      <c r="A741" s="13" t="str">
        <f aca="false">IF(AND($B741="",$D741="",$E741="",$F741=""),"",IF(OR($B741="",$D741="",$E741=""),"待补",IF($D741="公共区域","公",IF($D741="商铺","S",SUBSTITUTE($D741,"栋","")))&amp;"-"&amp;$E741&amp;"-"&amp;TEXT(MONTH($B741),"00")&amp;TEXT(DAY($B741),"00")&amp;IF(ISNUMBER($O741),IF($O741&gt;1,"-"&amp;TEXT($O741,"00"),""),"")))</f>
        <v/>
      </c>
      <c r="B741" s="14"/>
      <c r="C741" s="10"/>
      <c r="D741" s="10"/>
      <c r="E741" s="10"/>
      <c r="F741" s="16"/>
      <c r="G741" s="10"/>
      <c r="H741" s="10"/>
      <c r="I741" s="10"/>
      <c r="J741" s="10"/>
      <c r="K741" s="10"/>
      <c r="L741" s="10"/>
      <c r="M741" s="14"/>
      <c r="N741" s="17" t="str">
        <f aca="false">IF($B741="","",IF($L741="已完成",IF($M741="","",$M741-$B741),IF(设置!$B$6&lt;$B741,"",IF((设置!$B$6-$B741)&gt;=设置!$B$5,"超期"&amp;(设置!$B$6-$B741)&amp;"天","已等"&amp;(设置!$B$6-$B741)&amp;"天"))))</f>
        <v/>
      </c>
      <c r="O741" s="18" t="str">
        <f aca="false">IF(OR($D741="",$E741=""),"",COUNTIFS($D$7:$D741,$D741,$E$7:$E741,$E741))</f>
        <v/>
      </c>
      <c r="P741" s="16"/>
      <c r="Q741" s="19"/>
      <c r="R741" s="10"/>
      <c r="S741" s="16"/>
      <c r="T741" s="0" t="str">
        <f aca="false">IF(OR($D741="",单元查询!$B$3=""),"",IF($D741&lt;&gt;单元查询!$B$3,"",IF(OR(单元查询!$D$3="",$E741&amp;""=单元查询!$D$3&amp;""),IF(ISNUMBER($B741),$B741*10000,0)+ROW(),"")))</f>
        <v/>
      </c>
      <c r="U741" s="0" t="str">
        <f aca="false">IF(OR($B741="",$L741="已完成"),"",IF(ISNUMBER($B741),IF(设置!$B$6&lt;$B741,"",(设置!$B$6-$B741)*100000+ROW()),""))</f>
        <v/>
      </c>
      <c r="V741" s="0" t="str">
        <f aca="false">IF(ISNUMBER($O741),IF($O741&gt;=2,IF(COUNTIFS($D741:$D$2006,$D741,$E741:$E$2006,$E741)=1,ROW(),""),""),"")</f>
        <v/>
      </c>
    </row>
    <row r="742" customFormat="false" ht="15" hidden="false" customHeight="true" outlineLevel="0" collapsed="false">
      <c r="A742" s="13" t="str">
        <f aca="false">IF(AND($B742="",$D742="",$E742="",$F742=""),"",IF(OR($B742="",$D742="",$E742=""),"待补",IF($D742="公共区域","公",IF($D742="商铺","S",SUBSTITUTE($D742,"栋","")))&amp;"-"&amp;$E742&amp;"-"&amp;TEXT(MONTH($B742),"00")&amp;TEXT(DAY($B742),"00")&amp;IF(ISNUMBER($O742),IF($O742&gt;1,"-"&amp;TEXT($O742,"00"),""),"")))</f>
        <v/>
      </c>
      <c r="B742" s="14"/>
      <c r="C742" s="10"/>
      <c r="D742" s="10"/>
      <c r="E742" s="10"/>
      <c r="F742" s="16"/>
      <c r="G742" s="10"/>
      <c r="H742" s="10"/>
      <c r="I742" s="10"/>
      <c r="J742" s="10"/>
      <c r="K742" s="10"/>
      <c r="L742" s="10"/>
      <c r="M742" s="14"/>
      <c r="N742" s="17" t="str">
        <f aca="false">IF($B742="","",IF($L742="已完成",IF($M742="","",$M742-$B742),IF(设置!$B$6&lt;$B742,"",IF((设置!$B$6-$B742)&gt;=设置!$B$5,"超期"&amp;(设置!$B$6-$B742)&amp;"天","已等"&amp;(设置!$B$6-$B742)&amp;"天"))))</f>
        <v/>
      </c>
      <c r="O742" s="18" t="str">
        <f aca="false">IF(OR($D742="",$E742=""),"",COUNTIFS($D$7:$D742,$D742,$E$7:$E742,$E742))</f>
        <v/>
      </c>
      <c r="P742" s="16"/>
      <c r="Q742" s="19"/>
      <c r="R742" s="10"/>
      <c r="S742" s="16"/>
      <c r="T742" s="0" t="str">
        <f aca="false">IF(OR($D742="",单元查询!$B$3=""),"",IF($D742&lt;&gt;单元查询!$B$3,"",IF(OR(单元查询!$D$3="",$E742&amp;""=单元查询!$D$3&amp;""),IF(ISNUMBER($B742),$B742*10000,0)+ROW(),"")))</f>
        <v/>
      </c>
      <c r="U742" s="0" t="str">
        <f aca="false">IF(OR($B742="",$L742="已完成"),"",IF(ISNUMBER($B742),IF(设置!$B$6&lt;$B742,"",(设置!$B$6-$B742)*100000+ROW()),""))</f>
        <v/>
      </c>
      <c r="V742" s="0" t="str">
        <f aca="false">IF(ISNUMBER($O742),IF($O742&gt;=2,IF(COUNTIFS($D742:$D$2006,$D742,$E742:$E$2006,$E742)=1,ROW(),""),""),"")</f>
        <v/>
      </c>
    </row>
    <row r="743" customFormat="false" ht="15" hidden="false" customHeight="true" outlineLevel="0" collapsed="false">
      <c r="A743" s="13" t="str">
        <f aca="false">IF(AND($B743="",$D743="",$E743="",$F743=""),"",IF(OR($B743="",$D743="",$E743=""),"待补",IF($D743="公共区域","公",IF($D743="商铺","S",SUBSTITUTE($D743,"栋","")))&amp;"-"&amp;$E743&amp;"-"&amp;TEXT(MONTH($B743),"00")&amp;TEXT(DAY($B743),"00")&amp;IF(ISNUMBER($O743),IF($O743&gt;1,"-"&amp;TEXT($O743,"00"),""),"")))</f>
        <v/>
      </c>
      <c r="B743" s="14"/>
      <c r="C743" s="10"/>
      <c r="D743" s="10"/>
      <c r="E743" s="10"/>
      <c r="F743" s="16"/>
      <c r="G743" s="10"/>
      <c r="H743" s="10"/>
      <c r="I743" s="10"/>
      <c r="J743" s="10"/>
      <c r="K743" s="10"/>
      <c r="L743" s="10"/>
      <c r="M743" s="14"/>
      <c r="N743" s="17" t="str">
        <f aca="false">IF($B743="","",IF($L743="已完成",IF($M743="","",$M743-$B743),IF(设置!$B$6&lt;$B743,"",IF((设置!$B$6-$B743)&gt;=设置!$B$5,"超期"&amp;(设置!$B$6-$B743)&amp;"天","已等"&amp;(设置!$B$6-$B743)&amp;"天"))))</f>
        <v/>
      </c>
      <c r="O743" s="18" t="str">
        <f aca="false">IF(OR($D743="",$E743=""),"",COUNTIFS($D$7:$D743,$D743,$E$7:$E743,$E743))</f>
        <v/>
      </c>
      <c r="P743" s="16"/>
      <c r="Q743" s="19"/>
      <c r="R743" s="10"/>
      <c r="S743" s="16"/>
      <c r="T743" s="0" t="str">
        <f aca="false">IF(OR($D743="",单元查询!$B$3=""),"",IF($D743&lt;&gt;单元查询!$B$3,"",IF(OR(单元查询!$D$3="",$E743&amp;""=单元查询!$D$3&amp;""),IF(ISNUMBER($B743),$B743*10000,0)+ROW(),"")))</f>
        <v/>
      </c>
      <c r="U743" s="0" t="str">
        <f aca="false">IF(OR($B743="",$L743="已完成"),"",IF(ISNUMBER($B743),IF(设置!$B$6&lt;$B743,"",(设置!$B$6-$B743)*100000+ROW()),""))</f>
        <v/>
      </c>
      <c r="V743" s="0" t="str">
        <f aca="false">IF(ISNUMBER($O743),IF($O743&gt;=2,IF(COUNTIFS($D743:$D$2006,$D743,$E743:$E$2006,$E743)=1,ROW(),""),""),"")</f>
        <v/>
      </c>
    </row>
    <row r="744" customFormat="false" ht="15" hidden="false" customHeight="true" outlineLevel="0" collapsed="false">
      <c r="A744" s="13" t="str">
        <f aca="false">IF(AND($B744="",$D744="",$E744="",$F744=""),"",IF(OR($B744="",$D744="",$E744=""),"待补",IF($D744="公共区域","公",IF($D744="商铺","S",SUBSTITUTE($D744,"栋","")))&amp;"-"&amp;$E744&amp;"-"&amp;TEXT(MONTH($B744),"00")&amp;TEXT(DAY($B744),"00")&amp;IF(ISNUMBER($O744),IF($O744&gt;1,"-"&amp;TEXT($O744,"00"),""),"")))</f>
        <v/>
      </c>
      <c r="B744" s="14"/>
      <c r="C744" s="10"/>
      <c r="D744" s="10"/>
      <c r="E744" s="10"/>
      <c r="F744" s="16"/>
      <c r="G744" s="10"/>
      <c r="H744" s="10"/>
      <c r="I744" s="10"/>
      <c r="J744" s="10"/>
      <c r="K744" s="10"/>
      <c r="L744" s="10"/>
      <c r="M744" s="14"/>
      <c r="N744" s="17" t="str">
        <f aca="false">IF($B744="","",IF($L744="已完成",IF($M744="","",$M744-$B744),IF(设置!$B$6&lt;$B744,"",IF((设置!$B$6-$B744)&gt;=设置!$B$5,"超期"&amp;(设置!$B$6-$B744)&amp;"天","已等"&amp;(设置!$B$6-$B744)&amp;"天"))))</f>
        <v/>
      </c>
      <c r="O744" s="18" t="str">
        <f aca="false">IF(OR($D744="",$E744=""),"",COUNTIFS($D$7:$D744,$D744,$E$7:$E744,$E744))</f>
        <v/>
      </c>
      <c r="P744" s="16"/>
      <c r="Q744" s="19"/>
      <c r="R744" s="10"/>
      <c r="S744" s="16"/>
      <c r="T744" s="0" t="str">
        <f aca="false">IF(OR($D744="",单元查询!$B$3=""),"",IF($D744&lt;&gt;单元查询!$B$3,"",IF(OR(单元查询!$D$3="",$E744&amp;""=单元查询!$D$3&amp;""),IF(ISNUMBER($B744),$B744*10000,0)+ROW(),"")))</f>
        <v/>
      </c>
      <c r="U744" s="0" t="str">
        <f aca="false">IF(OR($B744="",$L744="已完成"),"",IF(ISNUMBER($B744),IF(设置!$B$6&lt;$B744,"",(设置!$B$6-$B744)*100000+ROW()),""))</f>
        <v/>
      </c>
      <c r="V744" s="0" t="str">
        <f aca="false">IF(ISNUMBER($O744),IF($O744&gt;=2,IF(COUNTIFS($D744:$D$2006,$D744,$E744:$E$2006,$E744)=1,ROW(),""),""),"")</f>
        <v/>
      </c>
    </row>
    <row r="745" customFormat="false" ht="15" hidden="false" customHeight="true" outlineLevel="0" collapsed="false">
      <c r="A745" s="13" t="str">
        <f aca="false">IF(AND($B745="",$D745="",$E745="",$F745=""),"",IF(OR($B745="",$D745="",$E745=""),"待补",IF($D745="公共区域","公",IF($D745="商铺","S",SUBSTITUTE($D745,"栋","")))&amp;"-"&amp;$E745&amp;"-"&amp;TEXT(MONTH($B745),"00")&amp;TEXT(DAY($B745),"00")&amp;IF(ISNUMBER($O745),IF($O745&gt;1,"-"&amp;TEXT($O745,"00"),""),"")))</f>
        <v/>
      </c>
      <c r="B745" s="14"/>
      <c r="C745" s="10"/>
      <c r="D745" s="10"/>
      <c r="E745" s="10"/>
      <c r="F745" s="16"/>
      <c r="G745" s="10"/>
      <c r="H745" s="10"/>
      <c r="I745" s="10"/>
      <c r="J745" s="10"/>
      <c r="K745" s="10"/>
      <c r="L745" s="10"/>
      <c r="M745" s="14"/>
      <c r="N745" s="17" t="str">
        <f aca="false">IF($B745="","",IF($L745="已完成",IF($M745="","",$M745-$B745),IF(设置!$B$6&lt;$B745,"",IF((设置!$B$6-$B745)&gt;=设置!$B$5,"超期"&amp;(设置!$B$6-$B745)&amp;"天","已等"&amp;(设置!$B$6-$B745)&amp;"天"))))</f>
        <v/>
      </c>
      <c r="O745" s="18" t="str">
        <f aca="false">IF(OR($D745="",$E745=""),"",COUNTIFS($D$7:$D745,$D745,$E$7:$E745,$E745))</f>
        <v/>
      </c>
      <c r="P745" s="16"/>
      <c r="Q745" s="19"/>
      <c r="R745" s="10"/>
      <c r="S745" s="16"/>
      <c r="T745" s="0" t="str">
        <f aca="false">IF(OR($D745="",单元查询!$B$3=""),"",IF($D745&lt;&gt;单元查询!$B$3,"",IF(OR(单元查询!$D$3="",$E745&amp;""=单元查询!$D$3&amp;""),IF(ISNUMBER($B745),$B745*10000,0)+ROW(),"")))</f>
        <v/>
      </c>
      <c r="U745" s="0" t="str">
        <f aca="false">IF(OR($B745="",$L745="已完成"),"",IF(ISNUMBER($B745),IF(设置!$B$6&lt;$B745,"",(设置!$B$6-$B745)*100000+ROW()),""))</f>
        <v/>
      </c>
      <c r="V745" s="0" t="str">
        <f aca="false">IF(ISNUMBER($O745),IF($O745&gt;=2,IF(COUNTIFS($D745:$D$2006,$D745,$E745:$E$2006,$E745)=1,ROW(),""),""),"")</f>
        <v/>
      </c>
    </row>
    <row r="746" customFormat="false" ht="15" hidden="false" customHeight="true" outlineLevel="0" collapsed="false">
      <c r="A746" s="13" t="str">
        <f aca="false">IF(AND($B746="",$D746="",$E746="",$F746=""),"",IF(OR($B746="",$D746="",$E746=""),"待补",IF($D746="公共区域","公",IF($D746="商铺","S",SUBSTITUTE($D746,"栋","")))&amp;"-"&amp;$E746&amp;"-"&amp;TEXT(MONTH($B746),"00")&amp;TEXT(DAY($B746),"00")&amp;IF(ISNUMBER($O746),IF($O746&gt;1,"-"&amp;TEXT($O746,"00"),""),"")))</f>
        <v/>
      </c>
      <c r="B746" s="14"/>
      <c r="C746" s="10"/>
      <c r="D746" s="10"/>
      <c r="E746" s="10"/>
      <c r="F746" s="16"/>
      <c r="G746" s="10"/>
      <c r="H746" s="10"/>
      <c r="I746" s="10"/>
      <c r="J746" s="10"/>
      <c r="K746" s="10"/>
      <c r="L746" s="10"/>
      <c r="M746" s="14"/>
      <c r="N746" s="17" t="str">
        <f aca="false">IF($B746="","",IF($L746="已完成",IF($M746="","",$M746-$B746),IF(设置!$B$6&lt;$B746,"",IF((设置!$B$6-$B746)&gt;=设置!$B$5,"超期"&amp;(设置!$B$6-$B746)&amp;"天","已等"&amp;(设置!$B$6-$B746)&amp;"天"))))</f>
        <v/>
      </c>
      <c r="O746" s="18" t="str">
        <f aca="false">IF(OR($D746="",$E746=""),"",COUNTIFS($D$7:$D746,$D746,$E$7:$E746,$E746))</f>
        <v/>
      </c>
      <c r="P746" s="16"/>
      <c r="Q746" s="19"/>
      <c r="R746" s="10"/>
      <c r="S746" s="16"/>
      <c r="T746" s="0" t="str">
        <f aca="false">IF(OR($D746="",单元查询!$B$3=""),"",IF($D746&lt;&gt;单元查询!$B$3,"",IF(OR(单元查询!$D$3="",$E746&amp;""=单元查询!$D$3&amp;""),IF(ISNUMBER($B746),$B746*10000,0)+ROW(),"")))</f>
        <v/>
      </c>
      <c r="U746" s="0" t="str">
        <f aca="false">IF(OR($B746="",$L746="已完成"),"",IF(ISNUMBER($B746),IF(设置!$B$6&lt;$B746,"",(设置!$B$6-$B746)*100000+ROW()),""))</f>
        <v/>
      </c>
      <c r="V746" s="0" t="str">
        <f aca="false">IF(ISNUMBER($O746),IF($O746&gt;=2,IF(COUNTIFS($D746:$D$2006,$D746,$E746:$E$2006,$E746)=1,ROW(),""),""),"")</f>
        <v/>
      </c>
    </row>
    <row r="747" customFormat="false" ht="15" hidden="false" customHeight="true" outlineLevel="0" collapsed="false">
      <c r="A747" s="13" t="str">
        <f aca="false">IF(AND($B747="",$D747="",$E747="",$F747=""),"",IF(OR($B747="",$D747="",$E747=""),"待补",IF($D747="公共区域","公",IF($D747="商铺","S",SUBSTITUTE($D747,"栋","")))&amp;"-"&amp;$E747&amp;"-"&amp;TEXT(MONTH($B747),"00")&amp;TEXT(DAY($B747),"00")&amp;IF(ISNUMBER($O747),IF($O747&gt;1,"-"&amp;TEXT($O747,"00"),""),"")))</f>
        <v/>
      </c>
      <c r="B747" s="14"/>
      <c r="C747" s="10"/>
      <c r="D747" s="10"/>
      <c r="E747" s="10"/>
      <c r="F747" s="16"/>
      <c r="G747" s="10"/>
      <c r="H747" s="10"/>
      <c r="I747" s="10"/>
      <c r="J747" s="10"/>
      <c r="K747" s="10"/>
      <c r="L747" s="10"/>
      <c r="M747" s="14"/>
      <c r="N747" s="17" t="str">
        <f aca="false">IF($B747="","",IF($L747="已完成",IF($M747="","",$M747-$B747),IF(设置!$B$6&lt;$B747,"",IF((设置!$B$6-$B747)&gt;=设置!$B$5,"超期"&amp;(设置!$B$6-$B747)&amp;"天","已等"&amp;(设置!$B$6-$B747)&amp;"天"))))</f>
        <v/>
      </c>
      <c r="O747" s="18" t="str">
        <f aca="false">IF(OR($D747="",$E747=""),"",COUNTIFS($D$7:$D747,$D747,$E$7:$E747,$E747))</f>
        <v/>
      </c>
      <c r="P747" s="16"/>
      <c r="Q747" s="19"/>
      <c r="R747" s="10"/>
      <c r="S747" s="16"/>
      <c r="T747" s="0" t="str">
        <f aca="false">IF(OR($D747="",单元查询!$B$3=""),"",IF($D747&lt;&gt;单元查询!$B$3,"",IF(OR(单元查询!$D$3="",$E747&amp;""=单元查询!$D$3&amp;""),IF(ISNUMBER($B747),$B747*10000,0)+ROW(),"")))</f>
        <v/>
      </c>
      <c r="U747" s="0" t="str">
        <f aca="false">IF(OR($B747="",$L747="已完成"),"",IF(ISNUMBER($B747),IF(设置!$B$6&lt;$B747,"",(设置!$B$6-$B747)*100000+ROW()),""))</f>
        <v/>
      </c>
      <c r="V747" s="0" t="str">
        <f aca="false">IF(ISNUMBER($O747),IF($O747&gt;=2,IF(COUNTIFS($D747:$D$2006,$D747,$E747:$E$2006,$E747)=1,ROW(),""),""),"")</f>
        <v/>
      </c>
    </row>
    <row r="748" customFormat="false" ht="15" hidden="false" customHeight="true" outlineLevel="0" collapsed="false">
      <c r="A748" s="13" t="str">
        <f aca="false">IF(AND($B748="",$D748="",$E748="",$F748=""),"",IF(OR($B748="",$D748="",$E748=""),"待补",IF($D748="公共区域","公",IF($D748="商铺","S",SUBSTITUTE($D748,"栋","")))&amp;"-"&amp;$E748&amp;"-"&amp;TEXT(MONTH($B748),"00")&amp;TEXT(DAY($B748),"00")&amp;IF(ISNUMBER($O748),IF($O748&gt;1,"-"&amp;TEXT($O748,"00"),""),"")))</f>
        <v/>
      </c>
      <c r="B748" s="14"/>
      <c r="C748" s="10"/>
      <c r="D748" s="10"/>
      <c r="E748" s="10"/>
      <c r="F748" s="16"/>
      <c r="G748" s="10"/>
      <c r="H748" s="10"/>
      <c r="I748" s="10"/>
      <c r="J748" s="10"/>
      <c r="K748" s="10"/>
      <c r="L748" s="10"/>
      <c r="M748" s="14"/>
      <c r="N748" s="17" t="str">
        <f aca="false">IF($B748="","",IF($L748="已完成",IF($M748="","",$M748-$B748),IF(设置!$B$6&lt;$B748,"",IF((设置!$B$6-$B748)&gt;=设置!$B$5,"超期"&amp;(设置!$B$6-$B748)&amp;"天","已等"&amp;(设置!$B$6-$B748)&amp;"天"))))</f>
        <v/>
      </c>
      <c r="O748" s="18" t="str">
        <f aca="false">IF(OR($D748="",$E748=""),"",COUNTIFS($D$7:$D748,$D748,$E$7:$E748,$E748))</f>
        <v/>
      </c>
      <c r="P748" s="16"/>
      <c r="Q748" s="19"/>
      <c r="R748" s="10"/>
      <c r="S748" s="16"/>
      <c r="T748" s="0" t="str">
        <f aca="false">IF(OR($D748="",单元查询!$B$3=""),"",IF($D748&lt;&gt;单元查询!$B$3,"",IF(OR(单元查询!$D$3="",$E748&amp;""=单元查询!$D$3&amp;""),IF(ISNUMBER($B748),$B748*10000,0)+ROW(),"")))</f>
        <v/>
      </c>
      <c r="U748" s="0" t="str">
        <f aca="false">IF(OR($B748="",$L748="已完成"),"",IF(ISNUMBER($B748),IF(设置!$B$6&lt;$B748,"",(设置!$B$6-$B748)*100000+ROW()),""))</f>
        <v/>
      </c>
      <c r="V748" s="0" t="str">
        <f aca="false">IF(ISNUMBER($O748),IF($O748&gt;=2,IF(COUNTIFS($D748:$D$2006,$D748,$E748:$E$2006,$E748)=1,ROW(),""),""),"")</f>
        <v/>
      </c>
    </row>
    <row r="749" customFormat="false" ht="15" hidden="false" customHeight="true" outlineLevel="0" collapsed="false">
      <c r="A749" s="13" t="str">
        <f aca="false">IF(AND($B749="",$D749="",$E749="",$F749=""),"",IF(OR($B749="",$D749="",$E749=""),"待补",IF($D749="公共区域","公",IF($D749="商铺","S",SUBSTITUTE($D749,"栋","")))&amp;"-"&amp;$E749&amp;"-"&amp;TEXT(MONTH($B749),"00")&amp;TEXT(DAY($B749),"00")&amp;IF(ISNUMBER($O749),IF($O749&gt;1,"-"&amp;TEXT($O749,"00"),""),"")))</f>
        <v/>
      </c>
      <c r="B749" s="14"/>
      <c r="C749" s="10"/>
      <c r="D749" s="10"/>
      <c r="E749" s="10"/>
      <c r="F749" s="16"/>
      <c r="G749" s="10"/>
      <c r="H749" s="10"/>
      <c r="I749" s="10"/>
      <c r="J749" s="10"/>
      <c r="K749" s="10"/>
      <c r="L749" s="10"/>
      <c r="M749" s="14"/>
      <c r="N749" s="17" t="str">
        <f aca="false">IF($B749="","",IF($L749="已完成",IF($M749="","",$M749-$B749),IF(设置!$B$6&lt;$B749,"",IF((设置!$B$6-$B749)&gt;=设置!$B$5,"超期"&amp;(设置!$B$6-$B749)&amp;"天","已等"&amp;(设置!$B$6-$B749)&amp;"天"))))</f>
        <v/>
      </c>
      <c r="O749" s="18" t="str">
        <f aca="false">IF(OR($D749="",$E749=""),"",COUNTIFS($D$7:$D749,$D749,$E$7:$E749,$E749))</f>
        <v/>
      </c>
      <c r="P749" s="16"/>
      <c r="Q749" s="19"/>
      <c r="R749" s="10"/>
      <c r="S749" s="16"/>
      <c r="T749" s="0" t="str">
        <f aca="false">IF(OR($D749="",单元查询!$B$3=""),"",IF($D749&lt;&gt;单元查询!$B$3,"",IF(OR(单元查询!$D$3="",$E749&amp;""=单元查询!$D$3&amp;""),IF(ISNUMBER($B749),$B749*10000,0)+ROW(),"")))</f>
        <v/>
      </c>
      <c r="U749" s="0" t="str">
        <f aca="false">IF(OR($B749="",$L749="已完成"),"",IF(ISNUMBER($B749),IF(设置!$B$6&lt;$B749,"",(设置!$B$6-$B749)*100000+ROW()),""))</f>
        <v/>
      </c>
      <c r="V749" s="0" t="str">
        <f aca="false">IF(ISNUMBER($O749),IF($O749&gt;=2,IF(COUNTIFS($D749:$D$2006,$D749,$E749:$E$2006,$E749)=1,ROW(),""),""),"")</f>
        <v/>
      </c>
    </row>
    <row r="750" customFormat="false" ht="15" hidden="false" customHeight="true" outlineLevel="0" collapsed="false">
      <c r="A750" s="13" t="str">
        <f aca="false">IF(AND($B750="",$D750="",$E750="",$F750=""),"",IF(OR($B750="",$D750="",$E750=""),"待补",IF($D750="公共区域","公",IF($D750="商铺","S",SUBSTITUTE($D750,"栋","")))&amp;"-"&amp;$E750&amp;"-"&amp;TEXT(MONTH($B750),"00")&amp;TEXT(DAY($B750),"00")&amp;IF(ISNUMBER($O750),IF($O750&gt;1,"-"&amp;TEXT($O750,"00"),""),"")))</f>
        <v/>
      </c>
      <c r="B750" s="14"/>
      <c r="C750" s="10"/>
      <c r="D750" s="10"/>
      <c r="E750" s="10"/>
      <c r="F750" s="16"/>
      <c r="G750" s="10"/>
      <c r="H750" s="10"/>
      <c r="I750" s="10"/>
      <c r="J750" s="10"/>
      <c r="K750" s="10"/>
      <c r="L750" s="10"/>
      <c r="M750" s="14"/>
      <c r="N750" s="17" t="str">
        <f aca="false">IF($B750="","",IF($L750="已完成",IF($M750="","",$M750-$B750),IF(设置!$B$6&lt;$B750,"",IF((设置!$B$6-$B750)&gt;=设置!$B$5,"超期"&amp;(设置!$B$6-$B750)&amp;"天","已等"&amp;(设置!$B$6-$B750)&amp;"天"))))</f>
        <v/>
      </c>
      <c r="O750" s="18" t="str">
        <f aca="false">IF(OR($D750="",$E750=""),"",COUNTIFS($D$7:$D750,$D750,$E$7:$E750,$E750))</f>
        <v/>
      </c>
      <c r="P750" s="16"/>
      <c r="Q750" s="19"/>
      <c r="R750" s="10"/>
      <c r="S750" s="16"/>
      <c r="T750" s="0" t="str">
        <f aca="false">IF(OR($D750="",单元查询!$B$3=""),"",IF($D750&lt;&gt;单元查询!$B$3,"",IF(OR(单元查询!$D$3="",$E750&amp;""=单元查询!$D$3&amp;""),IF(ISNUMBER($B750),$B750*10000,0)+ROW(),"")))</f>
        <v/>
      </c>
      <c r="U750" s="0" t="str">
        <f aca="false">IF(OR($B750="",$L750="已完成"),"",IF(ISNUMBER($B750),IF(设置!$B$6&lt;$B750,"",(设置!$B$6-$B750)*100000+ROW()),""))</f>
        <v/>
      </c>
      <c r="V750" s="0" t="str">
        <f aca="false">IF(ISNUMBER($O750),IF($O750&gt;=2,IF(COUNTIFS($D750:$D$2006,$D750,$E750:$E$2006,$E750)=1,ROW(),""),""),"")</f>
        <v/>
      </c>
    </row>
    <row r="751" customFormat="false" ht="15" hidden="false" customHeight="true" outlineLevel="0" collapsed="false">
      <c r="A751" s="13" t="str">
        <f aca="false">IF(AND($B751="",$D751="",$E751="",$F751=""),"",IF(OR($B751="",$D751="",$E751=""),"待补",IF($D751="公共区域","公",IF($D751="商铺","S",SUBSTITUTE($D751,"栋","")))&amp;"-"&amp;$E751&amp;"-"&amp;TEXT(MONTH($B751),"00")&amp;TEXT(DAY($B751),"00")&amp;IF(ISNUMBER($O751),IF($O751&gt;1,"-"&amp;TEXT($O751,"00"),""),"")))</f>
        <v/>
      </c>
      <c r="B751" s="14"/>
      <c r="C751" s="10"/>
      <c r="D751" s="10"/>
      <c r="E751" s="10"/>
      <c r="F751" s="16"/>
      <c r="G751" s="10"/>
      <c r="H751" s="10"/>
      <c r="I751" s="10"/>
      <c r="J751" s="10"/>
      <c r="K751" s="10"/>
      <c r="L751" s="10"/>
      <c r="M751" s="14"/>
      <c r="N751" s="17" t="str">
        <f aca="false">IF($B751="","",IF($L751="已完成",IF($M751="","",$M751-$B751),IF(设置!$B$6&lt;$B751,"",IF((设置!$B$6-$B751)&gt;=设置!$B$5,"超期"&amp;(设置!$B$6-$B751)&amp;"天","已等"&amp;(设置!$B$6-$B751)&amp;"天"))))</f>
        <v/>
      </c>
      <c r="O751" s="18" t="str">
        <f aca="false">IF(OR($D751="",$E751=""),"",COUNTIFS($D$7:$D751,$D751,$E$7:$E751,$E751))</f>
        <v/>
      </c>
      <c r="P751" s="16"/>
      <c r="Q751" s="19"/>
      <c r="R751" s="10"/>
      <c r="S751" s="16"/>
      <c r="T751" s="0" t="str">
        <f aca="false">IF(OR($D751="",单元查询!$B$3=""),"",IF($D751&lt;&gt;单元查询!$B$3,"",IF(OR(单元查询!$D$3="",$E751&amp;""=单元查询!$D$3&amp;""),IF(ISNUMBER($B751),$B751*10000,0)+ROW(),"")))</f>
        <v/>
      </c>
      <c r="U751" s="0" t="str">
        <f aca="false">IF(OR($B751="",$L751="已完成"),"",IF(ISNUMBER($B751),IF(设置!$B$6&lt;$B751,"",(设置!$B$6-$B751)*100000+ROW()),""))</f>
        <v/>
      </c>
      <c r="V751" s="0" t="str">
        <f aca="false">IF(ISNUMBER($O751),IF($O751&gt;=2,IF(COUNTIFS($D751:$D$2006,$D751,$E751:$E$2006,$E751)=1,ROW(),""),""),"")</f>
        <v/>
      </c>
    </row>
    <row r="752" customFormat="false" ht="15" hidden="false" customHeight="true" outlineLevel="0" collapsed="false">
      <c r="A752" s="13" t="str">
        <f aca="false">IF(AND($B752="",$D752="",$E752="",$F752=""),"",IF(OR($B752="",$D752="",$E752=""),"待补",IF($D752="公共区域","公",IF($D752="商铺","S",SUBSTITUTE($D752,"栋","")))&amp;"-"&amp;$E752&amp;"-"&amp;TEXT(MONTH($B752),"00")&amp;TEXT(DAY($B752),"00")&amp;IF(ISNUMBER($O752),IF($O752&gt;1,"-"&amp;TEXT($O752,"00"),""),"")))</f>
        <v/>
      </c>
      <c r="B752" s="14"/>
      <c r="C752" s="10"/>
      <c r="D752" s="10"/>
      <c r="E752" s="10"/>
      <c r="F752" s="16"/>
      <c r="G752" s="10"/>
      <c r="H752" s="10"/>
      <c r="I752" s="10"/>
      <c r="J752" s="10"/>
      <c r="K752" s="10"/>
      <c r="L752" s="10"/>
      <c r="M752" s="14"/>
      <c r="N752" s="17" t="str">
        <f aca="false">IF($B752="","",IF($L752="已完成",IF($M752="","",$M752-$B752),IF(设置!$B$6&lt;$B752,"",IF((设置!$B$6-$B752)&gt;=设置!$B$5,"超期"&amp;(设置!$B$6-$B752)&amp;"天","已等"&amp;(设置!$B$6-$B752)&amp;"天"))))</f>
        <v/>
      </c>
      <c r="O752" s="18" t="str">
        <f aca="false">IF(OR($D752="",$E752=""),"",COUNTIFS($D$7:$D752,$D752,$E$7:$E752,$E752))</f>
        <v/>
      </c>
      <c r="P752" s="16"/>
      <c r="Q752" s="19"/>
      <c r="R752" s="10"/>
      <c r="S752" s="16"/>
      <c r="T752" s="0" t="str">
        <f aca="false">IF(OR($D752="",单元查询!$B$3=""),"",IF($D752&lt;&gt;单元查询!$B$3,"",IF(OR(单元查询!$D$3="",$E752&amp;""=单元查询!$D$3&amp;""),IF(ISNUMBER($B752),$B752*10000,0)+ROW(),"")))</f>
        <v/>
      </c>
      <c r="U752" s="0" t="str">
        <f aca="false">IF(OR($B752="",$L752="已完成"),"",IF(ISNUMBER($B752),IF(设置!$B$6&lt;$B752,"",(设置!$B$6-$B752)*100000+ROW()),""))</f>
        <v/>
      </c>
      <c r="V752" s="0" t="str">
        <f aca="false">IF(ISNUMBER($O752),IF($O752&gt;=2,IF(COUNTIFS($D752:$D$2006,$D752,$E752:$E$2006,$E752)=1,ROW(),""),""),"")</f>
        <v/>
      </c>
    </row>
    <row r="753" customFormat="false" ht="15" hidden="false" customHeight="true" outlineLevel="0" collapsed="false">
      <c r="A753" s="13" t="str">
        <f aca="false">IF(AND($B753="",$D753="",$E753="",$F753=""),"",IF(OR($B753="",$D753="",$E753=""),"待补",IF($D753="公共区域","公",IF($D753="商铺","S",SUBSTITUTE($D753,"栋","")))&amp;"-"&amp;$E753&amp;"-"&amp;TEXT(MONTH($B753),"00")&amp;TEXT(DAY($B753),"00")&amp;IF(ISNUMBER($O753),IF($O753&gt;1,"-"&amp;TEXT($O753,"00"),""),"")))</f>
        <v/>
      </c>
      <c r="B753" s="14"/>
      <c r="C753" s="10"/>
      <c r="D753" s="10"/>
      <c r="E753" s="10"/>
      <c r="F753" s="16"/>
      <c r="G753" s="10"/>
      <c r="H753" s="10"/>
      <c r="I753" s="10"/>
      <c r="J753" s="10"/>
      <c r="K753" s="10"/>
      <c r="L753" s="10"/>
      <c r="M753" s="14"/>
      <c r="N753" s="17" t="str">
        <f aca="false">IF($B753="","",IF($L753="已完成",IF($M753="","",$M753-$B753),IF(设置!$B$6&lt;$B753,"",IF((设置!$B$6-$B753)&gt;=设置!$B$5,"超期"&amp;(设置!$B$6-$B753)&amp;"天","已等"&amp;(设置!$B$6-$B753)&amp;"天"))))</f>
        <v/>
      </c>
      <c r="O753" s="18" t="str">
        <f aca="false">IF(OR($D753="",$E753=""),"",COUNTIFS($D$7:$D753,$D753,$E$7:$E753,$E753))</f>
        <v/>
      </c>
      <c r="P753" s="16"/>
      <c r="Q753" s="19"/>
      <c r="R753" s="10"/>
      <c r="S753" s="16"/>
      <c r="T753" s="0" t="str">
        <f aca="false">IF(OR($D753="",单元查询!$B$3=""),"",IF($D753&lt;&gt;单元查询!$B$3,"",IF(OR(单元查询!$D$3="",$E753&amp;""=单元查询!$D$3&amp;""),IF(ISNUMBER($B753),$B753*10000,0)+ROW(),"")))</f>
        <v/>
      </c>
      <c r="U753" s="0" t="str">
        <f aca="false">IF(OR($B753="",$L753="已完成"),"",IF(ISNUMBER($B753),IF(设置!$B$6&lt;$B753,"",(设置!$B$6-$B753)*100000+ROW()),""))</f>
        <v/>
      </c>
      <c r="V753" s="0" t="str">
        <f aca="false">IF(ISNUMBER($O753),IF($O753&gt;=2,IF(COUNTIFS($D753:$D$2006,$D753,$E753:$E$2006,$E753)=1,ROW(),""),""),"")</f>
        <v/>
      </c>
    </row>
    <row r="754" customFormat="false" ht="15" hidden="false" customHeight="true" outlineLevel="0" collapsed="false">
      <c r="A754" s="13" t="str">
        <f aca="false">IF(AND($B754="",$D754="",$E754="",$F754=""),"",IF(OR($B754="",$D754="",$E754=""),"待补",IF($D754="公共区域","公",IF($D754="商铺","S",SUBSTITUTE($D754,"栋","")))&amp;"-"&amp;$E754&amp;"-"&amp;TEXT(MONTH($B754),"00")&amp;TEXT(DAY($B754),"00")&amp;IF(ISNUMBER($O754),IF($O754&gt;1,"-"&amp;TEXT($O754,"00"),""),"")))</f>
        <v/>
      </c>
      <c r="B754" s="14"/>
      <c r="C754" s="10"/>
      <c r="D754" s="10"/>
      <c r="E754" s="10"/>
      <c r="F754" s="16"/>
      <c r="G754" s="10"/>
      <c r="H754" s="10"/>
      <c r="I754" s="10"/>
      <c r="J754" s="10"/>
      <c r="K754" s="10"/>
      <c r="L754" s="10"/>
      <c r="M754" s="14"/>
      <c r="N754" s="17" t="str">
        <f aca="false">IF($B754="","",IF($L754="已完成",IF($M754="","",$M754-$B754),IF(设置!$B$6&lt;$B754,"",IF((设置!$B$6-$B754)&gt;=设置!$B$5,"超期"&amp;(设置!$B$6-$B754)&amp;"天","已等"&amp;(设置!$B$6-$B754)&amp;"天"))))</f>
        <v/>
      </c>
      <c r="O754" s="18" t="str">
        <f aca="false">IF(OR($D754="",$E754=""),"",COUNTIFS($D$7:$D754,$D754,$E$7:$E754,$E754))</f>
        <v/>
      </c>
      <c r="P754" s="16"/>
      <c r="Q754" s="19"/>
      <c r="R754" s="10"/>
      <c r="S754" s="16"/>
      <c r="T754" s="0" t="str">
        <f aca="false">IF(OR($D754="",单元查询!$B$3=""),"",IF($D754&lt;&gt;单元查询!$B$3,"",IF(OR(单元查询!$D$3="",$E754&amp;""=单元查询!$D$3&amp;""),IF(ISNUMBER($B754),$B754*10000,0)+ROW(),"")))</f>
        <v/>
      </c>
      <c r="U754" s="0" t="str">
        <f aca="false">IF(OR($B754="",$L754="已完成"),"",IF(ISNUMBER($B754),IF(设置!$B$6&lt;$B754,"",(设置!$B$6-$B754)*100000+ROW()),""))</f>
        <v/>
      </c>
      <c r="V754" s="0" t="str">
        <f aca="false">IF(ISNUMBER($O754),IF($O754&gt;=2,IF(COUNTIFS($D754:$D$2006,$D754,$E754:$E$2006,$E754)=1,ROW(),""),""),"")</f>
        <v/>
      </c>
    </row>
    <row r="755" customFormat="false" ht="15" hidden="false" customHeight="true" outlineLevel="0" collapsed="false">
      <c r="A755" s="13" t="str">
        <f aca="false">IF(AND($B755="",$D755="",$E755="",$F755=""),"",IF(OR($B755="",$D755="",$E755=""),"待补",IF($D755="公共区域","公",IF($D755="商铺","S",SUBSTITUTE($D755,"栋","")))&amp;"-"&amp;$E755&amp;"-"&amp;TEXT(MONTH($B755),"00")&amp;TEXT(DAY($B755),"00")&amp;IF(ISNUMBER($O755),IF($O755&gt;1,"-"&amp;TEXT($O755,"00"),""),"")))</f>
        <v/>
      </c>
      <c r="B755" s="14"/>
      <c r="C755" s="10"/>
      <c r="D755" s="10"/>
      <c r="E755" s="10"/>
      <c r="F755" s="16"/>
      <c r="G755" s="10"/>
      <c r="H755" s="10"/>
      <c r="I755" s="10"/>
      <c r="J755" s="10"/>
      <c r="K755" s="10"/>
      <c r="L755" s="10"/>
      <c r="M755" s="14"/>
      <c r="N755" s="17" t="str">
        <f aca="false">IF($B755="","",IF($L755="已完成",IF($M755="","",$M755-$B755),IF(设置!$B$6&lt;$B755,"",IF((设置!$B$6-$B755)&gt;=设置!$B$5,"超期"&amp;(设置!$B$6-$B755)&amp;"天","已等"&amp;(设置!$B$6-$B755)&amp;"天"))))</f>
        <v/>
      </c>
      <c r="O755" s="18" t="str">
        <f aca="false">IF(OR($D755="",$E755=""),"",COUNTIFS($D$7:$D755,$D755,$E$7:$E755,$E755))</f>
        <v/>
      </c>
      <c r="P755" s="16"/>
      <c r="Q755" s="19"/>
      <c r="R755" s="10"/>
      <c r="S755" s="16"/>
      <c r="T755" s="0" t="str">
        <f aca="false">IF(OR($D755="",单元查询!$B$3=""),"",IF($D755&lt;&gt;单元查询!$B$3,"",IF(OR(单元查询!$D$3="",$E755&amp;""=单元查询!$D$3&amp;""),IF(ISNUMBER($B755),$B755*10000,0)+ROW(),"")))</f>
        <v/>
      </c>
      <c r="U755" s="0" t="str">
        <f aca="false">IF(OR($B755="",$L755="已完成"),"",IF(ISNUMBER($B755),IF(设置!$B$6&lt;$B755,"",(设置!$B$6-$B755)*100000+ROW()),""))</f>
        <v/>
      </c>
      <c r="V755" s="0" t="str">
        <f aca="false">IF(ISNUMBER($O755),IF($O755&gt;=2,IF(COUNTIFS($D755:$D$2006,$D755,$E755:$E$2006,$E755)=1,ROW(),""),""),"")</f>
        <v/>
      </c>
    </row>
    <row r="756" customFormat="false" ht="15" hidden="false" customHeight="true" outlineLevel="0" collapsed="false">
      <c r="A756" s="13" t="str">
        <f aca="false">IF(AND($B756="",$D756="",$E756="",$F756=""),"",IF(OR($B756="",$D756="",$E756=""),"待补",IF($D756="公共区域","公",IF($D756="商铺","S",SUBSTITUTE($D756,"栋","")))&amp;"-"&amp;$E756&amp;"-"&amp;TEXT(MONTH($B756),"00")&amp;TEXT(DAY($B756),"00")&amp;IF(ISNUMBER($O756),IF($O756&gt;1,"-"&amp;TEXT($O756,"00"),""),"")))</f>
        <v/>
      </c>
      <c r="B756" s="14"/>
      <c r="C756" s="10"/>
      <c r="D756" s="10"/>
      <c r="E756" s="10"/>
      <c r="F756" s="16"/>
      <c r="G756" s="10"/>
      <c r="H756" s="10"/>
      <c r="I756" s="10"/>
      <c r="J756" s="10"/>
      <c r="K756" s="10"/>
      <c r="L756" s="10"/>
      <c r="M756" s="14"/>
      <c r="N756" s="17" t="str">
        <f aca="false">IF($B756="","",IF($L756="已完成",IF($M756="","",$M756-$B756),IF(设置!$B$6&lt;$B756,"",IF((设置!$B$6-$B756)&gt;=设置!$B$5,"超期"&amp;(设置!$B$6-$B756)&amp;"天","已等"&amp;(设置!$B$6-$B756)&amp;"天"))))</f>
        <v/>
      </c>
      <c r="O756" s="18" t="str">
        <f aca="false">IF(OR($D756="",$E756=""),"",COUNTIFS($D$7:$D756,$D756,$E$7:$E756,$E756))</f>
        <v/>
      </c>
      <c r="P756" s="16"/>
      <c r="Q756" s="19"/>
      <c r="R756" s="10"/>
      <c r="S756" s="16"/>
      <c r="T756" s="0" t="str">
        <f aca="false">IF(OR($D756="",单元查询!$B$3=""),"",IF($D756&lt;&gt;单元查询!$B$3,"",IF(OR(单元查询!$D$3="",$E756&amp;""=单元查询!$D$3&amp;""),IF(ISNUMBER($B756),$B756*10000,0)+ROW(),"")))</f>
        <v/>
      </c>
      <c r="U756" s="0" t="str">
        <f aca="false">IF(OR($B756="",$L756="已完成"),"",IF(ISNUMBER($B756),IF(设置!$B$6&lt;$B756,"",(设置!$B$6-$B756)*100000+ROW()),""))</f>
        <v/>
      </c>
      <c r="V756" s="0" t="str">
        <f aca="false">IF(ISNUMBER($O756),IF($O756&gt;=2,IF(COUNTIFS($D756:$D$2006,$D756,$E756:$E$2006,$E756)=1,ROW(),""),""),"")</f>
        <v/>
      </c>
    </row>
    <row r="757" customFormat="false" ht="15" hidden="false" customHeight="true" outlineLevel="0" collapsed="false">
      <c r="A757" s="13" t="str">
        <f aca="false">IF(AND($B757="",$D757="",$E757="",$F757=""),"",IF(OR($B757="",$D757="",$E757=""),"待补",IF($D757="公共区域","公",IF($D757="商铺","S",SUBSTITUTE($D757,"栋","")))&amp;"-"&amp;$E757&amp;"-"&amp;TEXT(MONTH($B757),"00")&amp;TEXT(DAY($B757),"00")&amp;IF(ISNUMBER($O757),IF($O757&gt;1,"-"&amp;TEXT($O757,"00"),""),"")))</f>
        <v/>
      </c>
      <c r="B757" s="14"/>
      <c r="C757" s="10"/>
      <c r="D757" s="10"/>
      <c r="E757" s="10"/>
      <c r="F757" s="16"/>
      <c r="G757" s="10"/>
      <c r="H757" s="10"/>
      <c r="I757" s="10"/>
      <c r="J757" s="10"/>
      <c r="K757" s="10"/>
      <c r="L757" s="10"/>
      <c r="M757" s="14"/>
      <c r="N757" s="17" t="str">
        <f aca="false">IF($B757="","",IF($L757="已完成",IF($M757="","",$M757-$B757),IF(设置!$B$6&lt;$B757,"",IF((设置!$B$6-$B757)&gt;=设置!$B$5,"超期"&amp;(设置!$B$6-$B757)&amp;"天","已等"&amp;(设置!$B$6-$B757)&amp;"天"))))</f>
        <v/>
      </c>
      <c r="O757" s="18" t="str">
        <f aca="false">IF(OR($D757="",$E757=""),"",COUNTIFS($D$7:$D757,$D757,$E$7:$E757,$E757))</f>
        <v/>
      </c>
      <c r="P757" s="16"/>
      <c r="Q757" s="19"/>
      <c r="R757" s="10"/>
      <c r="S757" s="16"/>
      <c r="T757" s="0" t="str">
        <f aca="false">IF(OR($D757="",单元查询!$B$3=""),"",IF($D757&lt;&gt;单元查询!$B$3,"",IF(OR(单元查询!$D$3="",$E757&amp;""=单元查询!$D$3&amp;""),IF(ISNUMBER($B757),$B757*10000,0)+ROW(),"")))</f>
        <v/>
      </c>
      <c r="U757" s="0" t="str">
        <f aca="false">IF(OR($B757="",$L757="已完成"),"",IF(ISNUMBER($B757),IF(设置!$B$6&lt;$B757,"",(设置!$B$6-$B757)*100000+ROW()),""))</f>
        <v/>
      </c>
      <c r="V757" s="0" t="str">
        <f aca="false">IF(ISNUMBER($O757),IF($O757&gt;=2,IF(COUNTIFS($D757:$D$2006,$D757,$E757:$E$2006,$E757)=1,ROW(),""),""),"")</f>
        <v/>
      </c>
    </row>
    <row r="758" customFormat="false" ht="15" hidden="false" customHeight="true" outlineLevel="0" collapsed="false">
      <c r="A758" s="13" t="str">
        <f aca="false">IF(AND($B758="",$D758="",$E758="",$F758=""),"",IF(OR($B758="",$D758="",$E758=""),"待补",IF($D758="公共区域","公",IF($D758="商铺","S",SUBSTITUTE($D758,"栋","")))&amp;"-"&amp;$E758&amp;"-"&amp;TEXT(MONTH($B758),"00")&amp;TEXT(DAY($B758),"00")&amp;IF(ISNUMBER($O758),IF($O758&gt;1,"-"&amp;TEXT($O758,"00"),""),"")))</f>
        <v/>
      </c>
      <c r="B758" s="14"/>
      <c r="C758" s="10"/>
      <c r="D758" s="10"/>
      <c r="E758" s="10"/>
      <c r="F758" s="16"/>
      <c r="G758" s="10"/>
      <c r="H758" s="10"/>
      <c r="I758" s="10"/>
      <c r="J758" s="10"/>
      <c r="K758" s="10"/>
      <c r="L758" s="10"/>
      <c r="M758" s="14"/>
      <c r="N758" s="17" t="str">
        <f aca="false">IF($B758="","",IF($L758="已完成",IF($M758="","",$M758-$B758),IF(设置!$B$6&lt;$B758,"",IF((设置!$B$6-$B758)&gt;=设置!$B$5,"超期"&amp;(设置!$B$6-$B758)&amp;"天","已等"&amp;(设置!$B$6-$B758)&amp;"天"))))</f>
        <v/>
      </c>
      <c r="O758" s="18" t="str">
        <f aca="false">IF(OR($D758="",$E758=""),"",COUNTIFS($D$7:$D758,$D758,$E$7:$E758,$E758))</f>
        <v/>
      </c>
      <c r="P758" s="16"/>
      <c r="Q758" s="19"/>
      <c r="R758" s="10"/>
      <c r="S758" s="16"/>
      <c r="T758" s="0" t="str">
        <f aca="false">IF(OR($D758="",单元查询!$B$3=""),"",IF($D758&lt;&gt;单元查询!$B$3,"",IF(OR(单元查询!$D$3="",$E758&amp;""=单元查询!$D$3&amp;""),IF(ISNUMBER($B758),$B758*10000,0)+ROW(),"")))</f>
        <v/>
      </c>
      <c r="U758" s="0" t="str">
        <f aca="false">IF(OR($B758="",$L758="已完成"),"",IF(ISNUMBER($B758),IF(设置!$B$6&lt;$B758,"",(设置!$B$6-$B758)*100000+ROW()),""))</f>
        <v/>
      </c>
      <c r="V758" s="0" t="str">
        <f aca="false">IF(ISNUMBER($O758),IF($O758&gt;=2,IF(COUNTIFS($D758:$D$2006,$D758,$E758:$E$2006,$E758)=1,ROW(),""),""),"")</f>
        <v/>
      </c>
    </row>
    <row r="759" customFormat="false" ht="15" hidden="false" customHeight="true" outlineLevel="0" collapsed="false">
      <c r="A759" s="13" t="str">
        <f aca="false">IF(AND($B759="",$D759="",$E759="",$F759=""),"",IF(OR($B759="",$D759="",$E759=""),"待补",IF($D759="公共区域","公",IF($D759="商铺","S",SUBSTITUTE($D759,"栋","")))&amp;"-"&amp;$E759&amp;"-"&amp;TEXT(MONTH($B759),"00")&amp;TEXT(DAY($B759),"00")&amp;IF(ISNUMBER($O759),IF($O759&gt;1,"-"&amp;TEXT($O759,"00"),""),"")))</f>
        <v/>
      </c>
      <c r="B759" s="14"/>
      <c r="C759" s="10"/>
      <c r="D759" s="10"/>
      <c r="E759" s="10"/>
      <c r="F759" s="16"/>
      <c r="G759" s="10"/>
      <c r="H759" s="10"/>
      <c r="I759" s="10"/>
      <c r="J759" s="10"/>
      <c r="K759" s="10"/>
      <c r="L759" s="10"/>
      <c r="M759" s="14"/>
      <c r="N759" s="17" t="str">
        <f aca="false">IF($B759="","",IF($L759="已完成",IF($M759="","",$M759-$B759),IF(设置!$B$6&lt;$B759,"",IF((设置!$B$6-$B759)&gt;=设置!$B$5,"超期"&amp;(设置!$B$6-$B759)&amp;"天","已等"&amp;(设置!$B$6-$B759)&amp;"天"))))</f>
        <v/>
      </c>
      <c r="O759" s="18" t="str">
        <f aca="false">IF(OR($D759="",$E759=""),"",COUNTIFS($D$7:$D759,$D759,$E$7:$E759,$E759))</f>
        <v/>
      </c>
      <c r="P759" s="16"/>
      <c r="Q759" s="19"/>
      <c r="R759" s="10"/>
      <c r="S759" s="16"/>
      <c r="T759" s="0" t="str">
        <f aca="false">IF(OR($D759="",单元查询!$B$3=""),"",IF($D759&lt;&gt;单元查询!$B$3,"",IF(OR(单元查询!$D$3="",$E759&amp;""=单元查询!$D$3&amp;""),IF(ISNUMBER($B759),$B759*10000,0)+ROW(),"")))</f>
        <v/>
      </c>
      <c r="U759" s="0" t="str">
        <f aca="false">IF(OR($B759="",$L759="已完成"),"",IF(ISNUMBER($B759),IF(设置!$B$6&lt;$B759,"",(设置!$B$6-$B759)*100000+ROW()),""))</f>
        <v/>
      </c>
      <c r="V759" s="0" t="str">
        <f aca="false">IF(ISNUMBER($O759),IF($O759&gt;=2,IF(COUNTIFS($D759:$D$2006,$D759,$E759:$E$2006,$E759)=1,ROW(),""),""),"")</f>
        <v/>
      </c>
    </row>
    <row r="760" customFormat="false" ht="15" hidden="false" customHeight="true" outlineLevel="0" collapsed="false">
      <c r="A760" s="13" t="str">
        <f aca="false">IF(AND($B760="",$D760="",$E760="",$F760=""),"",IF(OR($B760="",$D760="",$E760=""),"待补",IF($D760="公共区域","公",IF($D760="商铺","S",SUBSTITUTE($D760,"栋","")))&amp;"-"&amp;$E760&amp;"-"&amp;TEXT(MONTH($B760),"00")&amp;TEXT(DAY($B760),"00")&amp;IF(ISNUMBER($O760),IF($O760&gt;1,"-"&amp;TEXT($O760,"00"),""),"")))</f>
        <v/>
      </c>
      <c r="B760" s="14"/>
      <c r="C760" s="10"/>
      <c r="D760" s="10"/>
      <c r="E760" s="10"/>
      <c r="F760" s="16"/>
      <c r="G760" s="10"/>
      <c r="H760" s="10"/>
      <c r="I760" s="10"/>
      <c r="J760" s="10"/>
      <c r="K760" s="10"/>
      <c r="L760" s="10"/>
      <c r="M760" s="14"/>
      <c r="N760" s="17" t="str">
        <f aca="false">IF($B760="","",IF($L760="已完成",IF($M760="","",$M760-$B760),IF(设置!$B$6&lt;$B760,"",IF((设置!$B$6-$B760)&gt;=设置!$B$5,"超期"&amp;(设置!$B$6-$B760)&amp;"天","已等"&amp;(设置!$B$6-$B760)&amp;"天"))))</f>
        <v/>
      </c>
      <c r="O760" s="18" t="str">
        <f aca="false">IF(OR($D760="",$E760=""),"",COUNTIFS($D$7:$D760,$D760,$E$7:$E760,$E760))</f>
        <v/>
      </c>
      <c r="P760" s="16"/>
      <c r="Q760" s="19"/>
      <c r="R760" s="10"/>
      <c r="S760" s="16"/>
      <c r="T760" s="0" t="str">
        <f aca="false">IF(OR($D760="",单元查询!$B$3=""),"",IF($D760&lt;&gt;单元查询!$B$3,"",IF(OR(单元查询!$D$3="",$E760&amp;""=单元查询!$D$3&amp;""),IF(ISNUMBER($B760),$B760*10000,0)+ROW(),"")))</f>
        <v/>
      </c>
      <c r="U760" s="0" t="str">
        <f aca="false">IF(OR($B760="",$L760="已完成"),"",IF(ISNUMBER($B760),IF(设置!$B$6&lt;$B760,"",(设置!$B$6-$B760)*100000+ROW()),""))</f>
        <v/>
      </c>
      <c r="V760" s="0" t="str">
        <f aca="false">IF(ISNUMBER($O760),IF($O760&gt;=2,IF(COUNTIFS($D760:$D$2006,$D760,$E760:$E$2006,$E760)=1,ROW(),""),""),"")</f>
        <v/>
      </c>
    </row>
    <row r="761" customFormat="false" ht="15" hidden="false" customHeight="true" outlineLevel="0" collapsed="false">
      <c r="A761" s="13" t="str">
        <f aca="false">IF(AND($B761="",$D761="",$E761="",$F761=""),"",IF(OR($B761="",$D761="",$E761=""),"待补",IF($D761="公共区域","公",IF($D761="商铺","S",SUBSTITUTE($D761,"栋","")))&amp;"-"&amp;$E761&amp;"-"&amp;TEXT(MONTH($B761),"00")&amp;TEXT(DAY($B761),"00")&amp;IF(ISNUMBER($O761),IF($O761&gt;1,"-"&amp;TEXT($O761,"00"),""),"")))</f>
        <v/>
      </c>
      <c r="B761" s="14"/>
      <c r="C761" s="10"/>
      <c r="D761" s="10"/>
      <c r="E761" s="10"/>
      <c r="F761" s="16"/>
      <c r="G761" s="10"/>
      <c r="H761" s="10"/>
      <c r="I761" s="10"/>
      <c r="J761" s="10"/>
      <c r="K761" s="10"/>
      <c r="L761" s="10"/>
      <c r="M761" s="14"/>
      <c r="N761" s="17" t="str">
        <f aca="false">IF($B761="","",IF($L761="已完成",IF($M761="","",$M761-$B761),IF(设置!$B$6&lt;$B761,"",IF((设置!$B$6-$B761)&gt;=设置!$B$5,"超期"&amp;(设置!$B$6-$B761)&amp;"天","已等"&amp;(设置!$B$6-$B761)&amp;"天"))))</f>
        <v/>
      </c>
      <c r="O761" s="18" t="str">
        <f aca="false">IF(OR($D761="",$E761=""),"",COUNTIFS($D$7:$D761,$D761,$E$7:$E761,$E761))</f>
        <v/>
      </c>
      <c r="P761" s="16"/>
      <c r="Q761" s="19"/>
      <c r="R761" s="10"/>
      <c r="S761" s="16"/>
      <c r="T761" s="0" t="str">
        <f aca="false">IF(OR($D761="",单元查询!$B$3=""),"",IF($D761&lt;&gt;单元查询!$B$3,"",IF(OR(单元查询!$D$3="",$E761&amp;""=单元查询!$D$3&amp;""),IF(ISNUMBER($B761),$B761*10000,0)+ROW(),"")))</f>
        <v/>
      </c>
      <c r="U761" s="0" t="str">
        <f aca="false">IF(OR($B761="",$L761="已完成"),"",IF(ISNUMBER($B761),IF(设置!$B$6&lt;$B761,"",(设置!$B$6-$B761)*100000+ROW()),""))</f>
        <v/>
      </c>
      <c r="V761" s="0" t="str">
        <f aca="false">IF(ISNUMBER($O761),IF($O761&gt;=2,IF(COUNTIFS($D761:$D$2006,$D761,$E761:$E$2006,$E761)=1,ROW(),""),""),"")</f>
        <v/>
      </c>
    </row>
    <row r="762" customFormat="false" ht="15" hidden="false" customHeight="true" outlineLevel="0" collapsed="false">
      <c r="A762" s="13" t="str">
        <f aca="false">IF(AND($B762="",$D762="",$E762="",$F762=""),"",IF(OR($B762="",$D762="",$E762=""),"待补",IF($D762="公共区域","公",IF($D762="商铺","S",SUBSTITUTE($D762,"栋","")))&amp;"-"&amp;$E762&amp;"-"&amp;TEXT(MONTH($B762),"00")&amp;TEXT(DAY($B762),"00")&amp;IF(ISNUMBER($O762),IF($O762&gt;1,"-"&amp;TEXT($O762,"00"),""),"")))</f>
        <v/>
      </c>
      <c r="B762" s="14"/>
      <c r="C762" s="10"/>
      <c r="D762" s="10"/>
      <c r="E762" s="10"/>
      <c r="F762" s="16"/>
      <c r="G762" s="10"/>
      <c r="H762" s="10"/>
      <c r="I762" s="10"/>
      <c r="J762" s="10"/>
      <c r="K762" s="10"/>
      <c r="L762" s="10"/>
      <c r="M762" s="14"/>
      <c r="N762" s="17" t="str">
        <f aca="false">IF($B762="","",IF($L762="已完成",IF($M762="","",$M762-$B762),IF(设置!$B$6&lt;$B762,"",IF((设置!$B$6-$B762)&gt;=设置!$B$5,"超期"&amp;(设置!$B$6-$B762)&amp;"天","已等"&amp;(设置!$B$6-$B762)&amp;"天"))))</f>
        <v/>
      </c>
      <c r="O762" s="18" t="str">
        <f aca="false">IF(OR($D762="",$E762=""),"",COUNTIFS($D$7:$D762,$D762,$E$7:$E762,$E762))</f>
        <v/>
      </c>
      <c r="P762" s="16"/>
      <c r="Q762" s="19"/>
      <c r="R762" s="10"/>
      <c r="S762" s="16"/>
      <c r="T762" s="0" t="str">
        <f aca="false">IF(OR($D762="",单元查询!$B$3=""),"",IF($D762&lt;&gt;单元查询!$B$3,"",IF(OR(单元查询!$D$3="",$E762&amp;""=单元查询!$D$3&amp;""),IF(ISNUMBER($B762),$B762*10000,0)+ROW(),"")))</f>
        <v/>
      </c>
      <c r="U762" s="0" t="str">
        <f aca="false">IF(OR($B762="",$L762="已完成"),"",IF(ISNUMBER($B762),IF(设置!$B$6&lt;$B762,"",(设置!$B$6-$B762)*100000+ROW()),""))</f>
        <v/>
      </c>
      <c r="V762" s="0" t="str">
        <f aca="false">IF(ISNUMBER($O762),IF($O762&gt;=2,IF(COUNTIFS($D762:$D$2006,$D762,$E762:$E$2006,$E762)=1,ROW(),""),""),"")</f>
        <v/>
      </c>
    </row>
    <row r="763" customFormat="false" ht="15" hidden="false" customHeight="true" outlineLevel="0" collapsed="false">
      <c r="A763" s="13" t="str">
        <f aca="false">IF(AND($B763="",$D763="",$E763="",$F763=""),"",IF(OR($B763="",$D763="",$E763=""),"待补",IF($D763="公共区域","公",IF($D763="商铺","S",SUBSTITUTE($D763,"栋","")))&amp;"-"&amp;$E763&amp;"-"&amp;TEXT(MONTH($B763),"00")&amp;TEXT(DAY($B763),"00")&amp;IF(ISNUMBER($O763),IF($O763&gt;1,"-"&amp;TEXT($O763,"00"),""),"")))</f>
        <v/>
      </c>
      <c r="B763" s="14"/>
      <c r="C763" s="10"/>
      <c r="D763" s="10"/>
      <c r="E763" s="10"/>
      <c r="F763" s="16"/>
      <c r="G763" s="10"/>
      <c r="H763" s="10"/>
      <c r="I763" s="10"/>
      <c r="J763" s="10"/>
      <c r="K763" s="10"/>
      <c r="L763" s="10"/>
      <c r="M763" s="14"/>
      <c r="N763" s="17" t="str">
        <f aca="false">IF($B763="","",IF($L763="已完成",IF($M763="","",$M763-$B763),IF(设置!$B$6&lt;$B763,"",IF((设置!$B$6-$B763)&gt;=设置!$B$5,"超期"&amp;(设置!$B$6-$B763)&amp;"天","已等"&amp;(设置!$B$6-$B763)&amp;"天"))))</f>
        <v/>
      </c>
      <c r="O763" s="18" t="str">
        <f aca="false">IF(OR($D763="",$E763=""),"",COUNTIFS($D$7:$D763,$D763,$E$7:$E763,$E763))</f>
        <v/>
      </c>
      <c r="P763" s="16"/>
      <c r="Q763" s="19"/>
      <c r="R763" s="10"/>
      <c r="S763" s="16"/>
      <c r="T763" s="0" t="str">
        <f aca="false">IF(OR($D763="",单元查询!$B$3=""),"",IF($D763&lt;&gt;单元查询!$B$3,"",IF(OR(单元查询!$D$3="",$E763&amp;""=单元查询!$D$3&amp;""),IF(ISNUMBER($B763),$B763*10000,0)+ROW(),"")))</f>
        <v/>
      </c>
      <c r="U763" s="0" t="str">
        <f aca="false">IF(OR($B763="",$L763="已完成"),"",IF(ISNUMBER($B763),IF(设置!$B$6&lt;$B763,"",(设置!$B$6-$B763)*100000+ROW()),""))</f>
        <v/>
      </c>
      <c r="V763" s="0" t="str">
        <f aca="false">IF(ISNUMBER($O763),IF($O763&gt;=2,IF(COUNTIFS($D763:$D$2006,$D763,$E763:$E$2006,$E763)=1,ROW(),""),""),"")</f>
        <v/>
      </c>
    </row>
    <row r="764" customFormat="false" ht="15" hidden="false" customHeight="true" outlineLevel="0" collapsed="false">
      <c r="A764" s="13" t="str">
        <f aca="false">IF(AND($B764="",$D764="",$E764="",$F764=""),"",IF(OR($B764="",$D764="",$E764=""),"待补",IF($D764="公共区域","公",IF($D764="商铺","S",SUBSTITUTE($D764,"栋","")))&amp;"-"&amp;$E764&amp;"-"&amp;TEXT(MONTH($B764),"00")&amp;TEXT(DAY($B764),"00")&amp;IF(ISNUMBER($O764),IF($O764&gt;1,"-"&amp;TEXT($O764,"00"),""),"")))</f>
        <v/>
      </c>
      <c r="B764" s="14"/>
      <c r="C764" s="10"/>
      <c r="D764" s="10"/>
      <c r="E764" s="10"/>
      <c r="F764" s="16"/>
      <c r="G764" s="10"/>
      <c r="H764" s="10"/>
      <c r="I764" s="10"/>
      <c r="J764" s="10"/>
      <c r="K764" s="10"/>
      <c r="L764" s="10"/>
      <c r="M764" s="14"/>
      <c r="N764" s="17" t="str">
        <f aca="false">IF($B764="","",IF($L764="已完成",IF($M764="","",$M764-$B764),IF(设置!$B$6&lt;$B764,"",IF((设置!$B$6-$B764)&gt;=设置!$B$5,"超期"&amp;(设置!$B$6-$B764)&amp;"天","已等"&amp;(设置!$B$6-$B764)&amp;"天"))))</f>
        <v/>
      </c>
      <c r="O764" s="18" t="str">
        <f aca="false">IF(OR($D764="",$E764=""),"",COUNTIFS($D$7:$D764,$D764,$E$7:$E764,$E764))</f>
        <v/>
      </c>
      <c r="P764" s="16"/>
      <c r="Q764" s="19"/>
      <c r="R764" s="10"/>
      <c r="S764" s="16"/>
      <c r="T764" s="0" t="str">
        <f aca="false">IF(OR($D764="",单元查询!$B$3=""),"",IF($D764&lt;&gt;单元查询!$B$3,"",IF(OR(单元查询!$D$3="",$E764&amp;""=单元查询!$D$3&amp;""),IF(ISNUMBER($B764),$B764*10000,0)+ROW(),"")))</f>
        <v/>
      </c>
      <c r="U764" s="0" t="str">
        <f aca="false">IF(OR($B764="",$L764="已完成"),"",IF(ISNUMBER($B764),IF(设置!$B$6&lt;$B764,"",(设置!$B$6-$B764)*100000+ROW()),""))</f>
        <v/>
      </c>
      <c r="V764" s="0" t="str">
        <f aca="false">IF(ISNUMBER($O764),IF($O764&gt;=2,IF(COUNTIFS($D764:$D$2006,$D764,$E764:$E$2006,$E764)=1,ROW(),""),""),"")</f>
        <v/>
      </c>
    </row>
    <row r="765" customFormat="false" ht="15" hidden="false" customHeight="true" outlineLevel="0" collapsed="false">
      <c r="A765" s="13" t="str">
        <f aca="false">IF(AND($B765="",$D765="",$E765="",$F765=""),"",IF(OR($B765="",$D765="",$E765=""),"待补",IF($D765="公共区域","公",IF($D765="商铺","S",SUBSTITUTE($D765,"栋","")))&amp;"-"&amp;$E765&amp;"-"&amp;TEXT(MONTH($B765),"00")&amp;TEXT(DAY($B765),"00")&amp;IF(ISNUMBER($O765),IF($O765&gt;1,"-"&amp;TEXT($O765,"00"),""),"")))</f>
        <v/>
      </c>
      <c r="B765" s="14"/>
      <c r="C765" s="10"/>
      <c r="D765" s="10"/>
      <c r="E765" s="10"/>
      <c r="F765" s="16"/>
      <c r="G765" s="10"/>
      <c r="H765" s="10"/>
      <c r="I765" s="10"/>
      <c r="J765" s="10"/>
      <c r="K765" s="10"/>
      <c r="L765" s="10"/>
      <c r="M765" s="14"/>
      <c r="N765" s="17" t="str">
        <f aca="false">IF($B765="","",IF($L765="已完成",IF($M765="","",$M765-$B765),IF(设置!$B$6&lt;$B765,"",IF((设置!$B$6-$B765)&gt;=设置!$B$5,"超期"&amp;(设置!$B$6-$B765)&amp;"天","已等"&amp;(设置!$B$6-$B765)&amp;"天"))))</f>
        <v/>
      </c>
      <c r="O765" s="18" t="str">
        <f aca="false">IF(OR($D765="",$E765=""),"",COUNTIFS($D$7:$D765,$D765,$E$7:$E765,$E765))</f>
        <v/>
      </c>
      <c r="P765" s="16"/>
      <c r="Q765" s="19"/>
      <c r="R765" s="10"/>
      <c r="S765" s="16"/>
      <c r="T765" s="0" t="str">
        <f aca="false">IF(OR($D765="",单元查询!$B$3=""),"",IF($D765&lt;&gt;单元查询!$B$3,"",IF(OR(单元查询!$D$3="",$E765&amp;""=单元查询!$D$3&amp;""),IF(ISNUMBER($B765),$B765*10000,0)+ROW(),"")))</f>
        <v/>
      </c>
      <c r="U765" s="0" t="str">
        <f aca="false">IF(OR($B765="",$L765="已完成"),"",IF(ISNUMBER($B765),IF(设置!$B$6&lt;$B765,"",(设置!$B$6-$B765)*100000+ROW()),""))</f>
        <v/>
      </c>
      <c r="V765" s="0" t="str">
        <f aca="false">IF(ISNUMBER($O765),IF($O765&gt;=2,IF(COUNTIFS($D765:$D$2006,$D765,$E765:$E$2006,$E765)=1,ROW(),""),""),"")</f>
        <v/>
      </c>
    </row>
    <row r="766" customFormat="false" ht="15" hidden="false" customHeight="true" outlineLevel="0" collapsed="false">
      <c r="A766" s="13" t="str">
        <f aca="false">IF(AND($B766="",$D766="",$E766="",$F766=""),"",IF(OR($B766="",$D766="",$E766=""),"待补",IF($D766="公共区域","公",IF($D766="商铺","S",SUBSTITUTE($D766,"栋","")))&amp;"-"&amp;$E766&amp;"-"&amp;TEXT(MONTH($B766),"00")&amp;TEXT(DAY($B766),"00")&amp;IF(ISNUMBER($O766),IF($O766&gt;1,"-"&amp;TEXT($O766,"00"),""),"")))</f>
        <v/>
      </c>
      <c r="B766" s="14"/>
      <c r="C766" s="10"/>
      <c r="D766" s="10"/>
      <c r="E766" s="10"/>
      <c r="F766" s="16"/>
      <c r="G766" s="10"/>
      <c r="H766" s="10"/>
      <c r="I766" s="10"/>
      <c r="J766" s="10"/>
      <c r="K766" s="10"/>
      <c r="L766" s="10"/>
      <c r="M766" s="14"/>
      <c r="N766" s="17" t="str">
        <f aca="false">IF($B766="","",IF($L766="已完成",IF($M766="","",$M766-$B766),IF(设置!$B$6&lt;$B766,"",IF((设置!$B$6-$B766)&gt;=设置!$B$5,"超期"&amp;(设置!$B$6-$B766)&amp;"天","已等"&amp;(设置!$B$6-$B766)&amp;"天"))))</f>
        <v/>
      </c>
      <c r="O766" s="18" t="str">
        <f aca="false">IF(OR($D766="",$E766=""),"",COUNTIFS($D$7:$D766,$D766,$E$7:$E766,$E766))</f>
        <v/>
      </c>
      <c r="P766" s="16"/>
      <c r="Q766" s="19"/>
      <c r="R766" s="10"/>
      <c r="S766" s="16"/>
      <c r="T766" s="0" t="str">
        <f aca="false">IF(OR($D766="",单元查询!$B$3=""),"",IF($D766&lt;&gt;单元查询!$B$3,"",IF(OR(单元查询!$D$3="",$E766&amp;""=单元查询!$D$3&amp;""),IF(ISNUMBER($B766),$B766*10000,0)+ROW(),"")))</f>
        <v/>
      </c>
      <c r="U766" s="0" t="str">
        <f aca="false">IF(OR($B766="",$L766="已完成"),"",IF(ISNUMBER($B766),IF(设置!$B$6&lt;$B766,"",(设置!$B$6-$B766)*100000+ROW()),""))</f>
        <v/>
      </c>
      <c r="V766" s="0" t="str">
        <f aca="false">IF(ISNUMBER($O766),IF($O766&gt;=2,IF(COUNTIFS($D766:$D$2006,$D766,$E766:$E$2006,$E766)=1,ROW(),""),""),"")</f>
        <v/>
      </c>
    </row>
    <row r="767" customFormat="false" ht="15" hidden="false" customHeight="true" outlineLevel="0" collapsed="false">
      <c r="A767" s="13" t="str">
        <f aca="false">IF(AND($B767="",$D767="",$E767="",$F767=""),"",IF(OR($B767="",$D767="",$E767=""),"待补",IF($D767="公共区域","公",IF($D767="商铺","S",SUBSTITUTE($D767,"栋","")))&amp;"-"&amp;$E767&amp;"-"&amp;TEXT(MONTH($B767),"00")&amp;TEXT(DAY($B767),"00")&amp;IF(ISNUMBER($O767),IF($O767&gt;1,"-"&amp;TEXT($O767,"00"),""),"")))</f>
        <v/>
      </c>
      <c r="B767" s="14"/>
      <c r="C767" s="10"/>
      <c r="D767" s="10"/>
      <c r="E767" s="10"/>
      <c r="F767" s="16"/>
      <c r="G767" s="10"/>
      <c r="H767" s="10"/>
      <c r="I767" s="10"/>
      <c r="J767" s="10"/>
      <c r="K767" s="10"/>
      <c r="L767" s="10"/>
      <c r="M767" s="14"/>
      <c r="N767" s="17" t="str">
        <f aca="false">IF($B767="","",IF($L767="已完成",IF($M767="","",$M767-$B767),IF(设置!$B$6&lt;$B767,"",IF((设置!$B$6-$B767)&gt;=设置!$B$5,"超期"&amp;(设置!$B$6-$B767)&amp;"天","已等"&amp;(设置!$B$6-$B767)&amp;"天"))))</f>
        <v/>
      </c>
      <c r="O767" s="18" t="str">
        <f aca="false">IF(OR($D767="",$E767=""),"",COUNTIFS($D$7:$D767,$D767,$E$7:$E767,$E767))</f>
        <v/>
      </c>
      <c r="P767" s="16"/>
      <c r="Q767" s="19"/>
      <c r="R767" s="10"/>
      <c r="S767" s="16"/>
      <c r="T767" s="0" t="str">
        <f aca="false">IF(OR($D767="",单元查询!$B$3=""),"",IF($D767&lt;&gt;单元查询!$B$3,"",IF(OR(单元查询!$D$3="",$E767&amp;""=单元查询!$D$3&amp;""),IF(ISNUMBER($B767),$B767*10000,0)+ROW(),"")))</f>
        <v/>
      </c>
      <c r="U767" s="0" t="str">
        <f aca="false">IF(OR($B767="",$L767="已完成"),"",IF(ISNUMBER($B767),IF(设置!$B$6&lt;$B767,"",(设置!$B$6-$B767)*100000+ROW()),""))</f>
        <v/>
      </c>
      <c r="V767" s="0" t="str">
        <f aca="false">IF(ISNUMBER($O767),IF($O767&gt;=2,IF(COUNTIFS($D767:$D$2006,$D767,$E767:$E$2006,$E767)=1,ROW(),""),""),"")</f>
        <v/>
      </c>
    </row>
    <row r="768" customFormat="false" ht="15" hidden="false" customHeight="true" outlineLevel="0" collapsed="false">
      <c r="A768" s="13" t="str">
        <f aca="false">IF(AND($B768="",$D768="",$E768="",$F768=""),"",IF(OR($B768="",$D768="",$E768=""),"待补",IF($D768="公共区域","公",IF($D768="商铺","S",SUBSTITUTE($D768,"栋","")))&amp;"-"&amp;$E768&amp;"-"&amp;TEXT(MONTH($B768),"00")&amp;TEXT(DAY($B768),"00")&amp;IF(ISNUMBER($O768),IF($O768&gt;1,"-"&amp;TEXT($O768,"00"),""),"")))</f>
        <v/>
      </c>
      <c r="B768" s="14"/>
      <c r="C768" s="10"/>
      <c r="D768" s="10"/>
      <c r="E768" s="10"/>
      <c r="F768" s="16"/>
      <c r="G768" s="10"/>
      <c r="H768" s="10"/>
      <c r="I768" s="10"/>
      <c r="J768" s="10"/>
      <c r="K768" s="10"/>
      <c r="L768" s="10"/>
      <c r="M768" s="14"/>
      <c r="N768" s="17" t="str">
        <f aca="false">IF($B768="","",IF($L768="已完成",IF($M768="","",$M768-$B768),IF(设置!$B$6&lt;$B768,"",IF((设置!$B$6-$B768)&gt;=设置!$B$5,"超期"&amp;(设置!$B$6-$B768)&amp;"天","已等"&amp;(设置!$B$6-$B768)&amp;"天"))))</f>
        <v/>
      </c>
      <c r="O768" s="18" t="str">
        <f aca="false">IF(OR($D768="",$E768=""),"",COUNTIFS($D$7:$D768,$D768,$E$7:$E768,$E768))</f>
        <v/>
      </c>
      <c r="P768" s="16"/>
      <c r="Q768" s="19"/>
      <c r="R768" s="10"/>
      <c r="S768" s="16"/>
      <c r="T768" s="0" t="str">
        <f aca="false">IF(OR($D768="",单元查询!$B$3=""),"",IF($D768&lt;&gt;单元查询!$B$3,"",IF(OR(单元查询!$D$3="",$E768&amp;""=单元查询!$D$3&amp;""),IF(ISNUMBER($B768),$B768*10000,0)+ROW(),"")))</f>
        <v/>
      </c>
      <c r="U768" s="0" t="str">
        <f aca="false">IF(OR($B768="",$L768="已完成"),"",IF(ISNUMBER($B768),IF(设置!$B$6&lt;$B768,"",(设置!$B$6-$B768)*100000+ROW()),""))</f>
        <v/>
      </c>
      <c r="V768" s="0" t="str">
        <f aca="false">IF(ISNUMBER($O768),IF($O768&gt;=2,IF(COUNTIFS($D768:$D$2006,$D768,$E768:$E$2006,$E768)=1,ROW(),""),""),"")</f>
        <v/>
      </c>
    </row>
    <row r="769" customFormat="false" ht="15" hidden="false" customHeight="true" outlineLevel="0" collapsed="false">
      <c r="A769" s="13" t="str">
        <f aca="false">IF(AND($B769="",$D769="",$E769="",$F769=""),"",IF(OR($B769="",$D769="",$E769=""),"待补",IF($D769="公共区域","公",IF($D769="商铺","S",SUBSTITUTE($D769,"栋","")))&amp;"-"&amp;$E769&amp;"-"&amp;TEXT(MONTH($B769),"00")&amp;TEXT(DAY($B769),"00")&amp;IF(ISNUMBER($O769),IF($O769&gt;1,"-"&amp;TEXT($O769,"00"),""),"")))</f>
        <v/>
      </c>
      <c r="B769" s="14"/>
      <c r="C769" s="10"/>
      <c r="D769" s="10"/>
      <c r="E769" s="10"/>
      <c r="F769" s="16"/>
      <c r="G769" s="10"/>
      <c r="H769" s="10"/>
      <c r="I769" s="10"/>
      <c r="J769" s="10"/>
      <c r="K769" s="10"/>
      <c r="L769" s="10"/>
      <c r="M769" s="14"/>
      <c r="N769" s="17" t="str">
        <f aca="false">IF($B769="","",IF($L769="已完成",IF($M769="","",$M769-$B769),IF(设置!$B$6&lt;$B769,"",IF((设置!$B$6-$B769)&gt;=设置!$B$5,"超期"&amp;(设置!$B$6-$B769)&amp;"天","已等"&amp;(设置!$B$6-$B769)&amp;"天"))))</f>
        <v/>
      </c>
      <c r="O769" s="18" t="str">
        <f aca="false">IF(OR($D769="",$E769=""),"",COUNTIFS($D$7:$D769,$D769,$E$7:$E769,$E769))</f>
        <v/>
      </c>
      <c r="P769" s="16"/>
      <c r="Q769" s="19"/>
      <c r="R769" s="10"/>
      <c r="S769" s="16"/>
      <c r="T769" s="0" t="str">
        <f aca="false">IF(OR($D769="",单元查询!$B$3=""),"",IF($D769&lt;&gt;单元查询!$B$3,"",IF(OR(单元查询!$D$3="",$E769&amp;""=单元查询!$D$3&amp;""),IF(ISNUMBER($B769),$B769*10000,0)+ROW(),"")))</f>
        <v/>
      </c>
      <c r="U769" s="0" t="str">
        <f aca="false">IF(OR($B769="",$L769="已完成"),"",IF(ISNUMBER($B769),IF(设置!$B$6&lt;$B769,"",(设置!$B$6-$B769)*100000+ROW()),""))</f>
        <v/>
      </c>
      <c r="V769" s="0" t="str">
        <f aca="false">IF(ISNUMBER($O769),IF($O769&gt;=2,IF(COUNTIFS($D769:$D$2006,$D769,$E769:$E$2006,$E769)=1,ROW(),""),""),"")</f>
        <v/>
      </c>
    </row>
    <row r="770" customFormat="false" ht="15" hidden="false" customHeight="true" outlineLevel="0" collapsed="false">
      <c r="A770" s="13" t="str">
        <f aca="false">IF(AND($B770="",$D770="",$E770="",$F770=""),"",IF(OR($B770="",$D770="",$E770=""),"待补",IF($D770="公共区域","公",IF($D770="商铺","S",SUBSTITUTE($D770,"栋","")))&amp;"-"&amp;$E770&amp;"-"&amp;TEXT(MONTH($B770),"00")&amp;TEXT(DAY($B770),"00")&amp;IF(ISNUMBER($O770),IF($O770&gt;1,"-"&amp;TEXT($O770,"00"),""),"")))</f>
        <v/>
      </c>
      <c r="B770" s="14"/>
      <c r="C770" s="10"/>
      <c r="D770" s="10"/>
      <c r="E770" s="10"/>
      <c r="F770" s="16"/>
      <c r="G770" s="10"/>
      <c r="H770" s="10"/>
      <c r="I770" s="10"/>
      <c r="J770" s="10"/>
      <c r="K770" s="10"/>
      <c r="L770" s="10"/>
      <c r="M770" s="14"/>
      <c r="N770" s="17" t="str">
        <f aca="false">IF($B770="","",IF($L770="已完成",IF($M770="","",$M770-$B770),IF(设置!$B$6&lt;$B770,"",IF((设置!$B$6-$B770)&gt;=设置!$B$5,"超期"&amp;(设置!$B$6-$B770)&amp;"天","已等"&amp;(设置!$B$6-$B770)&amp;"天"))))</f>
        <v/>
      </c>
      <c r="O770" s="18" t="str">
        <f aca="false">IF(OR($D770="",$E770=""),"",COUNTIFS($D$7:$D770,$D770,$E$7:$E770,$E770))</f>
        <v/>
      </c>
      <c r="P770" s="16"/>
      <c r="Q770" s="19"/>
      <c r="R770" s="10"/>
      <c r="S770" s="16"/>
      <c r="T770" s="0" t="str">
        <f aca="false">IF(OR($D770="",单元查询!$B$3=""),"",IF($D770&lt;&gt;单元查询!$B$3,"",IF(OR(单元查询!$D$3="",$E770&amp;""=单元查询!$D$3&amp;""),IF(ISNUMBER($B770),$B770*10000,0)+ROW(),"")))</f>
        <v/>
      </c>
      <c r="U770" s="0" t="str">
        <f aca="false">IF(OR($B770="",$L770="已完成"),"",IF(ISNUMBER($B770),IF(设置!$B$6&lt;$B770,"",(设置!$B$6-$B770)*100000+ROW()),""))</f>
        <v/>
      </c>
      <c r="V770" s="0" t="str">
        <f aca="false">IF(ISNUMBER($O770),IF($O770&gt;=2,IF(COUNTIFS($D770:$D$2006,$D770,$E770:$E$2006,$E770)=1,ROW(),""),""),"")</f>
        <v/>
      </c>
    </row>
    <row r="771" customFormat="false" ht="15" hidden="false" customHeight="true" outlineLevel="0" collapsed="false">
      <c r="A771" s="13" t="str">
        <f aca="false">IF(AND($B771="",$D771="",$E771="",$F771=""),"",IF(OR($B771="",$D771="",$E771=""),"待补",IF($D771="公共区域","公",IF($D771="商铺","S",SUBSTITUTE($D771,"栋","")))&amp;"-"&amp;$E771&amp;"-"&amp;TEXT(MONTH($B771),"00")&amp;TEXT(DAY($B771),"00")&amp;IF(ISNUMBER($O771),IF($O771&gt;1,"-"&amp;TEXT($O771,"00"),""),"")))</f>
        <v/>
      </c>
      <c r="B771" s="14"/>
      <c r="C771" s="10"/>
      <c r="D771" s="10"/>
      <c r="E771" s="10"/>
      <c r="F771" s="16"/>
      <c r="G771" s="10"/>
      <c r="H771" s="10"/>
      <c r="I771" s="10"/>
      <c r="J771" s="10"/>
      <c r="K771" s="10"/>
      <c r="L771" s="10"/>
      <c r="M771" s="14"/>
      <c r="N771" s="17" t="str">
        <f aca="false">IF($B771="","",IF($L771="已完成",IF($M771="","",$M771-$B771),IF(设置!$B$6&lt;$B771,"",IF((设置!$B$6-$B771)&gt;=设置!$B$5,"超期"&amp;(设置!$B$6-$B771)&amp;"天","已等"&amp;(设置!$B$6-$B771)&amp;"天"))))</f>
        <v/>
      </c>
      <c r="O771" s="18" t="str">
        <f aca="false">IF(OR($D771="",$E771=""),"",COUNTIFS($D$7:$D771,$D771,$E$7:$E771,$E771))</f>
        <v/>
      </c>
      <c r="P771" s="16"/>
      <c r="Q771" s="19"/>
      <c r="R771" s="10"/>
      <c r="S771" s="16"/>
      <c r="T771" s="0" t="str">
        <f aca="false">IF(OR($D771="",单元查询!$B$3=""),"",IF($D771&lt;&gt;单元查询!$B$3,"",IF(OR(单元查询!$D$3="",$E771&amp;""=单元查询!$D$3&amp;""),IF(ISNUMBER($B771),$B771*10000,0)+ROW(),"")))</f>
        <v/>
      </c>
      <c r="U771" s="0" t="str">
        <f aca="false">IF(OR($B771="",$L771="已完成"),"",IF(ISNUMBER($B771),IF(设置!$B$6&lt;$B771,"",(设置!$B$6-$B771)*100000+ROW()),""))</f>
        <v/>
      </c>
      <c r="V771" s="0" t="str">
        <f aca="false">IF(ISNUMBER($O771),IF($O771&gt;=2,IF(COUNTIFS($D771:$D$2006,$D771,$E771:$E$2006,$E771)=1,ROW(),""),""),"")</f>
        <v/>
      </c>
    </row>
    <row r="772" customFormat="false" ht="15" hidden="false" customHeight="true" outlineLevel="0" collapsed="false">
      <c r="A772" s="13" t="str">
        <f aca="false">IF(AND($B772="",$D772="",$E772="",$F772=""),"",IF(OR($B772="",$D772="",$E772=""),"待补",IF($D772="公共区域","公",IF($D772="商铺","S",SUBSTITUTE($D772,"栋","")))&amp;"-"&amp;$E772&amp;"-"&amp;TEXT(MONTH($B772),"00")&amp;TEXT(DAY($B772),"00")&amp;IF(ISNUMBER($O772),IF($O772&gt;1,"-"&amp;TEXT($O772,"00"),""),"")))</f>
        <v/>
      </c>
      <c r="B772" s="14"/>
      <c r="C772" s="10"/>
      <c r="D772" s="10"/>
      <c r="E772" s="10"/>
      <c r="F772" s="16"/>
      <c r="G772" s="10"/>
      <c r="H772" s="10"/>
      <c r="I772" s="10"/>
      <c r="J772" s="10"/>
      <c r="K772" s="10"/>
      <c r="L772" s="10"/>
      <c r="M772" s="14"/>
      <c r="N772" s="17" t="str">
        <f aca="false">IF($B772="","",IF($L772="已完成",IF($M772="","",$M772-$B772),IF(设置!$B$6&lt;$B772,"",IF((设置!$B$6-$B772)&gt;=设置!$B$5,"超期"&amp;(设置!$B$6-$B772)&amp;"天","已等"&amp;(设置!$B$6-$B772)&amp;"天"))))</f>
        <v/>
      </c>
      <c r="O772" s="18" t="str">
        <f aca="false">IF(OR($D772="",$E772=""),"",COUNTIFS($D$7:$D772,$D772,$E$7:$E772,$E772))</f>
        <v/>
      </c>
      <c r="P772" s="16"/>
      <c r="Q772" s="19"/>
      <c r="R772" s="10"/>
      <c r="S772" s="16"/>
      <c r="T772" s="0" t="str">
        <f aca="false">IF(OR($D772="",单元查询!$B$3=""),"",IF($D772&lt;&gt;单元查询!$B$3,"",IF(OR(单元查询!$D$3="",$E772&amp;""=单元查询!$D$3&amp;""),IF(ISNUMBER($B772),$B772*10000,0)+ROW(),"")))</f>
        <v/>
      </c>
      <c r="U772" s="0" t="str">
        <f aca="false">IF(OR($B772="",$L772="已完成"),"",IF(ISNUMBER($B772),IF(设置!$B$6&lt;$B772,"",(设置!$B$6-$B772)*100000+ROW()),""))</f>
        <v/>
      </c>
      <c r="V772" s="0" t="str">
        <f aca="false">IF(ISNUMBER($O772),IF($O772&gt;=2,IF(COUNTIFS($D772:$D$2006,$D772,$E772:$E$2006,$E772)=1,ROW(),""),""),"")</f>
        <v/>
      </c>
    </row>
    <row r="773" customFormat="false" ht="15" hidden="false" customHeight="true" outlineLevel="0" collapsed="false">
      <c r="A773" s="13" t="str">
        <f aca="false">IF(AND($B773="",$D773="",$E773="",$F773=""),"",IF(OR($B773="",$D773="",$E773=""),"待补",IF($D773="公共区域","公",IF($D773="商铺","S",SUBSTITUTE($D773,"栋","")))&amp;"-"&amp;$E773&amp;"-"&amp;TEXT(MONTH($B773),"00")&amp;TEXT(DAY($B773),"00")&amp;IF(ISNUMBER($O773),IF($O773&gt;1,"-"&amp;TEXT($O773,"00"),""),"")))</f>
        <v/>
      </c>
      <c r="B773" s="14"/>
      <c r="C773" s="10"/>
      <c r="D773" s="10"/>
      <c r="E773" s="10"/>
      <c r="F773" s="16"/>
      <c r="G773" s="10"/>
      <c r="H773" s="10"/>
      <c r="I773" s="10"/>
      <c r="J773" s="10"/>
      <c r="K773" s="10"/>
      <c r="L773" s="10"/>
      <c r="M773" s="14"/>
      <c r="N773" s="17" t="str">
        <f aca="false">IF($B773="","",IF($L773="已完成",IF($M773="","",$M773-$B773),IF(设置!$B$6&lt;$B773,"",IF((设置!$B$6-$B773)&gt;=设置!$B$5,"超期"&amp;(设置!$B$6-$B773)&amp;"天","已等"&amp;(设置!$B$6-$B773)&amp;"天"))))</f>
        <v/>
      </c>
      <c r="O773" s="18" t="str">
        <f aca="false">IF(OR($D773="",$E773=""),"",COUNTIFS($D$7:$D773,$D773,$E$7:$E773,$E773))</f>
        <v/>
      </c>
      <c r="P773" s="16"/>
      <c r="Q773" s="19"/>
      <c r="R773" s="10"/>
      <c r="S773" s="16"/>
      <c r="T773" s="0" t="str">
        <f aca="false">IF(OR($D773="",单元查询!$B$3=""),"",IF($D773&lt;&gt;单元查询!$B$3,"",IF(OR(单元查询!$D$3="",$E773&amp;""=单元查询!$D$3&amp;""),IF(ISNUMBER($B773),$B773*10000,0)+ROW(),"")))</f>
        <v/>
      </c>
      <c r="U773" s="0" t="str">
        <f aca="false">IF(OR($B773="",$L773="已完成"),"",IF(ISNUMBER($B773),IF(设置!$B$6&lt;$B773,"",(设置!$B$6-$B773)*100000+ROW()),""))</f>
        <v/>
      </c>
      <c r="V773" s="0" t="str">
        <f aca="false">IF(ISNUMBER($O773),IF($O773&gt;=2,IF(COUNTIFS($D773:$D$2006,$D773,$E773:$E$2006,$E773)=1,ROW(),""),""),"")</f>
        <v/>
      </c>
    </row>
    <row r="774" customFormat="false" ht="15" hidden="false" customHeight="true" outlineLevel="0" collapsed="false">
      <c r="A774" s="13" t="str">
        <f aca="false">IF(AND($B774="",$D774="",$E774="",$F774=""),"",IF(OR($B774="",$D774="",$E774=""),"待补",IF($D774="公共区域","公",IF($D774="商铺","S",SUBSTITUTE($D774,"栋","")))&amp;"-"&amp;$E774&amp;"-"&amp;TEXT(MONTH($B774),"00")&amp;TEXT(DAY($B774),"00")&amp;IF(ISNUMBER($O774),IF($O774&gt;1,"-"&amp;TEXT($O774,"00"),""),"")))</f>
        <v/>
      </c>
      <c r="B774" s="14"/>
      <c r="C774" s="10"/>
      <c r="D774" s="10"/>
      <c r="E774" s="10"/>
      <c r="F774" s="16"/>
      <c r="G774" s="10"/>
      <c r="H774" s="10"/>
      <c r="I774" s="10"/>
      <c r="J774" s="10"/>
      <c r="K774" s="10"/>
      <c r="L774" s="10"/>
      <c r="M774" s="14"/>
      <c r="N774" s="17" t="str">
        <f aca="false">IF($B774="","",IF($L774="已完成",IF($M774="","",$M774-$B774),IF(设置!$B$6&lt;$B774,"",IF((设置!$B$6-$B774)&gt;=设置!$B$5,"超期"&amp;(设置!$B$6-$B774)&amp;"天","已等"&amp;(设置!$B$6-$B774)&amp;"天"))))</f>
        <v/>
      </c>
      <c r="O774" s="18" t="str">
        <f aca="false">IF(OR($D774="",$E774=""),"",COUNTIFS($D$7:$D774,$D774,$E$7:$E774,$E774))</f>
        <v/>
      </c>
      <c r="P774" s="16"/>
      <c r="Q774" s="19"/>
      <c r="R774" s="10"/>
      <c r="S774" s="16"/>
      <c r="T774" s="0" t="str">
        <f aca="false">IF(OR($D774="",单元查询!$B$3=""),"",IF($D774&lt;&gt;单元查询!$B$3,"",IF(OR(单元查询!$D$3="",$E774&amp;""=单元查询!$D$3&amp;""),IF(ISNUMBER($B774),$B774*10000,0)+ROW(),"")))</f>
        <v/>
      </c>
      <c r="U774" s="0" t="str">
        <f aca="false">IF(OR($B774="",$L774="已完成"),"",IF(ISNUMBER($B774),IF(设置!$B$6&lt;$B774,"",(设置!$B$6-$B774)*100000+ROW()),""))</f>
        <v/>
      </c>
      <c r="V774" s="0" t="str">
        <f aca="false">IF(ISNUMBER($O774),IF($O774&gt;=2,IF(COUNTIFS($D774:$D$2006,$D774,$E774:$E$2006,$E774)=1,ROW(),""),""),"")</f>
        <v/>
      </c>
    </row>
    <row r="775" customFormat="false" ht="15" hidden="false" customHeight="true" outlineLevel="0" collapsed="false">
      <c r="A775" s="13" t="str">
        <f aca="false">IF(AND($B775="",$D775="",$E775="",$F775=""),"",IF(OR($B775="",$D775="",$E775=""),"待补",IF($D775="公共区域","公",IF($D775="商铺","S",SUBSTITUTE($D775,"栋","")))&amp;"-"&amp;$E775&amp;"-"&amp;TEXT(MONTH($B775),"00")&amp;TEXT(DAY($B775),"00")&amp;IF(ISNUMBER($O775),IF($O775&gt;1,"-"&amp;TEXT($O775,"00"),""),"")))</f>
        <v/>
      </c>
      <c r="B775" s="14"/>
      <c r="C775" s="10"/>
      <c r="D775" s="10"/>
      <c r="E775" s="10"/>
      <c r="F775" s="16"/>
      <c r="G775" s="10"/>
      <c r="H775" s="10"/>
      <c r="I775" s="10"/>
      <c r="J775" s="10"/>
      <c r="K775" s="10"/>
      <c r="L775" s="10"/>
      <c r="M775" s="14"/>
      <c r="N775" s="17" t="str">
        <f aca="false">IF($B775="","",IF($L775="已完成",IF($M775="","",$M775-$B775),IF(设置!$B$6&lt;$B775,"",IF((设置!$B$6-$B775)&gt;=设置!$B$5,"超期"&amp;(设置!$B$6-$B775)&amp;"天","已等"&amp;(设置!$B$6-$B775)&amp;"天"))))</f>
        <v/>
      </c>
      <c r="O775" s="18" t="str">
        <f aca="false">IF(OR($D775="",$E775=""),"",COUNTIFS($D$7:$D775,$D775,$E$7:$E775,$E775))</f>
        <v/>
      </c>
      <c r="P775" s="16"/>
      <c r="Q775" s="19"/>
      <c r="R775" s="10"/>
      <c r="S775" s="16"/>
      <c r="T775" s="0" t="str">
        <f aca="false">IF(OR($D775="",单元查询!$B$3=""),"",IF($D775&lt;&gt;单元查询!$B$3,"",IF(OR(单元查询!$D$3="",$E775&amp;""=单元查询!$D$3&amp;""),IF(ISNUMBER($B775),$B775*10000,0)+ROW(),"")))</f>
        <v/>
      </c>
      <c r="U775" s="0" t="str">
        <f aca="false">IF(OR($B775="",$L775="已完成"),"",IF(ISNUMBER($B775),IF(设置!$B$6&lt;$B775,"",(设置!$B$6-$B775)*100000+ROW()),""))</f>
        <v/>
      </c>
      <c r="V775" s="0" t="str">
        <f aca="false">IF(ISNUMBER($O775),IF($O775&gt;=2,IF(COUNTIFS($D775:$D$2006,$D775,$E775:$E$2006,$E775)=1,ROW(),""),""),"")</f>
        <v/>
      </c>
    </row>
    <row r="776" customFormat="false" ht="15" hidden="false" customHeight="true" outlineLevel="0" collapsed="false">
      <c r="A776" s="13" t="str">
        <f aca="false">IF(AND($B776="",$D776="",$E776="",$F776=""),"",IF(OR($B776="",$D776="",$E776=""),"待补",IF($D776="公共区域","公",IF($D776="商铺","S",SUBSTITUTE($D776,"栋","")))&amp;"-"&amp;$E776&amp;"-"&amp;TEXT(MONTH($B776),"00")&amp;TEXT(DAY($B776),"00")&amp;IF(ISNUMBER($O776),IF($O776&gt;1,"-"&amp;TEXT($O776,"00"),""),"")))</f>
        <v/>
      </c>
      <c r="B776" s="14"/>
      <c r="C776" s="10"/>
      <c r="D776" s="10"/>
      <c r="E776" s="10"/>
      <c r="F776" s="16"/>
      <c r="G776" s="10"/>
      <c r="H776" s="10"/>
      <c r="I776" s="10"/>
      <c r="J776" s="10"/>
      <c r="K776" s="10"/>
      <c r="L776" s="10"/>
      <c r="M776" s="14"/>
      <c r="N776" s="17" t="str">
        <f aca="false">IF($B776="","",IF($L776="已完成",IF($M776="","",$M776-$B776),IF(设置!$B$6&lt;$B776,"",IF((设置!$B$6-$B776)&gt;=设置!$B$5,"超期"&amp;(设置!$B$6-$B776)&amp;"天","已等"&amp;(设置!$B$6-$B776)&amp;"天"))))</f>
        <v/>
      </c>
      <c r="O776" s="18" t="str">
        <f aca="false">IF(OR($D776="",$E776=""),"",COUNTIFS($D$7:$D776,$D776,$E$7:$E776,$E776))</f>
        <v/>
      </c>
      <c r="P776" s="16"/>
      <c r="Q776" s="19"/>
      <c r="R776" s="10"/>
      <c r="S776" s="16"/>
      <c r="T776" s="0" t="str">
        <f aca="false">IF(OR($D776="",单元查询!$B$3=""),"",IF($D776&lt;&gt;单元查询!$B$3,"",IF(OR(单元查询!$D$3="",$E776&amp;""=单元查询!$D$3&amp;""),IF(ISNUMBER($B776),$B776*10000,0)+ROW(),"")))</f>
        <v/>
      </c>
      <c r="U776" s="0" t="str">
        <f aca="false">IF(OR($B776="",$L776="已完成"),"",IF(ISNUMBER($B776),IF(设置!$B$6&lt;$B776,"",(设置!$B$6-$B776)*100000+ROW()),""))</f>
        <v/>
      </c>
      <c r="V776" s="0" t="str">
        <f aca="false">IF(ISNUMBER($O776),IF($O776&gt;=2,IF(COUNTIFS($D776:$D$2006,$D776,$E776:$E$2006,$E776)=1,ROW(),""),""),"")</f>
        <v/>
      </c>
    </row>
    <row r="777" customFormat="false" ht="15" hidden="false" customHeight="true" outlineLevel="0" collapsed="false">
      <c r="A777" s="13" t="str">
        <f aca="false">IF(AND($B777="",$D777="",$E777="",$F777=""),"",IF(OR($B777="",$D777="",$E777=""),"待补",IF($D777="公共区域","公",IF($D777="商铺","S",SUBSTITUTE($D777,"栋","")))&amp;"-"&amp;$E777&amp;"-"&amp;TEXT(MONTH($B777),"00")&amp;TEXT(DAY($B777),"00")&amp;IF(ISNUMBER($O777),IF($O777&gt;1,"-"&amp;TEXT($O777,"00"),""),"")))</f>
        <v/>
      </c>
      <c r="B777" s="14"/>
      <c r="C777" s="10"/>
      <c r="D777" s="10"/>
      <c r="E777" s="10"/>
      <c r="F777" s="16"/>
      <c r="G777" s="10"/>
      <c r="H777" s="10"/>
      <c r="I777" s="10"/>
      <c r="J777" s="10"/>
      <c r="K777" s="10"/>
      <c r="L777" s="10"/>
      <c r="M777" s="14"/>
      <c r="N777" s="17" t="str">
        <f aca="false">IF($B777="","",IF($L777="已完成",IF($M777="","",$M777-$B777),IF(设置!$B$6&lt;$B777,"",IF((设置!$B$6-$B777)&gt;=设置!$B$5,"超期"&amp;(设置!$B$6-$B777)&amp;"天","已等"&amp;(设置!$B$6-$B777)&amp;"天"))))</f>
        <v/>
      </c>
      <c r="O777" s="18" t="str">
        <f aca="false">IF(OR($D777="",$E777=""),"",COUNTIFS($D$7:$D777,$D777,$E$7:$E777,$E777))</f>
        <v/>
      </c>
      <c r="P777" s="16"/>
      <c r="Q777" s="19"/>
      <c r="R777" s="10"/>
      <c r="S777" s="16"/>
      <c r="T777" s="0" t="str">
        <f aca="false">IF(OR($D777="",单元查询!$B$3=""),"",IF($D777&lt;&gt;单元查询!$B$3,"",IF(OR(单元查询!$D$3="",$E777&amp;""=单元查询!$D$3&amp;""),IF(ISNUMBER($B777),$B777*10000,0)+ROW(),"")))</f>
        <v/>
      </c>
      <c r="U777" s="0" t="str">
        <f aca="false">IF(OR($B777="",$L777="已完成"),"",IF(ISNUMBER($B777),IF(设置!$B$6&lt;$B777,"",(设置!$B$6-$B777)*100000+ROW()),""))</f>
        <v/>
      </c>
      <c r="V777" s="0" t="str">
        <f aca="false">IF(ISNUMBER($O777),IF($O777&gt;=2,IF(COUNTIFS($D777:$D$2006,$D777,$E777:$E$2006,$E777)=1,ROW(),""),""),"")</f>
        <v/>
      </c>
    </row>
    <row r="778" customFormat="false" ht="15" hidden="false" customHeight="true" outlineLevel="0" collapsed="false">
      <c r="A778" s="13" t="str">
        <f aca="false">IF(AND($B778="",$D778="",$E778="",$F778=""),"",IF(OR($B778="",$D778="",$E778=""),"待补",IF($D778="公共区域","公",IF($D778="商铺","S",SUBSTITUTE($D778,"栋","")))&amp;"-"&amp;$E778&amp;"-"&amp;TEXT(MONTH($B778),"00")&amp;TEXT(DAY($B778),"00")&amp;IF(ISNUMBER($O778),IF($O778&gt;1,"-"&amp;TEXT($O778,"00"),""),"")))</f>
        <v/>
      </c>
      <c r="B778" s="14"/>
      <c r="C778" s="10"/>
      <c r="D778" s="10"/>
      <c r="E778" s="10"/>
      <c r="F778" s="16"/>
      <c r="G778" s="10"/>
      <c r="H778" s="10"/>
      <c r="I778" s="10"/>
      <c r="J778" s="10"/>
      <c r="K778" s="10"/>
      <c r="L778" s="10"/>
      <c r="M778" s="14"/>
      <c r="N778" s="17" t="str">
        <f aca="false">IF($B778="","",IF($L778="已完成",IF($M778="","",$M778-$B778),IF(设置!$B$6&lt;$B778,"",IF((设置!$B$6-$B778)&gt;=设置!$B$5,"超期"&amp;(设置!$B$6-$B778)&amp;"天","已等"&amp;(设置!$B$6-$B778)&amp;"天"))))</f>
        <v/>
      </c>
      <c r="O778" s="18" t="str">
        <f aca="false">IF(OR($D778="",$E778=""),"",COUNTIFS($D$7:$D778,$D778,$E$7:$E778,$E778))</f>
        <v/>
      </c>
      <c r="P778" s="16"/>
      <c r="Q778" s="19"/>
      <c r="R778" s="10"/>
      <c r="S778" s="16"/>
      <c r="T778" s="0" t="str">
        <f aca="false">IF(OR($D778="",单元查询!$B$3=""),"",IF($D778&lt;&gt;单元查询!$B$3,"",IF(OR(单元查询!$D$3="",$E778&amp;""=单元查询!$D$3&amp;""),IF(ISNUMBER($B778),$B778*10000,0)+ROW(),"")))</f>
        <v/>
      </c>
      <c r="U778" s="0" t="str">
        <f aca="false">IF(OR($B778="",$L778="已完成"),"",IF(ISNUMBER($B778),IF(设置!$B$6&lt;$B778,"",(设置!$B$6-$B778)*100000+ROW()),""))</f>
        <v/>
      </c>
      <c r="V778" s="0" t="str">
        <f aca="false">IF(ISNUMBER($O778),IF($O778&gt;=2,IF(COUNTIFS($D778:$D$2006,$D778,$E778:$E$2006,$E778)=1,ROW(),""),""),"")</f>
        <v/>
      </c>
    </row>
    <row r="779" customFormat="false" ht="15" hidden="false" customHeight="true" outlineLevel="0" collapsed="false">
      <c r="A779" s="13" t="str">
        <f aca="false">IF(AND($B779="",$D779="",$E779="",$F779=""),"",IF(OR($B779="",$D779="",$E779=""),"待补",IF($D779="公共区域","公",IF($D779="商铺","S",SUBSTITUTE($D779,"栋","")))&amp;"-"&amp;$E779&amp;"-"&amp;TEXT(MONTH($B779),"00")&amp;TEXT(DAY($B779),"00")&amp;IF(ISNUMBER($O779),IF($O779&gt;1,"-"&amp;TEXT($O779,"00"),""),"")))</f>
        <v/>
      </c>
      <c r="B779" s="14"/>
      <c r="C779" s="10"/>
      <c r="D779" s="10"/>
      <c r="E779" s="10"/>
      <c r="F779" s="16"/>
      <c r="G779" s="10"/>
      <c r="H779" s="10"/>
      <c r="I779" s="10"/>
      <c r="J779" s="10"/>
      <c r="K779" s="10"/>
      <c r="L779" s="10"/>
      <c r="M779" s="14"/>
      <c r="N779" s="17" t="str">
        <f aca="false">IF($B779="","",IF($L779="已完成",IF($M779="","",$M779-$B779),IF(设置!$B$6&lt;$B779,"",IF((设置!$B$6-$B779)&gt;=设置!$B$5,"超期"&amp;(设置!$B$6-$B779)&amp;"天","已等"&amp;(设置!$B$6-$B779)&amp;"天"))))</f>
        <v/>
      </c>
      <c r="O779" s="18" t="str">
        <f aca="false">IF(OR($D779="",$E779=""),"",COUNTIFS($D$7:$D779,$D779,$E$7:$E779,$E779))</f>
        <v/>
      </c>
      <c r="P779" s="16"/>
      <c r="Q779" s="19"/>
      <c r="R779" s="10"/>
      <c r="S779" s="16"/>
      <c r="T779" s="0" t="str">
        <f aca="false">IF(OR($D779="",单元查询!$B$3=""),"",IF($D779&lt;&gt;单元查询!$B$3,"",IF(OR(单元查询!$D$3="",$E779&amp;""=单元查询!$D$3&amp;""),IF(ISNUMBER($B779),$B779*10000,0)+ROW(),"")))</f>
        <v/>
      </c>
      <c r="U779" s="0" t="str">
        <f aca="false">IF(OR($B779="",$L779="已完成"),"",IF(ISNUMBER($B779),IF(设置!$B$6&lt;$B779,"",(设置!$B$6-$B779)*100000+ROW()),""))</f>
        <v/>
      </c>
      <c r="V779" s="0" t="str">
        <f aca="false">IF(ISNUMBER($O779),IF($O779&gt;=2,IF(COUNTIFS($D779:$D$2006,$D779,$E779:$E$2006,$E779)=1,ROW(),""),""),"")</f>
        <v/>
      </c>
    </row>
    <row r="780" customFormat="false" ht="15" hidden="false" customHeight="true" outlineLevel="0" collapsed="false">
      <c r="A780" s="13" t="str">
        <f aca="false">IF(AND($B780="",$D780="",$E780="",$F780=""),"",IF(OR($B780="",$D780="",$E780=""),"待补",IF($D780="公共区域","公",IF($D780="商铺","S",SUBSTITUTE($D780,"栋","")))&amp;"-"&amp;$E780&amp;"-"&amp;TEXT(MONTH($B780),"00")&amp;TEXT(DAY($B780),"00")&amp;IF(ISNUMBER($O780),IF($O780&gt;1,"-"&amp;TEXT($O780,"00"),""),"")))</f>
        <v/>
      </c>
      <c r="B780" s="14"/>
      <c r="C780" s="10"/>
      <c r="D780" s="10"/>
      <c r="E780" s="10"/>
      <c r="F780" s="16"/>
      <c r="G780" s="10"/>
      <c r="H780" s="10"/>
      <c r="I780" s="10"/>
      <c r="J780" s="10"/>
      <c r="K780" s="10"/>
      <c r="L780" s="10"/>
      <c r="M780" s="14"/>
      <c r="N780" s="17" t="str">
        <f aca="false">IF($B780="","",IF($L780="已完成",IF($M780="","",$M780-$B780),IF(设置!$B$6&lt;$B780,"",IF((设置!$B$6-$B780)&gt;=设置!$B$5,"超期"&amp;(设置!$B$6-$B780)&amp;"天","已等"&amp;(设置!$B$6-$B780)&amp;"天"))))</f>
        <v/>
      </c>
      <c r="O780" s="18" t="str">
        <f aca="false">IF(OR($D780="",$E780=""),"",COUNTIFS($D$7:$D780,$D780,$E$7:$E780,$E780))</f>
        <v/>
      </c>
      <c r="P780" s="16"/>
      <c r="Q780" s="19"/>
      <c r="R780" s="10"/>
      <c r="S780" s="16"/>
      <c r="T780" s="0" t="str">
        <f aca="false">IF(OR($D780="",单元查询!$B$3=""),"",IF($D780&lt;&gt;单元查询!$B$3,"",IF(OR(单元查询!$D$3="",$E780&amp;""=单元查询!$D$3&amp;""),IF(ISNUMBER($B780),$B780*10000,0)+ROW(),"")))</f>
        <v/>
      </c>
      <c r="U780" s="0" t="str">
        <f aca="false">IF(OR($B780="",$L780="已完成"),"",IF(ISNUMBER($B780),IF(设置!$B$6&lt;$B780,"",(设置!$B$6-$B780)*100000+ROW()),""))</f>
        <v/>
      </c>
      <c r="V780" s="0" t="str">
        <f aca="false">IF(ISNUMBER($O780),IF($O780&gt;=2,IF(COUNTIFS($D780:$D$2006,$D780,$E780:$E$2006,$E780)=1,ROW(),""),""),"")</f>
        <v/>
      </c>
    </row>
    <row r="781" customFormat="false" ht="15" hidden="false" customHeight="true" outlineLevel="0" collapsed="false">
      <c r="A781" s="13" t="str">
        <f aca="false">IF(AND($B781="",$D781="",$E781="",$F781=""),"",IF(OR($B781="",$D781="",$E781=""),"待补",IF($D781="公共区域","公",IF($D781="商铺","S",SUBSTITUTE($D781,"栋","")))&amp;"-"&amp;$E781&amp;"-"&amp;TEXT(MONTH($B781),"00")&amp;TEXT(DAY($B781),"00")&amp;IF(ISNUMBER($O781),IF($O781&gt;1,"-"&amp;TEXT($O781,"00"),""),"")))</f>
        <v/>
      </c>
      <c r="B781" s="14"/>
      <c r="C781" s="10"/>
      <c r="D781" s="10"/>
      <c r="E781" s="10"/>
      <c r="F781" s="16"/>
      <c r="G781" s="10"/>
      <c r="H781" s="10"/>
      <c r="I781" s="10"/>
      <c r="J781" s="10"/>
      <c r="K781" s="10"/>
      <c r="L781" s="10"/>
      <c r="M781" s="14"/>
      <c r="N781" s="17" t="str">
        <f aca="false">IF($B781="","",IF($L781="已完成",IF($M781="","",$M781-$B781),IF(设置!$B$6&lt;$B781,"",IF((设置!$B$6-$B781)&gt;=设置!$B$5,"超期"&amp;(设置!$B$6-$B781)&amp;"天","已等"&amp;(设置!$B$6-$B781)&amp;"天"))))</f>
        <v/>
      </c>
      <c r="O781" s="18" t="str">
        <f aca="false">IF(OR($D781="",$E781=""),"",COUNTIFS($D$7:$D781,$D781,$E$7:$E781,$E781))</f>
        <v/>
      </c>
      <c r="P781" s="16"/>
      <c r="Q781" s="19"/>
      <c r="R781" s="10"/>
      <c r="S781" s="16"/>
      <c r="T781" s="0" t="str">
        <f aca="false">IF(OR($D781="",单元查询!$B$3=""),"",IF($D781&lt;&gt;单元查询!$B$3,"",IF(OR(单元查询!$D$3="",$E781&amp;""=单元查询!$D$3&amp;""),IF(ISNUMBER($B781),$B781*10000,0)+ROW(),"")))</f>
        <v/>
      </c>
      <c r="U781" s="0" t="str">
        <f aca="false">IF(OR($B781="",$L781="已完成"),"",IF(ISNUMBER($B781),IF(设置!$B$6&lt;$B781,"",(设置!$B$6-$B781)*100000+ROW()),""))</f>
        <v/>
      </c>
      <c r="V781" s="0" t="str">
        <f aca="false">IF(ISNUMBER($O781),IF($O781&gt;=2,IF(COUNTIFS($D781:$D$2006,$D781,$E781:$E$2006,$E781)=1,ROW(),""),""),"")</f>
        <v/>
      </c>
    </row>
    <row r="782" customFormat="false" ht="15" hidden="false" customHeight="true" outlineLevel="0" collapsed="false">
      <c r="A782" s="13" t="str">
        <f aca="false">IF(AND($B782="",$D782="",$E782="",$F782=""),"",IF(OR($B782="",$D782="",$E782=""),"待补",IF($D782="公共区域","公",IF($D782="商铺","S",SUBSTITUTE($D782,"栋","")))&amp;"-"&amp;$E782&amp;"-"&amp;TEXT(MONTH($B782),"00")&amp;TEXT(DAY($B782),"00")&amp;IF(ISNUMBER($O782),IF($O782&gt;1,"-"&amp;TEXT($O782,"00"),""),"")))</f>
        <v/>
      </c>
      <c r="B782" s="14"/>
      <c r="C782" s="10"/>
      <c r="D782" s="10"/>
      <c r="E782" s="10"/>
      <c r="F782" s="16"/>
      <c r="G782" s="10"/>
      <c r="H782" s="10"/>
      <c r="I782" s="10"/>
      <c r="J782" s="10"/>
      <c r="K782" s="10"/>
      <c r="L782" s="10"/>
      <c r="M782" s="14"/>
      <c r="N782" s="17" t="str">
        <f aca="false">IF($B782="","",IF($L782="已完成",IF($M782="","",$M782-$B782),IF(设置!$B$6&lt;$B782,"",IF((设置!$B$6-$B782)&gt;=设置!$B$5,"超期"&amp;(设置!$B$6-$B782)&amp;"天","已等"&amp;(设置!$B$6-$B782)&amp;"天"))))</f>
        <v/>
      </c>
      <c r="O782" s="18" t="str">
        <f aca="false">IF(OR($D782="",$E782=""),"",COUNTIFS($D$7:$D782,$D782,$E$7:$E782,$E782))</f>
        <v/>
      </c>
      <c r="P782" s="16"/>
      <c r="Q782" s="19"/>
      <c r="R782" s="10"/>
      <c r="S782" s="16"/>
      <c r="T782" s="0" t="str">
        <f aca="false">IF(OR($D782="",单元查询!$B$3=""),"",IF($D782&lt;&gt;单元查询!$B$3,"",IF(OR(单元查询!$D$3="",$E782&amp;""=单元查询!$D$3&amp;""),IF(ISNUMBER($B782),$B782*10000,0)+ROW(),"")))</f>
        <v/>
      </c>
      <c r="U782" s="0" t="str">
        <f aca="false">IF(OR($B782="",$L782="已完成"),"",IF(ISNUMBER($B782),IF(设置!$B$6&lt;$B782,"",(设置!$B$6-$B782)*100000+ROW()),""))</f>
        <v/>
      </c>
      <c r="V782" s="0" t="str">
        <f aca="false">IF(ISNUMBER($O782),IF($O782&gt;=2,IF(COUNTIFS($D782:$D$2006,$D782,$E782:$E$2006,$E782)=1,ROW(),""),""),"")</f>
        <v/>
      </c>
    </row>
    <row r="783" customFormat="false" ht="15" hidden="false" customHeight="true" outlineLevel="0" collapsed="false">
      <c r="A783" s="13" t="str">
        <f aca="false">IF(AND($B783="",$D783="",$E783="",$F783=""),"",IF(OR($B783="",$D783="",$E783=""),"待补",IF($D783="公共区域","公",IF($D783="商铺","S",SUBSTITUTE($D783,"栋","")))&amp;"-"&amp;$E783&amp;"-"&amp;TEXT(MONTH($B783),"00")&amp;TEXT(DAY($B783),"00")&amp;IF(ISNUMBER($O783),IF($O783&gt;1,"-"&amp;TEXT($O783,"00"),""),"")))</f>
        <v/>
      </c>
      <c r="B783" s="14"/>
      <c r="C783" s="10"/>
      <c r="D783" s="10"/>
      <c r="E783" s="10"/>
      <c r="F783" s="16"/>
      <c r="G783" s="10"/>
      <c r="H783" s="10"/>
      <c r="I783" s="10"/>
      <c r="J783" s="10"/>
      <c r="K783" s="10"/>
      <c r="L783" s="10"/>
      <c r="M783" s="14"/>
      <c r="N783" s="17" t="str">
        <f aca="false">IF($B783="","",IF($L783="已完成",IF($M783="","",$M783-$B783),IF(设置!$B$6&lt;$B783,"",IF((设置!$B$6-$B783)&gt;=设置!$B$5,"超期"&amp;(设置!$B$6-$B783)&amp;"天","已等"&amp;(设置!$B$6-$B783)&amp;"天"))))</f>
        <v/>
      </c>
      <c r="O783" s="18" t="str">
        <f aca="false">IF(OR($D783="",$E783=""),"",COUNTIFS($D$7:$D783,$D783,$E$7:$E783,$E783))</f>
        <v/>
      </c>
      <c r="P783" s="16"/>
      <c r="Q783" s="19"/>
      <c r="R783" s="10"/>
      <c r="S783" s="16"/>
      <c r="T783" s="0" t="str">
        <f aca="false">IF(OR($D783="",单元查询!$B$3=""),"",IF($D783&lt;&gt;单元查询!$B$3,"",IF(OR(单元查询!$D$3="",$E783&amp;""=单元查询!$D$3&amp;""),IF(ISNUMBER($B783),$B783*10000,0)+ROW(),"")))</f>
        <v/>
      </c>
      <c r="U783" s="0" t="str">
        <f aca="false">IF(OR($B783="",$L783="已完成"),"",IF(ISNUMBER($B783),IF(设置!$B$6&lt;$B783,"",(设置!$B$6-$B783)*100000+ROW()),""))</f>
        <v/>
      </c>
      <c r="V783" s="0" t="str">
        <f aca="false">IF(ISNUMBER($O783),IF($O783&gt;=2,IF(COUNTIFS($D783:$D$2006,$D783,$E783:$E$2006,$E783)=1,ROW(),""),""),"")</f>
        <v/>
      </c>
    </row>
    <row r="784" customFormat="false" ht="15" hidden="false" customHeight="true" outlineLevel="0" collapsed="false">
      <c r="A784" s="13" t="str">
        <f aca="false">IF(AND($B784="",$D784="",$E784="",$F784=""),"",IF(OR($B784="",$D784="",$E784=""),"待补",IF($D784="公共区域","公",IF($D784="商铺","S",SUBSTITUTE($D784,"栋","")))&amp;"-"&amp;$E784&amp;"-"&amp;TEXT(MONTH($B784),"00")&amp;TEXT(DAY($B784),"00")&amp;IF(ISNUMBER($O784),IF($O784&gt;1,"-"&amp;TEXT($O784,"00"),""),"")))</f>
        <v/>
      </c>
      <c r="B784" s="14"/>
      <c r="C784" s="10"/>
      <c r="D784" s="10"/>
      <c r="E784" s="10"/>
      <c r="F784" s="16"/>
      <c r="G784" s="10"/>
      <c r="H784" s="10"/>
      <c r="I784" s="10"/>
      <c r="J784" s="10"/>
      <c r="K784" s="10"/>
      <c r="L784" s="10"/>
      <c r="M784" s="14"/>
      <c r="N784" s="17" t="str">
        <f aca="false">IF($B784="","",IF($L784="已完成",IF($M784="","",$M784-$B784),IF(设置!$B$6&lt;$B784,"",IF((设置!$B$6-$B784)&gt;=设置!$B$5,"超期"&amp;(设置!$B$6-$B784)&amp;"天","已等"&amp;(设置!$B$6-$B784)&amp;"天"))))</f>
        <v/>
      </c>
      <c r="O784" s="18" t="str">
        <f aca="false">IF(OR($D784="",$E784=""),"",COUNTIFS($D$7:$D784,$D784,$E$7:$E784,$E784))</f>
        <v/>
      </c>
      <c r="P784" s="16"/>
      <c r="Q784" s="19"/>
      <c r="R784" s="10"/>
      <c r="S784" s="16"/>
      <c r="T784" s="0" t="str">
        <f aca="false">IF(OR($D784="",单元查询!$B$3=""),"",IF($D784&lt;&gt;单元查询!$B$3,"",IF(OR(单元查询!$D$3="",$E784&amp;""=单元查询!$D$3&amp;""),IF(ISNUMBER($B784),$B784*10000,0)+ROW(),"")))</f>
        <v/>
      </c>
      <c r="U784" s="0" t="str">
        <f aca="false">IF(OR($B784="",$L784="已完成"),"",IF(ISNUMBER($B784),IF(设置!$B$6&lt;$B784,"",(设置!$B$6-$B784)*100000+ROW()),""))</f>
        <v/>
      </c>
      <c r="V784" s="0" t="str">
        <f aca="false">IF(ISNUMBER($O784),IF($O784&gt;=2,IF(COUNTIFS($D784:$D$2006,$D784,$E784:$E$2006,$E784)=1,ROW(),""),""),"")</f>
        <v/>
      </c>
    </row>
    <row r="785" customFormat="false" ht="15" hidden="false" customHeight="true" outlineLevel="0" collapsed="false">
      <c r="A785" s="13" t="str">
        <f aca="false">IF(AND($B785="",$D785="",$E785="",$F785=""),"",IF(OR($B785="",$D785="",$E785=""),"待补",IF($D785="公共区域","公",IF($D785="商铺","S",SUBSTITUTE($D785,"栋","")))&amp;"-"&amp;$E785&amp;"-"&amp;TEXT(MONTH($B785),"00")&amp;TEXT(DAY($B785),"00")&amp;IF(ISNUMBER($O785),IF($O785&gt;1,"-"&amp;TEXT($O785,"00"),""),"")))</f>
        <v/>
      </c>
      <c r="B785" s="14"/>
      <c r="C785" s="10"/>
      <c r="D785" s="10"/>
      <c r="E785" s="10"/>
      <c r="F785" s="16"/>
      <c r="G785" s="10"/>
      <c r="H785" s="10"/>
      <c r="I785" s="10"/>
      <c r="J785" s="10"/>
      <c r="K785" s="10"/>
      <c r="L785" s="10"/>
      <c r="M785" s="14"/>
      <c r="N785" s="17" t="str">
        <f aca="false">IF($B785="","",IF($L785="已完成",IF($M785="","",$M785-$B785),IF(设置!$B$6&lt;$B785,"",IF((设置!$B$6-$B785)&gt;=设置!$B$5,"超期"&amp;(设置!$B$6-$B785)&amp;"天","已等"&amp;(设置!$B$6-$B785)&amp;"天"))))</f>
        <v/>
      </c>
      <c r="O785" s="18" t="str">
        <f aca="false">IF(OR($D785="",$E785=""),"",COUNTIFS($D$7:$D785,$D785,$E$7:$E785,$E785))</f>
        <v/>
      </c>
      <c r="P785" s="16"/>
      <c r="Q785" s="19"/>
      <c r="R785" s="10"/>
      <c r="S785" s="16"/>
      <c r="T785" s="0" t="str">
        <f aca="false">IF(OR($D785="",单元查询!$B$3=""),"",IF($D785&lt;&gt;单元查询!$B$3,"",IF(OR(单元查询!$D$3="",$E785&amp;""=单元查询!$D$3&amp;""),IF(ISNUMBER($B785),$B785*10000,0)+ROW(),"")))</f>
        <v/>
      </c>
      <c r="U785" s="0" t="str">
        <f aca="false">IF(OR($B785="",$L785="已完成"),"",IF(ISNUMBER($B785),IF(设置!$B$6&lt;$B785,"",(设置!$B$6-$B785)*100000+ROW()),""))</f>
        <v/>
      </c>
      <c r="V785" s="0" t="str">
        <f aca="false">IF(ISNUMBER($O785),IF($O785&gt;=2,IF(COUNTIFS($D785:$D$2006,$D785,$E785:$E$2006,$E785)=1,ROW(),""),""),"")</f>
        <v/>
      </c>
    </row>
    <row r="786" customFormat="false" ht="15" hidden="false" customHeight="true" outlineLevel="0" collapsed="false">
      <c r="A786" s="13" t="str">
        <f aca="false">IF(AND($B786="",$D786="",$E786="",$F786=""),"",IF(OR($B786="",$D786="",$E786=""),"待补",IF($D786="公共区域","公",IF($D786="商铺","S",SUBSTITUTE($D786,"栋","")))&amp;"-"&amp;$E786&amp;"-"&amp;TEXT(MONTH($B786),"00")&amp;TEXT(DAY($B786),"00")&amp;IF(ISNUMBER($O786),IF($O786&gt;1,"-"&amp;TEXT($O786,"00"),""),"")))</f>
        <v/>
      </c>
      <c r="B786" s="14"/>
      <c r="C786" s="10"/>
      <c r="D786" s="10"/>
      <c r="E786" s="10"/>
      <c r="F786" s="16"/>
      <c r="G786" s="10"/>
      <c r="H786" s="10"/>
      <c r="I786" s="10"/>
      <c r="J786" s="10"/>
      <c r="K786" s="10"/>
      <c r="L786" s="10"/>
      <c r="M786" s="14"/>
      <c r="N786" s="17" t="str">
        <f aca="false">IF($B786="","",IF($L786="已完成",IF($M786="","",$M786-$B786),IF(设置!$B$6&lt;$B786,"",IF((设置!$B$6-$B786)&gt;=设置!$B$5,"超期"&amp;(设置!$B$6-$B786)&amp;"天","已等"&amp;(设置!$B$6-$B786)&amp;"天"))))</f>
        <v/>
      </c>
      <c r="O786" s="18" t="str">
        <f aca="false">IF(OR($D786="",$E786=""),"",COUNTIFS($D$7:$D786,$D786,$E$7:$E786,$E786))</f>
        <v/>
      </c>
      <c r="P786" s="16"/>
      <c r="Q786" s="19"/>
      <c r="R786" s="10"/>
      <c r="S786" s="16"/>
      <c r="T786" s="0" t="str">
        <f aca="false">IF(OR($D786="",单元查询!$B$3=""),"",IF($D786&lt;&gt;单元查询!$B$3,"",IF(OR(单元查询!$D$3="",$E786&amp;""=单元查询!$D$3&amp;""),IF(ISNUMBER($B786),$B786*10000,0)+ROW(),"")))</f>
        <v/>
      </c>
      <c r="U786" s="0" t="str">
        <f aca="false">IF(OR($B786="",$L786="已完成"),"",IF(ISNUMBER($B786),IF(设置!$B$6&lt;$B786,"",(设置!$B$6-$B786)*100000+ROW()),""))</f>
        <v/>
      </c>
      <c r="V786" s="0" t="str">
        <f aca="false">IF(ISNUMBER($O786),IF($O786&gt;=2,IF(COUNTIFS($D786:$D$2006,$D786,$E786:$E$2006,$E786)=1,ROW(),""),""),"")</f>
        <v/>
      </c>
    </row>
    <row r="787" customFormat="false" ht="15" hidden="false" customHeight="true" outlineLevel="0" collapsed="false">
      <c r="A787" s="13" t="str">
        <f aca="false">IF(AND($B787="",$D787="",$E787="",$F787=""),"",IF(OR($B787="",$D787="",$E787=""),"待补",IF($D787="公共区域","公",IF($D787="商铺","S",SUBSTITUTE($D787,"栋","")))&amp;"-"&amp;$E787&amp;"-"&amp;TEXT(MONTH($B787),"00")&amp;TEXT(DAY($B787),"00")&amp;IF(ISNUMBER($O787),IF($O787&gt;1,"-"&amp;TEXT($O787,"00"),""),"")))</f>
        <v/>
      </c>
      <c r="B787" s="14"/>
      <c r="C787" s="10"/>
      <c r="D787" s="10"/>
      <c r="E787" s="10"/>
      <c r="F787" s="16"/>
      <c r="G787" s="10"/>
      <c r="H787" s="10"/>
      <c r="I787" s="10"/>
      <c r="J787" s="10"/>
      <c r="K787" s="10"/>
      <c r="L787" s="10"/>
      <c r="M787" s="14"/>
      <c r="N787" s="17" t="str">
        <f aca="false">IF($B787="","",IF($L787="已完成",IF($M787="","",$M787-$B787),IF(设置!$B$6&lt;$B787,"",IF((设置!$B$6-$B787)&gt;=设置!$B$5,"超期"&amp;(设置!$B$6-$B787)&amp;"天","已等"&amp;(设置!$B$6-$B787)&amp;"天"))))</f>
        <v/>
      </c>
      <c r="O787" s="18" t="str">
        <f aca="false">IF(OR($D787="",$E787=""),"",COUNTIFS($D$7:$D787,$D787,$E$7:$E787,$E787))</f>
        <v/>
      </c>
      <c r="P787" s="16"/>
      <c r="Q787" s="19"/>
      <c r="R787" s="10"/>
      <c r="S787" s="16"/>
      <c r="T787" s="0" t="str">
        <f aca="false">IF(OR($D787="",单元查询!$B$3=""),"",IF($D787&lt;&gt;单元查询!$B$3,"",IF(OR(单元查询!$D$3="",$E787&amp;""=单元查询!$D$3&amp;""),IF(ISNUMBER($B787),$B787*10000,0)+ROW(),"")))</f>
        <v/>
      </c>
      <c r="U787" s="0" t="str">
        <f aca="false">IF(OR($B787="",$L787="已完成"),"",IF(ISNUMBER($B787),IF(设置!$B$6&lt;$B787,"",(设置!$B$6-$B787)*100000+ROW()),""))</f>
        <v/>
      </c>
      <c r="V787" s="0" t="str">
        <f aca="false">IF(ISNUMBER($O787),IF($O787&gt;=2,IF(COUNTIFS($D787:$D$2006,$D787,$E787:$E$2006,$E787)=1,ROW(),""),""),"")</f>
        <v/>
      </c>
    </row>
    <row r="788" customFormat="false" ht="15" hidden="false" customHeight="true" outlineLevel="0" collapsed="false">
      <c r="A788" s="13" t="str">
        <f aca="false">IF(AND($B788="",$D788="",$E788="",$F788=""),"",IF(OR($B788="",$D788="",$E788=""),"待补",IF($D788="公共区域","公",IF($D788="商铺","S",SUBSTITUTE($D788,"栋","")))&amp;"-"&amp;$E788&amp;"-"&amp;TEXT(MONTH($B788),"00")&amp;TEXT(DAY($B788),"00")&amp;IF(ISNUMBER($O788),IF($O788&gt;1,"-"&amp;TEXT($O788,"00"),""),"")))</f>
        <v/>
      </c>
      <c r="B788" s="14"/>
      <c r="C788" s="10"/>
      <c r="D788" s="10"/>
      <c r="E788" s="10"/>
      <c r="F788" s="16"/>
      <c r="G788" s="10"/>
      <c r="H788" s="10"/>
      <c r="I788" s="10"/>
      <c r="J788" s="10"/>
      <c r="K788" s="10"/>
      <c r="L788" s="10"/>
      <c r="M788" s="14"/>
      <c r="N788" s="17" t="str">
        <f aca="false">IF($B788="","",IF($L788="已完成",IF($M788="","",$M788-$B788),IF(设置!$B$6&lt;$B788,"",IF((设置!$B$6-$B788)&gt;=设置!$B$5,"超期"&amp;(设置!$B$6-$B788)&amp;"天","已等"&amp;(设置!$B$6-$B788)&amp;"天"))))</f>
        <v/>
      </c>
      <c r="O788" s="18" t="str">
        <f aca="false">IF(OR($D788="",$E788=""),"",COUNTIFS($D$7:$D788,$D788,$E$7:$E788,$E788))</f>
        <v/>
      </c>
      <c r="P788" s="16"/>
      <c r="Q788" s="19"/>
      <c r="R788" s="10"/>
      <c r="S788" s="16"/>
      <c r="T788" s="0" t="str">
        <f aca="false">IF(OR($D788="",单元查询!$B$3=""),"",IF($D788&lt;&gt;单元查询!$B$3,"",IF(OR(单元查询!$D$3="",$E788&amp;""=单元查询!$D$3&amp;""),IF(ISNUMBER($B788),$B788*10000,0)+ROW(),"")))</f>
        <v/>
      </c>
      <c r="U788" s="0" t="str">
        <f aca="false">IF(OR($B788="",$L788="已完成"),"",IF(ISNUMBER($B788),IF(设置!$B$6&lt;$B788,"",(设置!$B$6-$B788)*100000+ROW()),""))</f>
        <v/>
      </c>
      <c r="V788" s="0" t="str">
        <f aca="false">IF(ISNUMBER($O788),IF($O788&gt;=2,IF(COUNTIFS($D788:$D$2006,$D788,$E788:$E$2006,$E788)=1,ROW(),""),""),"")</f>
        <v/>
      </c>
    </row>
    <row r="789" customFormat="false" ht="15" hidden="false" customHeight="true" outlineLevel="0" collapsed="false">
      <c r="A789" s="13" t="str">
        <f aca="false">IF(AND($B789="",$D789="",$E789="",$F789=""),"",IF(OR($B789="",$D789="",$E789=""),"待补",IF($D789="公共区域","公",IF($D789="商铺","S",SUBSTITUTE($D789,"栋","")))&amp;"-"&amp;$E789&amp;"-"&amp;TEXT(MONTH($B789),"00")&amp;TEXT(DAY($B789),"00")&amp;IF(ISNUMBER($O789),IF($O789&gt;1,"-"&amp;TEXT($O789,"00"),""),"")))</f>
        <v/>
      </c>
      <c r="B789" s="14"/>
      <c r="C789" s="10"/>
      <c r="D789" s="10"/>
      <c r="E789" s="10"/>
      <c r="F789" s="16"/>
      <c r="G789" s="10"/>
      <c r="H789" s="10"/>
      <c r="I789" s="10"/>
      <c r="J789" s="10"/>
      <c r="K789" s="10"/>
      <c r="L789" s="10"/>
      <c r="M789" s="14"/>
      <c r="N789" s="17" t="str">
        <f aca="false">IF($B789="","",IF($L789="已完成",IF($M789="","",$M789-$B789),IF(设置!$B$6&lt;$B789,"",IF((设置!$B$6-$B789)&gt;=设置!$B$5,"超期"&amp;(设置!$B$6-$B789)&amp;"天","已等"&amp;(设置!$B$6-$B789)&amp;"天"))))</f>
        <v/>
      </c>
      <c r="O789" s="18" t="str">
        <f aca="false">IF(OR($D789="",$E789=""),"",COUNTIFS($D$7:$D789,$D789,$E$7:$E789,$E789))</f>
        <v/>
      </c>
      <c r="P789" s="16"/>
      <c r="Q789" s="19"/>
      <c r="R789" s="10"/>
      <c r="S789" s="16"/>
      <c r="T789" s="0" t="str">
        <f aca="false">IF(OR($D789="",单元查询!$B$3=""),"",IF($D789&lt;&gt;单元查询!$B$3,"",IF(OR(单元查询!$D$3="",$E789&amp;""=单元查询!$D$3&amp;""),IF(ISNUMBER($B789),$B789*10000,0)+ROW(),"")))</f>
        <v/>
      </c>
      <c r="U789" s="0" t="str">
        <f aca="false">IF(OR($B789="",$L789="已完成"),"",IF(ISNUMBER($B789),IF(设置!$B$6&lt;$B789,"",(设置!$B$6-$B789)*100000+ROW()),""))</f>
        <v/>
      </c>
      <c r="V789" s="0" t="str">
        <f aca="false">IF(ISNUMBER($O789),IF($O789&gt;=2,IF(COUNTIFS($D789:$D$2006,$D789,$E789:$E$2006,$E789)=1,ROW(),""),""),"")</f>
        <v/>
      </c>
    </row>
    <row r="790" customFormat="false" ht="15" hidden="false" customHeight="true" outlineLevel="0" collapsed="false">
      <c r="A790" s="13" t="str">
        <f aca="false">IF(AND($B790="",$D790="",$E790="",$F790=""),"",IF(OR($B790="",$D790="",$E790=""),"待补",IF($D790="公共区域","公",IF($D790="商铺","S",SUBSTITUTE($D790,"栋","")))&amp;"-"&amp;$E790&amp;"-"&amp;TEXT(MONTH($B790),"00")&amp;TEXT(DAY($B790),"00")&amp;IF(ISNUMBER($O790),IF($O790&gt;1,"-"&amp;TEXT($O790,"00"),""),"")))</f>
        <v/>
      </c>
      <c r="B790" s="14"/>
      <c r="C790" s="10"/>
      <c r="D790" s="10"/>
      <c r="E790" s="10"/>
      <c r="F790" s="16"/>
      <c r="G790" s="10"/>
      <c r="H790" s="10"/>
      <c r="I790" s="10"/>
      <c r="J790" s="10"/>
      <c r="K790" s="10"/>
      <c r="L790" s="10"/>
      <c r="M790" s="14"/>
      <c r="N790" s="17" t="str">
        <f aca="false">IF($B790="","",IF($L790="已完成",IF($M790="","",$M790-$B790),IF(设置!$B$6&lt;$B790,"",IF((设置!$B$6-$B790)&gt;=设置!$B$5,"超期"&amp;(设置!$B$6-$B790)&amp;"天","已等"&amp;(设置!$B$6-$B790)&amp;"天"))))</f>
        <v/>
      </c>
      <c r="O790" s="18" t="str">
        <f aca="false">IF(OR($D790="",$E790=""),"",COUNTIFS($D$7:$D790,$D790,$E$7:$E790,$E790))</f>
        <v/>
      </c>
      <c r="P790" s="16"/>
      <c r="Q790" s="19"/>
      <c r="R790" s="10"/>
      <c r="S790" s="16"/>
      <c r="T790" s="0" t="str">
        <f aca="false">IF(OR($D790="",单元查询!$B$3=""),"",IF($D790&lt;&gt;单元查询!$B$3,"",IF(OR(单元查询!$D$3="",$E790&amp;""=单元查询!$D$3&amp;""),IF(ISNUMBER($B790),$B790*10000,0)+ROW(),"")))</f>
        <v/>
      </c>
      <c r="U790" s="0" t="str">
        <f aca="false">IF(OR($B790="",$L790="已完成"),"",IF(ISNUMBER($B790),IF(设置!$B$6&lt;$B790,"",(设置!$B$6-$B790)*100000+ROW()),""))</f>
        <v/>
      </c>
      <c r="V790" s="0" t="str">
        <f aca="false">IF(ISNUMBER($O790),IF($O790&gt;=2,IF(COUNTIFS($D790:$D$2006,$D790,$E790:$E$2006,$E790)=1,ROW(),""),""),"")</f>
        <v/>
      </c>
    </row>
    <row r="791" customFormat="false" ht="15" hidden="false" customHeight="true" outlineLevel="0" collapsed="false">
      <c r="A791" s="13" t="str">
        <f aca="false">IF(AND($B791="",$D791="",$E791="",$F791=""),"",IF(OR($B791="",$D791="",$E791=""),"待补",IF($D791="公共区域","公",IF($D791="商铺","S",SUBSTITUTE($D791,"栋","")))&amp;"-"&amp;$E791&amp;"-"&amp;TEXT(MONTH($B791),"00")&amp;TEXT(DAY($B791),"00")&amp;IF(ISNUMBER($O791),IF($O791&gt;1,"-"&amp;TEXT($O791,"00"),""),"")))</f>
        <v/>
      </c>
      <c r="B791" s="14"/>
      <c r="C791" s="10"/>
      <c r="D791" s="10"/>
      <c r="E791" s="10"/>
      <c r="F791" s="16"/>
      <c r="G791" s="10"/>
      <c r="H791" s="10"/>
      <c r="I791" s="10"/>
      <c r="J791" s="10"/>
      <c r="K791" s="10"/>
      <c r="L791" s="10"/>
      <c r="M791" s="14"/>
      <c r="N791" s="17" t="str">
        <f aca="false">IF($B791="","",IF($L791="已完成",IF($M791="","",$M791-$B791),IF(设置!$B$6&lt;$B791,"",IF((设置!$B$6-$B791)&gt;=设置!$B$5,"超期"&amp;(设置!$B$6-$B791)&amp;"天","已等"&amp;(设置!$B$6-$B791)&amp;"天"))))</f>
        <v/>
      </c>
      <c r="O791" s="18" t="str">
        <f aca="false">IF(OR($D791="",$E791=""),"",COUNTIFS($D$7:$D791,$D791,$E$7:$E791,$E791))</f>
        <v/>
      </c>
      <c r="P791" s="16"/>
      <c r="Q791" s="19"/>
      <c r="R791" s="10"/>
      <c r="S791" s="16"/>
      <c r="T791" s="0" t="str">
        <f aca="false">IF(OR($D791="",单元查询!$B$3=""),"",IF($D791&lt;&gt;单元查询!$B$3,"",IF(OR(单元查询!$D$3="",$E791&amp;""=单元查询!$D$3&amp;""),IF(ISNUMBER($B791),$B791*10000,0)+ROW(),"")))</f>
        <v/>
      </c>
      <c r="U791" s="0" t="str">
        <f aca="false">IF(OR($B791="",$L791="已完成"),"",IF(ISNUMBER($B791),IF(设置!$B$6&lt;$B791,"",(设置!$B$6-$B791)*100000+ROW()),""))</f>
        <v/>
      </c>
      <c r="V791" s="0" t="str">
        <f aca="false">IF(ISNUMBER($O791),IF($O791&gt;=2,IF(COUNTIFS($D791:$D$2006,$D791,$E791:$E$2006,$E791)=1,ROW(),""),""),"")</f>
        <v/>
      </c>
    </row>
    <row r="792" customFormat="false" ht="15" hidden="false" customHeight="true" outlineLevel="0" collapsed="false">
      <c r="A792" s="13" t="str">
        <f aca="false">IF(AND($B792="",$D792="",$E792="",$F792=""),"",IF(OR($B792="",$D792="",$E792=""),"待补",IF($D792="公共区域","公",IF($D792="商铺","S",SUBSTITUTE($D792,"栋","")))&amp;"-"&amp;$E792&amp;"-"&amp;TEXT(MONTH($B792),"00")&amp;TEXT(DAY($B792),"00")&amp;IF(ISNUMBER($O792),IF($O792&gt;1,"-"&amp;TEXT($O792,"00"),""),"")))</f>
        <v/>
      </c>
      <c r="B792" s="14"/>
      <c r="C792" s="10"/>
      <c r="D792" s="10"/>
      <c r="E792" s="10"/>
      <c r="F792" s="16"/>
      <c r="G792" s="10"/>
      <c r="H792" s="10"/>
      <c r="I792" s="10"/>
      <c r="J792" s="10"/>
      <c r="K792" s="10"/>
      <c r="L792" s="10"/>
      <c r="M792" s="14"/>
      <c r="N792" s="17" t="str">
        <f aca="false">IF($B792="","",IF($L792="已完成",IF($M792="","",$M792-$B792),IF(设置!$B$6&lt;$B792,"",IF((设置!$B$6-$B792)&gt;=设置!$B$5,"超期"&amp;(设置!$B$6-$B792)&amp;"天","已等"&amp;(设置!$B$6-$B792)&amp;"天"))))</f>
        <v/>
      </c>
      <c r="O792" s="18" t="str">
        <f aca="false">IF(OR($D792="",$E792=""),"",COUNTIFS($D$7:$D792,$D792,$E$7:$E792,$E792))</f>
        <v/>
      </c>
      <c r="P792" s="16"/>
      <c r="Q792" s="19"/>
      <c r="R792" s="10"/>
      <c r="S792" s="16"/>
      <c r="T792" s="0" t="str">
        <f aca="false">IF(OR($D792="",单元查询!$B$3=""),"",IF($D792&lt;&gt;单元查询!$B$3,"",IF(OR(单元查询!$D$3="",$E792&amp;""=单元查询!$D$3&amp;""),IF(ISNUMBER($B792),$B792*10000,0)+ROW(),"")))</f>
        <v/>
      </c>
      <c r="U792" s="0" t="str">
        <f aca="false">IF(OR($B792="",$L792="已完成"),"",IF(ISNUMBER($B792),IF(设置!$B$6&lt;$B792,"",(设置!$B$6-$B792)*100000+ROW()),""))</f>
        <v/>
      </c>
      <c r="V792" s="0" t="str">
        <f aca="false">IF(ISNUMBER($O792),IF($O792&gt;=2,IF(COUNTIFS($D792:$D$2006,$D792,$E792:$E$2006,$E792)=1,ROW(),""),""),"")</f>
        <v/>
      </c>
    </row>
    <row r="793" customFormat="false" ht="15" hidden="false" customHeight="true" outlineLevel="0" collapsed="false">
      <c r="A793" s="13" t="str">
        <f aca="false">IF(AND($B793="",$D793="",$E793="",$F793=""),"",IF(OR($B793="",$D793="",$E793=""),"待补",IF($D793="公共区域","公",IF($D793="商铺","S",SUBSTITUTE($D793,"栋","")))&amp;"-"&amp;$E793&amp;"-"&amp;TEXT(MONTH($B793),"00")&amp;TEXT(DAY($B793),"00")&amp;IF(ISNUMBER($O793),IF($O793&gt;1,"-"&amp;TEXT($O793,"00"),""),"")))</f>
        <v/>
      </c>
      <c r="B793" s="14"/>
      <c r="C793" s="10"/>
      <c r="D793" s="10"/>
      <c r="E793" s="10"/>
      <c r="F793" s="16"/>
      <c r="G793" s="10"/>
      <c r="H793" s="10"/>
      <c r="I793" s="10"/>
      <c r="J793" s="10"/>
      <c r="K793" s="10"/>
      <c r="L793" s="10"/>
      <c r="M793" s="14"/>
      <c r="N793" s="17" t="str">
        <f aca="false">IF($B793="","",IF($L793="已完成",IF($M793="","",$M793-$B793),IF(设置!$B$6&lt;$B793,"",IF((设置!$B$6-$B793)&gt;=设置!$B$5,"超期"&amp;(设置!$B$6-$B793)&amp;"天","已等"&amp;(设置!$B$6-$B793)&amp;"天"))))</f>
        <v/>
      </c>
      <c r="O793" s="18" t="str">
        <f aca="false">IF(OR($D793="",$E793=""),"",COUNTIFS($D$7:$D793,$D793,$E$7:$E793,$E793))</f>
        <v/>
      </c>
      <c r="P793" s="16"/>
      <c r="Q793" s="19"/>
      <c r="R793" s="10"/>
      <c r="S793" s="16"/>
      <c r="T793" s="0" t="str">
        <f aca="false">IF(OR($D793="",单元查询!$B$3=""),"",IF($D793&lt;&gt;单元查询!$B$3,"",IF(OR(单元查询!$D$3="",$E793&amp;""=单元查询!$D$3&amp;""),IF(ISNUMBER($B793),$B793*10000,0)+ROW(),"")))</f>
        <v/>
      </c>
      <c r="U793" s="0" t="str">
        <f aca="false">IF(OR($B793="",$L793="已完成"),"",IF(ISNUMBER($B793),IF(设置!$B$6&lt;$B793,"",(设置!$B$6-$B793)*100000+ROW()),""))</f>
        <v/>
      </c>
      <c r="V793" s="0" t="str">
        <f aca="false">IF(ISNUMBER($O793),IF($O793&gt;=2,IF(COUNTIFS($D793:$D$2006,$D793,$E793:$E$2006,$E793)=1,ROW(),""),""),"")</f>
        <v/>
      </c>
    </row>
    <row r="794" customFormat="false" ht="15" hidden="false" customHeight="true" outlineLevel="0" collapsed="false">
      <c r="A794" s="13" t="str">
        <f aca="false">IF(AND($B794="",$D794="",$E794="",$F794=""),"",IF(OR($B794="",$D794="",$E794=""),"待补",IF($D794="公共区域","公",IF($D794="商铺","S",SUBSTITUTE($D794,"栋","")))&amp;"-"&amp;$E794&amp;"-"&amp;TEXT(MONTH($B794),"00")&amp;TEXT(DAY($B794),"00")&amp;IF(ISNUMBER($O794),IF($O794&gt;1,"-"&amp;TEXT($O794,"00"),""),"")))</f>
        <v/>
      </c>
      <c r="B794" s="14"/>
      <c r="C794" s="10"/>
      <c r="D794" s="10"/>
      <c r="E794" s="10"/>
      <c r="F794" s="16"/>
      <c r="G794" s="10"/>
      <c r="H794" s="10"/>
      <c r="I794" s="10"/>
      <c r="J794" s="10"/>
      <c r="K794" s="10"/>
      <c r="L794" s="10"/>
      <c r="M794" s="14"/>
      <c r="N794" s="17" t="str">
        <f aca="false">IF($B794="","",IF($L794="已完成",IF($M794="","",$M794-$B794),IF(设置!$B$6&lt;$B794,"",IF((设置!$B$6-$B794)&gt;=设置!$B$5,"超期"&amp;(设置!$B$6-$B794)&amp;"天","已等"&amp;(设置!$B$6-$B794)&amp;"天"))))</f>
        <v/>
      </c>
      <c r="O794" s="18" t="str">
        <f aca="false">IF(OR($D794="",$E794=""),"",COUNTIFS($D$7:$D794,$D794,$E$7:$E794,$E794))</f>
        <v/>
      </c>
      <c r="P794" s="16"/>
      <c r="Q794" s="19"/>
      <c r="R794" s="10"/>
      <c r="S794" s="16"/>
      <c r="T794" s="0" t="str">
        <f aca="false">IF(OR($D794="",单元查询!$B$3=""),"",IF($D794&lt;&gt;单元查询!$B$3,"",IF(OR(单元查询!$D$3="",$E794&amp;""=单元查询!$D$3&amp;""),IF(ISNUMBER($B794),$B794*10000,0)+ROW(),"")))</f>
        <v/>
      </c>
      <c r="U794" s="0" t="str">
        <f aca="false">IF(OR($B794="",$L794="已完成"),"",IF(ISNUMBER($B794),IF(设置!$B$6&lt;$B794,"",(设置!$B$6-$B794)*100000+ROW()),""))</f>
        <v/>
      </c>
      <c r="V794" s="0" t="str">
        <f aca="false">IF(ISNUMBER($O794),IF($O794&gt;=2,IF(COUNTIFS($D794:$D$2006,$D794,$E794:$E$2006,$E794)=1,ROW(),""),""),"")</f>
        <v/>
      </c>
    </row>
    <row r="795" customFormat="false" ht="15" hidden="false" customHeight="true" outlineLevel="0" collapsed="false">
      <c r="A795" s="13" t="str">
        <f aca="false">IF(AND($B795="",$D795="",$E795="",$F795=""),"",IF(OR($B795="",$D795="",$E795=""),"待补",IF($D795="公共区域","公",IF($D795="商铺","S",SUBSTITUTE($D795,"栋","")))&amp;"-"&amp;$E795&amp;"-"&amp;TEXT(MONTH($B795),"00")&amp;TEXT(DAY($B795),"00")&amp;IF(ISNUMBER($O795),IF($O795&gt;1,"-"&amp;TEXT($O795,"00"),""),"")))</f>
        <v/>
      </c>
      <c r="B795" s="14"/>
      <c r="C795" s="10"/>
      <c r="D795" s="10"/>
      <c r="E795" s="10"/>
      <c r="F795" s="16"/>
      <c r="G795" s="10"/>
      <c r="H795" s="10"/>
      <c r="I795" s="10"/>
      <c r="J795" s="10"/>
      <c r="K795" s="10"/>
      <c r="L795" s="10"/>
      <c r="M795" s="14"/>
      <c r="N795" s="17" t="str">
        <f aca="false">IF($B795="","",IF($L795="已完成",IF($M795="","",$M795-$B795),IF(设置!$B$6&lt;$B795,"",IF((设置!$B$6-$B795)&gt;=设置!$B$5,"超期"&amp;(设置!$B$6-$B795)&amp;"天","已等"&amp;(设置!$B$6-$B795)&amp;"天"))))</f>
        <v/>
      </c>
      <c r="O795" s="18" t="str">
        <f aca="false">IF(OR($D795="",$E795=""),"",COUNTIFS($D$7:$D795,$D795,$E$7:$E795,$E795))</f>
        <v/>
      </c>
      <c r="P795" s="16"/>
      <c r="Q795" s="19"/>
      <c r="R795" s="10"/>
      <c r="S795" s="16"/>
      <c r="T795" s="0" t="str">
        <f aca="false">IF(OR($D795="",单元查询!$B$3=""),"",IF($D795&lt;&gt;单元查询!$B$3,"",IF(OR(单元查询!$D$3="",$E795&amp;""=单元查询!$D$3&amp;""),IF(ISNUMBER($B795),$B795*10000,0)+ROW(),"")))</f>
        <v/>
      </c>
      <c r="U795" s="0" t="str">
        <f aca="false">IF(OR($B795="",$L795="已完成"),"",IF(ISNUMBER($B795),IF(设置!$B$6&lt;$B795,"",(设置!$B$6-$B795)*100000+ROW()),""))</f>
        <v/>
      </c>
      <c r="V795" s="0" t="str">
        <f aca="false">IF(ISNUMBER($O795),IF($O795&gt;=2,IF(COUNTIFS($D795:$D$2006,$D795,$E795:$E$2006,$E795)=1,ROW(),""),""),"")</f>
        <v/>
      </c>
    </row>
    <row r="796" customFormat="false" ht="15" hidden="false" customHeight="true" outlineLevel="0" collapsed="false">
      <c r="A796" s="13" t="str">
        <f aca="false">IF(AND($B796="",$D796="",$E796="",$F796=""),"",IF(OR($B796="",$D796="",$E796=""),"待补",IF($D796="公共区域","公",IF($D796="商铺","S",SUBSTITUTE($D796,"栋","")))&amp;"-"&amp;$E796&amp;"-"&amp;TEXT(MONTH($B796),"00")&amp;TEXT(DAY($B796),"00")&amp;IF(ISNUMBER($O796),IF($O796&gt;1,"-"&amp;TEXT($O796,"00"),""),"")))</f>
        <v/>
      </c>
      <c r="B796" s="14"/>
      <c r="C796" s="10"/>
      <c r="D796" s="10"/>
      <c r="E796" s="10"/>
      <c r="F796" s="16"/>
      <c r="G796" s="10"/>
      <c r="H796" s="10"/>
      <c r="I796" s="10"/>
      <c r="J796" s="10"/>
      <c r="K796" s="10"/>
      <c r="L796" s="10"/>
      <c r="M796" s="14"/>
      <c r="N796" s="17" t="str">
        <f aca="false">IF($B796="","",IF($L796="已完成",IF($M796="","",$M796-$B796),IF(设置!$B$6&lt;$B796,"",IF((设置!$B$6-$B796)&gt;=设置!$B$5,"超期"&amp;(设置!$B$6-$B796)&amp;"天","已等"&amp;(设置!$B$6-$B796)&amp;"天"))))</f>
        <v/>
      </c>
      <c r="O796" s="18" t="str">
        <f aca="false">IF(OR($D796="",$E796=""),"",COUNTIFS($D$7:$D796,$D796,$E$7:$E796,$E796))</f>
        <v/>
      </c>
      <c r="P796" s="16"/>
      <c r="Q796" s="19"/>
      <c r="R796" s="10"/>
      <c r="S796" s="16"/>
      <c r="T796" s="0" t="str">
        <f aca="false">IF(OR($D796="",单元查询!$B$3=""),"",IF($D796&lt;&gt;单元查询!$B$3,"",IF(OR(单元查询!$D$3="",$E796&amp;""=单元查询!$D$3&amp;""),IF(ISNUMBER($B796),$B796*10000,0)+ROW(),"")))</f>
        <v/>
      </c>
      <c r="U796" s="0" t="str">
        <f aca="false">IF(OR($B796="",$L796="已完成"),"",IF(ISNUMBER($B796),IF(设置!$B$6&lt;$B796,"",(设置!$B$6-$B796)*100000+ROW()),""))</f>
        <v/>
      </c>
      <c r="V796" s="0" t="str">
        <f aca="false">IF(ISNUMBER($O796),IF($O796&gt;=2,IF(COUNTIFS($D796:$D$2006,$D796,$E796:$E$2006,$E796)=1,ROW(),""),""),"")</f>
        <v/>
      </c>
    </row>
    <row r="797" customFormat="false" ht="15" hidden="false" customHeight="true" outlineLevel="0" collapsed="false">
      <c r="A797" s="13" t="str">
        <f aca="false">IF(AND($B797="",$D797="",$E797="",$F797=""),"",IF(OR($B797="",$D797="",$E797=""),"待补",IF($D797="公共区域","公",IF($D797="商铺","S",SUBSTITUTE($D797,"栋","")))&amp;"-"&amp;$E797&amp;"-"&amp;TEXT(MONTH($B797),"00")&amp;TEXT(DAY($B797),"00")&amp;IF(ISNUMBER($O797),IF($O797&gt;1,"-"&amp;TEXT($O797,"00"),""),"")))</f>
        <v/>
      </c>
      <c r="B797" s="14"/>
      <c r="C797" s="10"/>
      <c r="D797" s="10"/>
      <c r="E797" s="10"/>
      <c r="F797" s="16"/>
      <c r="G797" s="10"/>
      <c r="H797" s="10"/>
      <c r="I797" s="10"/>
      <c r="J797" s="10"/>
      <c r="K797" s="10"/>
      <c r="L797" s="10"/>
      <c r="M797" s="14"/>
      <c r="N797" s="17" t="str">
        <f aca="false">IF($B797="","",IF($L797="已完成",IF($M797="","",$M797-$B797),IF(设置!$B$6&lt;$B797,"",IF((设置!$B$6-$B797)&gt;=设置!$B$5,"超期"&amp;(设置!$B$6-$B797)&amp;"天","已等"&amp;(设置!$B$6-$B797)&amp;"天"))))</f>
        <v/>
      </c>
      <c r="O797" s="18" t="str">
        <f aca="false">IF(OR($D797="",$E797=""),"",COUNTIFS($D$7:$D797,$D797,$E$7:$E797,$E797))</f>
        <v/>
      </c>
      <c r="P797" s="16"/>
      <c r="Q797" s="19"/>
      <c r="R797" s="10"/>
      <c r="S797" s="16"/>
      <c r="T797" s="0" t="str">
        <f aca="false">IF(OR($D797="",单元查询!$B$3=""),"",IF($D797&lt;&gt;单元查询!$B$3,"",IF(OR(单元查询!$D$3="",$E797&amp;""=单元查询!$D$3&amp;""),IF(ISNUMBER($B797),$B797*10000,0)+ROW(),"")))</f>
        <v/>
      </c>
      <c r="U797" s="0" t="str">
        <f aca="false">IF(OR($B797="",$L797="已完成"),"",IF(ISNUMBER($B797),IF(设置!$B$6&lt;$B797,"",(设置!$B$6-$B797)*100000+ROW()),""))</f>
        <v/>
      </c>
      <c r="V797" s="0" t="str">
        <f aca="false">IF(ISNUMBER($O797),IF($O797&gt;=2,IF(COUNTIFS($D797:$D$2006,$D797,$E797:$E$2006,$E797)=1,ROW(),""),""),"")</f>
        <v/>
      </c>
    </row>
    <row r="798" customFormat="false" ht="15" hidden="false" customHeight="true" outlineLevel="0" collapsed="false">
      <c r="A798" s="13" t="str">
        <f aca="false">IF(AND($B798="",$D798="",$E798="",$F798=""),"",IF(OR($B798="",$D798="",$E798=""),"待补",IF($D798="公共区域","公",IF($D798="商铺","S",SUBSTITUTE($D798,"栋","")))&amp;"-"&amp;$E798&amp;"-"&amp;TEXT(MONTH($B798),"00")&amp;TEXT(DAY($B798),"00")&amp;IF(ISNUMBER($O798),IF($O798&gt;1,"-"&amp;TEXT($O798,"00"),""),"")))</f>
        <v/>
      </c>
      <c r="B798" s="14"/>
      <c r="C798" s="10"/>
      <c r="D798" s="10"/>
      <c r="E798" s="10"/>
      <c r="F798" s="16"/>
      <c r="G798" s="10"/>
      <c r="H798" s="10"/>
      <c r="I798" s="10"/>
      <c r="J798" s="10"/>
      <c r="K798" s="10"/>
      <c r="L798" s="10"/>
      <c r="M798" s="14"/>
      <c r="N798" s="17" t="str">
        <f aca="false">IF($B798="","",IF($L798="已完成",IF($M798="","",$M798-$B798),IF(设置!$B$6&lt;$B798,"",IF((设置!$B$6-$B798)&gt;=设置!$B$5,"超期"&amp;(设置!$B$6-$B798)&amp;"天","已等"&amp;(设置!$B$6-$B798)&amp;"天"))))</f>
        <v/>
      </c>
      <c r="O798" s="18" t="str">
        <f aca="false">IF(OR($D798="",$E798=""),"",COUNTIFS($D$7:$D798,$D798,$E$7:$E798,$E798))</f>
        <v/>
      </c>
      <c r="P798" s="16"/>
      <c r="Q798" s="19"/>
      <c r="R798" s="10"/>
      <c r="S798" s="16"/>
      <c r="T798" s="0" t="str">
        <f aca="false">IF(OR($D798="",单元查询!$B$3=""),"",IF($D798&lt;&gt;单元查询!$B$3,"",IF(OR(单元查询!$D$3="",$E798&amp;""=单元查询!$D$3&amp;""),IF(ISNUMBER($B798),$B798*10000,0)+ROW(),"")))</f>
        <v/>
      </c>
      <c r="U798" s="0" t="str">
        <f aca="false">IF(OR($B798="",$L798="已完成"),"",IF(ISNUMBER($B798),IF(设置!$B$6&lt;$B798,"",(设置!$B$6-$B798)*100000+ROW()),""))</f>
        <v/>
      </c>
      <c r="V798" s="0" t="str">
        <f aca="false">IF(ISNUMBER($O798),IF($O798&gt;=2,IF(COUNTIFS($D798:$D$2006,$D798,$E798:$E$2006,$E798)=1,ROW(),""),""),"")</f>
        <v/>
      </c>
    </row>
    <row r="799" customFormat="false" ht="15" hidden="false" customHeight="true" outlineLevel="0" collapsed="false">
      <c r="A799" s="13" t="str">
        <f aca="false">IF(AND($B799="",$D799="",$E799="",$F799=""),"",IF(OR($B799="",$D799="",$E799=""),"待补",IF($D799="公共区域","公",IF($D799="商铺","S",SUBSTITUTE($D799,"栋","")))&amp;"-"&amp;$E799&amp;"-"&amp;TEXT(MONTH($B799),"00")&amp;TEXT(DAY($B799),"00")&amp;IF(ISNUMBER($O799),IF($O799&gt;1,"-"&amp;TEXT($O799,"00"),""),"")))</f>
        <v/>
      </c>
      <c r="B799" s="14"/>
      <c r="C799" s="10"/>
      <c r="D799" s="10"/>
      <c r="E799" s="10"/>
      <c r="F799" s="16"/>
      <c r="G799" s="10"/>
      <c r="H799" s="10"/>
      <c r="I799" s="10"/>
      <c r="J799" s="10"/>
      <c r="K799" s="10"/>
      <c r="L799" s="10"/>
      <c r="M799" s="14"/>
      <c r="N799" s="17" t="str">
        <f aca="false">IF($B799="","",IF($L799="已完成",IF($M799="","",$M799-$B799),IF(设置!$B$6&lt;$B799,"",IF((设置!$B$6-$B799)&gt;=设置!$B$5,"超期"&amp;(设置!$B$6-$B799)&amp;"天","已等"&amp;(设置!$B$6-$B799)&amp;"天"))))</f>
        <v/>
      </c>
      <c r="O799" s="18" t="str">
        <f aca="false">IF(OR($D799="",$E799=""),"",COUNTIFS($D$7:$D799,$D799,$E$7:$E799,$E799))</f>
        <v/>
      </c>
      <c r="P799" s="16"/>
      <c r="Q799" s="19"/>
      <c r="R799" s="10"/>
      <c r="S799" s="16"/>
      <c r="T799" s="0" t="str">
        <f aca="false">IF(OR($D799="",单元查询!$B$3=""),"",IF($D799&lt;&gt;单元查询!$B$3,"",IF(OR(单元查询!$D$3="",$E799&amp;""=单元查询!$D$3&amp;""),IF(ISNUMBER($B799),$B799*10000,0)+ROW(),"")))</f>
        <v/>
      </c>
      <c r="U799" s="0" t="str">
        <f aca="false">IF(OR($B799="",$L799="已完成"),"",IF(ISNUMBER($B799),IF(设置!$B$6&lt;$B799,"",(设置!$B$6-$B799)*100000+ROW()),""))</f>
        <v/>
      </c>
      <c r="V799" s="0" t="str">
        <f aca="false">IF(ISNUMBER($O799),IF($O799&gt;=2,IF(COUNTIFS($D799:$D$2006,$D799,$E799:$E$2006,$E799)=1,ROW(),""),""),"")</f>
        <v/>
      </c>
    </row>
    <row r="800" customFormat="false" ht="15" hidden="false" customHeight="true" outlineLevel="0" collapsed="false">
      <c r="A800" s="13" t="str">
        <f aca="false">IF(AND($B800="",$D800="",$E800="",$F800=""),"",IF(OR($B800="",$D800="",$E800=""),"待补",IF($D800="公共区域","公",IF($D800="商铺","S",SUBSTITUTE($D800,"栋","")))&amp;"-"&amp;$E800&amp;"-"&amp;TEXT(MONTH($B800),"00")&amp;TEXT(DAY($B800),"00")&amp;IF(ISNUMBER($O800),IF($O800&gt;1,"-"&amp;TEXT($O800,"00"),""),"")))</f>
        <v/>
      </c>
      <c r="B800" s="14"/>
      <c r="C800" s="10"/>
      <c r="D800" s="10"/>
      <c r="E800" s="10"/>
      <c r="F800" s="16"/>
      <c r="G800" s="10"/>
      <c r="H800" s="10"/>
      <c r="I800" s="10"/>
      <c r="J800" s="10"/>
      <c r="K800" s="10"/>
      <c r="L800" s="10"/>
      <c r="M800" s="14"/>
      <c r="N800" s="17" t="str">
        <f aca="false">IF($B800="","",IF($L800="已完成",IF($M800="","",$M800-$B800),IF(设置!$B$6&lt;$B800,"",IF((设置!$B$6-$B800)&gt;=设置!$B$5,"超期"&amp;(设置!$B$6-$B800)&amp;"天","已等"&amp;(设置!$B$6-$B800)&amp;"天"))))</f>
        <v/>
      </c>
      <c r="O800" s="18" t="str">
        <f aca="false">IF(OR($D800="",$E800=""),"",COUNTIFS($D$7:$D800,$D800,$E$7:$E800,$E800))</f>
        <v/>
      </c>
      <c r="P800" s="16"/>
      <c r="Q800" s="19"/>
      <c r="R800" s="10"/>
      <c r="S800" s="16"/>
      <c r="T800" s="0" t="str">
        <f aca="false">IF(OR($D800="",单元查询!$B$3=""),"",IF($D800&lt;&gt;单元查询!$B$3,"",IF(OR(单元查询!$D$3="",$E800&amp;""=单元查询!$D$3&amp;""),IF(ISNUMBER($B800),$B800*10000,0)+ROW(),"")))</f>
        <v/>
      </c>
      <c r="U800" s="0" t="str">
        <f aca="false">IF(OR($B800="",$L800="已完成"),"",IF(ISNUMBER($B800),IF(设置!$B$6&lt;$B800,"",(设置!$B$6-$B800)*100000+ROW()),""))</f>
        <v/>
      </c>
      <c r="V800" s="0" t="str">
        <f aca="false">IF(ISNUMBER($O800),IF($O800&gt;=2,IF(COUNTIFS($D800:$D$2006,$D800,$E800:$E$2006,$E800)=1,ROW(),""),""),"")</f>
        <v/>
      </c>
    </row>
    <row r="801" customFormat="false" ht="15" hidden="false" customHeight="true" outlineLevel="0" collapsed="false">
      <c r="A801" s="13" t="str">
        <f aca="false">IF(AND($B801="",$D801="",$E801="",$F801=""),"",IF(OR($B801="",$D801="",$E801=""),"待补",IF($D801="公共区域","公",IF($D801="商铺","S",SUBSTITUTE($D801,"栋","")))&amp;"-"&amp;$E801&amp;"-"&amp;TEXT(MONTH($B801),"00")&amp;TEXT(DAY($B801),"00")&amp;IF(ISNUMBER($O801),IF($O801&gt;1,"-"&amp;TEXT($O801,"00"),""),"")))</f>
        <v/>
      </c>
      <c r="B801" s="14"/>
      <c r="C801" s="10"/>
      <c r="D801" s="10"/>
      <c r="E801" s="10"/>
      <c r="F801" s="16"/>
      <c r="G801" s="10"/>
      <c r="H801" s="10"/>
      <c r="I801" s="10"/>
      <c r="J801" s="10"/>
      <c r="K801" s="10"/>
      <c r="L801" s="10"/>
      <c r="M801" s="14"/>
      <c r="N801" s="17" t="str">
        <f aca="false">IF($B801="","",IF($L801="已完成",IF($M801="","",$M801-$B801),IF(设置!$B$6&lt;$B801,"",IF((设置!$B$6-$B801)&gt;=设置!$B$5,"超期"&amp;(设置!$B$6-$B801)&amp;"天","已等"&amp;(设置!$B$6-$B801)&amp;"天"))))</f>
        <v/>
      </c>
      <c r="O801" s="18" t="str">
        <f aca="false">IF(OR($D801="",$E801=""),"",COUNTIFS($D$7:$D801,$D801,$E$7:$E801,$E801))</f>
        <v/>
      </c>
      <c r="P801" s="16"/>
      <c r="Q801" s="19"/>
      <c r="R801" s="10"/>
      <c r="S801" s="16"/>
      <c r="T801" s="0" t="str">
        <f aca="false">IF(OR($D801="",单元查询!$B$3=""),"",IF($D801&lt;&gt;单元查询!$B$3,"",IF(OR(单元查询!$D$3="",$E801&amp;""=单元查询!$D$3&amp;""),IF(ISNUMBER($B801),$B801*10000,0)+ROW(),"")))</f>
        <v/>
      </c>
      <c r="U801" s="0" t="str">
        <f aca="false">IF(OR($B801="",$L801="已完成"),"",IF(ISNUMBER($B801),IF(设置!$B$6&lt;$B801,"",(设置!$B$6-$B801)*100000+ROW()),""))</f>
        <v/>
      </c>
      <c r="V801" s="0" t="str">
        <f aca="false">IF(ISNUMBER($O801),IF($O801&gt;=2,IF(COUNTIFS($D801:$D$2006,$D801,$E801:$E$2006,$E801)=1,ROW(),""),""),"")</f>
        <v/>
      </c>
    </row>
    <row r="802" customFormat="false" ht="15" hidden="false" customHeight="true" outlineLevel="0" collapsed="false">
      <c r="A802" s="13" t="str">
        <f aca="false">IF(AND($B802="",$D802="",$E802="",$F802=""),"",IF(OR($B802="",$D802="",$E802=""),"待补",IF($D802="公共区域","公",IF($D802="商铺","S",SUBSTITUTE($D802,"栋","")))&amp;"-"&amp;$E802&amp;"-"&amp;TEXT(MONTH($B802),"00")&amp;TEXT(DAY($B802),"00")&amp;IF(ISNUMBER($O802),IF($O802&gt;1,"-"&amp;TEXT($O802,"00"),""),"")))</f>
        <v/>
      </c>
      <c r="B802" s="14"/>
      <c r="C802" s="10"/>
      <c r="D802" s="10"/>
      <c r="E802" s="10"/>
      <c r="F802" s="16"/>
      <c r="G802" s="10"/>
      <c r="H802" s="10"/>
      <c r="I802" s="10"/>
      <c r="J802" s="10"/>
      <c r="K802" s="10"/>
      <c r="L802" s="10"/>
      <c r="M802" s="14"/>
      <c r="N802" s="17" t="str">
        <f aca="false">IF($B802="","",IF($L802="已完成",IF($M802="","",$M802-$B802),IF(设置!$B$6&lt;$B802,"",IF((设置!$B$6-$B802)&gt;=设置!$B$5,"超期"&amp;(设置!$B$6-$B802)&amp;"天","已等"&amp;(设置!$B$6-$B802)&amp;"天"))))</f>
        <v/>
      </c>
      <c r="O802" s="18" t="str">
        <f aca="false">IF(OR($D802="",$E802=""),"",COUNTIFS($D$7:$D802,$D802,$E$7:$E802,$E802))</f>
        <v/>
      </c>
      <c r="P802" s="16"/>
      <c r="Q802" s="19"/>
      <c r="R802" s="10"/>
      <c r="S802" s="16"/>
      <c r="T802" s="0" t="str">
        <f aca="false">IF(OR($D802="",单元查询!$B$3=""),"",IF($D802&lt;&gt;单元查询!$B$3,"",IF(OR(单元查询!$D$3="",$E802&amp;""=单元查询!$D$3&amp;""),IF(ISNUMBER($B802),$B802*10000,0)+ROW(),"")))</f>
        <v/>
      </c>
      <c r="U802" s="0" t="str">
        <f aca="false">IF(OR($B802="",$L802="已完成"),"",IF(ISNUMBER($B802),IF(设置!$B$6&lt;$B802,"",(设置!$B$6-$B802)*100000+ROW()),""))</f>
        <v/>
      </c>
      <c r="V802" s="0" t="str">
        <f aca="false">IF(ISNUMBER($O802),IF($O802&gt;=2,IF(COUNTIFS($D802:$D$2006,$D802,$E802:$E$2006,$E802)=1,ROW(),""),""),"")</f>
        <v/>
      </c>
    </row>
    <row r="803" customFormat="false" ht="15" hidden="false" customHeight="true" outlineLevel="0" collapsed="false">
      <c r="A803" s="13" t="str">
        <f aca="false">IF(AND($B803="",$D803="",$E803="",$F803=""),"",IF(OR($B803="",$D803="",$E803=""),"待补",IF($D803="公共区域","公",IF($D803="商铺","S",SUBSTITUTE($D803,"栋","")))&amp;"-"&amp;$E803&amp;"-"&amp;TEXT(MONTH($B803),"00")&amp;TEXT(DAY($B803),"00")&amp;IF(ISNUMBER($O803),IF($O803&gt;1,"-"&amp;TEXT($O803,"00"),""),"")))</f>
        <v/>
      </c>
      <c r="B803" s="14"/>
      <c r="C803" s="10"/>
      <c r="D803" s="10"/>
      <c r="E803" s="10"/>
      <c r="F803" s="16"/>
      <c r="G803" s="10"/>
      <c r="H803" s="10"/>
      <c r="I803" s="10"/>
      <c r="J803" s="10"/>
      <c r="K803" s="10"/>
      <c r="L803" s="10"/>
      <c r="M803" s="14"/>
      <c r="N803" s="17" t="str">
        <f aca="false">IF($B803="","",IF($L803="已完成",IF($M803="","",$M803-$B803),IF(设置!$B$6&lt;$B803,"",IF((设置!$B$6-$B803)&gt;=设置!$B$5,"超期"&amp;(设置!$B$6-$B803)&amp;"天","已等"&amp;(设置!$B$6-$B803)&amp;"天"))))</f>
        <v/>
      </c>
      <c r="O803" s="18" t="str">
        <f aca="false">IF(OR($D803="",$E803=""),"",COUNTIFS($D$7:$D803,$D803,$E$7:$E803,$E803))</f>
        <v/>
      </c>
      <c r="P803" s="16"/>
      <c r="Q803" s="19"/>
      <c r="R803" s="10"/>
      <c r="S803" s="16"/>
      <c r="T803" s="0" t="str">
        <f aca="false">IF(OR($D803="",单元查询!$B$3=""),"",IF($D803&lt;&gt;单元查询!$B$3,"",IF(OR(单元查询!$D$3="",$E803&amp;""=单元查询!$D$3&amp;""),IF(ISNUMBER($B803),$B803*10000,0)+ROW(),"")))</f>
        <v/>
      </c>
      <c r="U803" s="0" t="str">
        <f aca="false">IF(OR($B803="",$L803="已完成"),"",IF(ISNUMBER($B803),IF(设置!$B$6&lt;$B803,"",(设置!$B$6-$B803)*100000+ROW()),""))</f>
        <v/>
      </c>
      <c r="V803" s="0" t="str">
        <f aca="false">IF(ISNUMBER($O803),IF($O803&gt;=2,IF(COUNTIFS($D803:$D$2006,$D803,$E803:$E$2006,$E803)=1,ROW(),""),""),"")</f>
        <v/>
      </c>
    </row>
    <row r="804" customFormat="false" ht="15" hidden="false" customHeight="true" outlineLevel="0" collapsed="false">
      <c r="A804" s="13" t="str">
        <f aca="false">IF(AND($B804="",$D804="",$E804="",$F804=""),"",IF(OR($B804="",$D804="",$E804=""),"待补",IF($D804="公共区域","公",IF($D804="商铺","S",SUBSTITUTE($D804,"栋","")))&amp;"-"&amp;$E804&amp;"-"&amp;TEXT(MONTH($B804),"00")&amp;TEXT(DAY($B804),"00")&amp;IF(ISNUMBER($O804),IF($O804&gt;1,"-"&amp;TEXT($O804,"00"),""),"")))</f>
        <v/>
      </c>
      <c r="B804" s="14"/>
      <c r="C804" s="10"/>
      <c r="D804" s="10"/>
      <c r="E804" s="10"/>
      <c r="F804" s="16"/>
      <c r="G804" s="10"/>
      <c r="H804" s="10"/>
      <c r="I804" s="10"/>
      <c r="J804" s="10"/>
      <c r="K804" s="10"/>
      <c r="L804" s="10"/>
      <c r="M804" s="14"/>
      <c r="N804" s="17" t="str">
        <f aca="false">IF($B804="","",IF($L804="已完成",IF($M804="","",$M804-$B804),IF(设置!$B$6&lt;$B804,"",IF((设置!$B$6-$B804)&gt;=设置!$B$5,"超期"&amp;(设置!$B$6-$B804)&amp;"天","已等"&amp;(设置!$B$6-$B804)&amp;"天"))))</f>
        <v/>
      </c>
      <c r="O804" s="18" t="str">
        <f aca="false">IF(OR($D804="",$E804=""),"",COUNTIFS($D$7:$D804,$D804,$E$7:$E804,$E804))</f>
        <v/>
      </c>
      <c r="P804" s="16"/>
      <c r="Q804" s="19"/>
      <c r="R804" s="10"/>
      <c r="S804" s="16"/>
      <c r="T804" s="0" t="str">
        <f aca="false">IF(OR($D804="",单元查询!$B$3=""),"",IF($D804&lt;&gt;单元查询!$B$3,"",IF(OR(单元查询!$D$3="",$E804&amp;""=单元查询!$D$3&amp;""),IF(ISNUMBER($B804),$B804*10000,0)+ROW(),"")))</f>
        <v/>
      </c>
      <c r="U804" s="0" t="str">
        <f aca="false">IF(OR($B804="",$L804="已完成"),"",IF(ISNUMBER($B804),IF(设置!$B$6&lt;$B804,"",(设置!$B$6-$B804)*100000+ROW()),""))</f>
        <v/>
      </c>
      <c r="V804" s="0" t="str">
        <f aca="false">IF(ISNUMBER($O804),IF($O804&gt;=2,IF(COUNTIFS($D804:$D$2006,$D804,$E804:$E$2006,$E804)=1,ROW(),""),""),"")</f>
        <v/>
      </c>
    </row>
    <row r="805" customFormat="false" ht="15" hidden="false" customHeight="true" outlineLevel="0" collapsed="false">
      <c r="A805" s="13" t="str">
        <f aca="false">IF(AND($B805="",$D805="",$E805="",$F805=""),"",IF(OR($B805="",$D805="",$E805=""),"待补",IF($D805="公共区域","公",IF($D805="商铺","S",SUBSTITUTE($D805,"栋","")))&amp;"-"&amp;$E805&amp;"-"&amp;TEXT(MONTH($B805),"00")&amp;TEXT(DAY($B805),"00")&amp;IF(ISNUMBER($O805),IF($O805&gt;1,"-"&amp;TEXT($O805,"00"),""),"")))</f>
        <v/>
      </c>
      <c r="B805" s="14"/>
      <c r="C805" s="10"/>
      <c r="D805" s="10"/>
      <c r="E805" s="10"/>
      <c r="F805" s="16"/>
      <c r="G805" s="10"/>
      <c r="H805" s="10"/>
      <c r="I805" s="10"/>
      <c r="J805" s="10"/>
      <c r="K805" s="10"/>
      <c r="L805" s="10"/>
      <c r="M805" s="14"/>
      <c r="N805" s="17" t="str">
        <f aca="false">IF($B805="","",IF($L805="已完成",IF($M805="","",$M805-$B805),IF(设置!$B$6&lt;$B805,"",IF((设置!$B$6-$B805)&gt;=设置!$B$5,"超期"&amp;(设置!$B$6-$B805)&amp;"天","已等"&amp;(设置!$B$6-$B805)&amp;"天"))))</f>
        <v/>
      </c>
      <c r="O805" s="18" t="str">
        <f aca="false">IF(OR($D805="",$E805=""),"",COUNTIFS($D$7:$D805,$D805,$E$7:$E805,$E805))</f>
        <v/>
      </c>
      <c r="P805" s="16"/>
      <c r="Q805" s="19"/>
      <c r="R805" s="10"/>
      <c r="S805" s="16"/>
      <c r="T805" s="0" t="str">
        <f aca="false">IF(OR($D805="",单元查询!$B$3=""),"",IF($D805&lt;&gt;单元查询!$B$3,"",IF(OR(单元查询!$D$3="",$E805&amp;""=单元查询!$D$3&amp;""),IF(ISNUMBER($B805),$B805*10000,0)+ROW(),"")))</f>
        <v/>
      </c>
      <c r="U805" s="0" t="str">
        <f aca="false">IF(OR($B805="",$L805="已完成"),"",IF(ISNUMBER($B805),IF(设置!$B$6&lt;$B805,"",(设置!$B$6-$B805)*100000+ROW()),""))</f>
        <v/>
      </c>
      <c r="V805" s="0" t="str">
        <f aca="false">IF(ISNUMBER($O805),IF($O805&gt;=2,IF(COUNTIFS($D805:$D$2006,$D805,$E805:$E$2006,$E805)=1,ROW(),""),""),"")</f>
        <v/>
      </c>
    </row>
    <row r="806" customFormat="false" ht="15" hidden="false" customHeight="true" outlineLevel="0" collapsed="false">
      <c r="A806" s="13" t="str">
        <f aca="false">IF(AND($B806="",$D806="",$E806="",$F806=""),"",IF(OR($B806="",$D806="",$E806=""),"待补",IF($D806="公共区域","公",IF($D806="商铺","S",SUBSTITUTE($D806,"栋","")))&amp;"-"&amp;$E806&amp;"-"&amp;TEXT(MONTH($B806),"00")&amp;TEXT(DAY($B806),"00")&amp;IF(ISNUMBER($O806),IF($O806&gt;1,"-"&amp;TEXT($O806,"00"),""),"")))</f>
        <v/>
      </c>
      <c r="B806" s="14"/>
      <c r="C806" s="10"/>
      <c r="D806" s="10"/>
      <c r="E806" s="10"/>
      <c r="F806" s="16"/>
      <c r="G806" s="10"/>
      <c r="H806" s="10"/>
      <c r="I806" s="10"/>
      <c r="J806" s="10"/>
      <c r="K806" s="10"/>
      <c r="L806" s="10"/>
      <c r="M806" s="14"/>
      <c r="N806" s="17" t="str">
        <f aca="false">IF($B806="","",IF($L806="已完成",IF($M806="","",$M806-$B806),IF(设置!$B$6&lt;$B806,"",IF((设置!$B$6-$B806)&gt;=设置!$B$5,"超期"&amp;(设置!$B$6-$B806)&amp;"天","已等"&amp;(设置!$B$6-$B806)&amp;"天"))))</f>
        <v/>
      </c>
      <c r="O806" s="18" t="str">
        <f aca="false">IF(OR($D806="",$E806=""),"",COUNTIFS($D$7:$D806,$D806,$E$7:$E806,$E806))</f>
        <v/>
      </c>
      <c r="P806" s="16"/>
      <c r="Q806" s="19"/>
      <c r="R806" s="10"/>
      <c r="S806" s="16"/>
      <c r="T806" s="0" t="str">
        <f aca="false">IF(OR($D806="",单元查询!$B$3=""),"",IF($D806&lt;&gt;单元查询!$B$3,"",IF(OR(单元查询!$D$3="",$E806&amp;""=单元查询!$D$3&amp;""),IF(ISNUMBER($B806),$B806*10000,0)+ROW(),"")))</f>
        <v/>
      </c>
      <c r="U806" s="0" t="str">
        <f aca="false">IF(OR($B806="",$L806="已完成"),"",IF(ISNUMBER($B806),IF(设置!$B$6&lt;$B806,"",(设置!$B$6-$B806)*100000+ROW()),""))</f>
        <v/>
      </c>
      <c r="V806" s="0" t="str">
        <f aca="false">IF(ISNUMBER($O806),IF($O806&gt;=2,IF(COUNTIFS($D806:$D$2006,$D806,$E806:$E$2006,$E806)=1,ROW(),""),""),"")</f>
        <v/>
      </c>
    </row>
    <row r="807" customFormat="false" ht="15" hidden="false" customHeight="true" outlineLevel="0" collapsed="false">
      <c r="A807" s="13" t="str">
        <f aca="false">IF(AND($B807="",$D807="",$E807="",$F807=""),"",IF(OR($B807="",$D807="",$E807=""),"待补",IF($D807="公共区域","公",IF($D807="商铺","S",SUBSTITUTE($D807,"栋","")))&amp;"-"&amp;$E807&amp;"-"&amp;TEXT(MONTH($B807),"00")&amp;TEXT(DAY($B807),"00")&amp;IF(ISNUMBER($O807),IF($O807&gt;1,"-"&amp;TEXT($O807,"00"),""),"")))</f>
        <v/>
      </c>
      <c r="B807" s="14"/>
      <c r="C807" s="10"/>
      <c r="D807" s="10"/>
      <c r="E807" s="10"/>
      <c r="F807" s="16"/>
      <c r="G807" s="10"/>
      <c r="H807" s="10"/>
      <c r="I807" s="10"/>
      <c r="J807" s="10"/>
      <c r="K807" s="10"/>
      <c r="L807" s="10"/>
      <c r="M807" s="14"/>
      <c r="N807" s="17" t="str">
        <f aca="false">IF($B807="","",IF($L807="已完成",IF($M807="","",$M807-$B807),IF(设置!$B$6&lt;$B807,"",IF((设置!$B$6-$B807)&gt;=设置!$B$5,"超期"&amp;(设置!$B$6-$B807)&amp;"天","已等"&amp;(设置!$B$6-$B807)&amp;"天"))))</f>
        <v/>
      </c>
      <c r="O807" s="18" t="str">
        <f aca="false">IF(OR($D807="",$E807=""),"",COUNTIFS($D$7:$D807,$D807,$E$7:$E807,$E807))</f>
        <v/>
      </c>
      <c r="P807" s="16"/>
      <c r="Q807" s="19"/>
      <c r="R807" s="10"/>
      <c r="S807" s="16"/>
      <c r="T807" s="0" t="str">
        <f aca="false">IF(OR($D807="",单元查询!$B$3=""),"",IF($D807&lt;&gt;单元查询!$B$3,"",IF(OR(单元查询!$D$3="",$E807&amp;""=单元查询!$D$3&amp;""),IF(ISNUMBER($B807),$B807*10000,0)+ROW(),"")))</f>
        <v/>
      </c>
      <c r="U807" s="0" t="str">
        <f aca="false">IF(OR($B807="",$L807="已完成"),"",IF(ISNUMBER($B807),IF(设置!$B$6&lt;$B807,"",(设置!$B$6-$B807)*100000+ROW()),""))</f>
        <v/>
      </c>
      <c r="V807" s="0" t="str">
        <f aca="false">IF(ISNUMBER($O807),IF($O807&gt;=2,IF(COUNTIFS($D807:$D$2006,$D807,$E807:$E$2006,$E807)=1,ROW(),""),""),"")</f>
        <v/>
      </c>
    </row>
    <row r="808" customFormat="false" ht="15" hidden="false" customHeight="true" outlineLevel="0" collapsed="false">
      <c r="A808" s="13" t="str">
        <f aca="false">IF(AND($B808="",$D808="",$E808="",$F808=""),"",IF(OR($B808="",$D808="",$E808=""),"待补",IF($D808="公共区域","公",IF($D808="商铺","S",SUBSTITUTE($D808,"栋","")))&amp;"-"&amp;$E808&amp;"-"&amp;TEXT(MONTH($B808),"00")&amp;TEXT(DAY($B808),"00")&amp;IF(ISNUMBER($O808),IF($O808&gt;1,"-"&amp;TEXT($O808,"00"),""),"")))</f>
        <v/>
      </c>
      <c r="B808" s="14"/>
      <c r="C808" s="10"/>
      <c r="D808" s="10"/>
      <c r="E808" s="10"/>
      <c r="F808" s="16"/>
      <c r="G808" s="10"/>
      <c r="H808" s="10"/>
      <c r="I808" s="10"/>
      <c r="J808" s="10"/>
      <c r="K808" s="10"/>
      <c r="L808" s="10"/>
      <c r="M808" s="14"/>
      <c r="N808" s="17" t="str">
        <f aca="false">IF($B808="","",IF($L808="已完成",IF($M808="","",$M808-$B808),IF(设置!$B$6&lt;$B808,"",IF((设置!$B$6-$B808)&gt;=设置!$B$5,"超期"&amp;(设置!$B$6-$B808)&amp;"天","已等"&amp;(设置!$B$6-$B808)&amp;"天"))))</f>
        <v/>
      </c>
      <c r="O808" s="18" t="str">
        <f aca="false">IF(OR($D808="",$E808=""),"",COUNTIFS($D$7:$D808,$D808,$E$7:$E808,$E808))</f>
        <v/>
      </c>
      <c r="P808" s="16"/>
      <c r="Q808" s="19"/>
      <c r="R808" s="10"/>
      <c r="S808" s="16"/>
      <c r="T808" s="0" t="str">
        <f aca="false">IF(OR($D808="",单元查询!$B$3=""),"",IF($D808&lt;&gt;单元查询!$B$3,"",IF(OR(单元查询!$D$3="",$E808&amp;""=单元查询!$D$3&amp;""),IF(ISNUMBER($B808),$B808*10000,0)+ROW(),"")))</f>
        <v/>
      </c>
      <c r="U808" s="0" t="str">
        <f aca="false">IF(OR($B808="",$L808="已完成"),"",IF(ISNUMBER($B808),IF(设置!$B$6&lt;$B808,"",(设置!$B$6-$B808)*100000+ROW()),""))</f>
        <v/>
      </c>
      <c r="V808" s="0" t="str">
        <f aca="false">IF(ISNUMBER($O808),IF($O808&gt;=2,IF(COUNTIFS($D808:$D$2006,$D808,$E808:$E$2006,$E808)=1,ROW(),""),""),"")</f>
        <v/>
      </c>
    </row>
    <row r="809" customFormat="false" ht="15" hidden="false" customHeight="true" outlineLevel="0" collapsed="false">
      <c r="A809" s="13" t="str">
        <f aca="false">IF(AND($B809="",$D809="",$E809="",$F809=""),"",IF(OR($B809="",$D809="",$E809=""),"待补",IF($D809="公共区域","公",IF($D809="商铺","S",SUBSTITUTE($D809,"栋","")))&amp;"-"&amp;$E809&amp;"-"&amp;TEXT(MONTH($B809),"00")&amp;TEXT(DAY($B809),"00")&amp;IF(ISNUMBER($O809),IF($O809&gt;1,"-"&amp;TEXT($O809,"00"),""),"")))</f>
        <v/>
      </c>
      <c r="B809" s="14"/>
      <c r="C809" s="10"/>
      <c r="D809" s="10"/>
      <c r="E809" s="10"/>
      <c r="F809" s="16"/>
      <c r="G809" s="10"/>
      <c r="H809" s="10"/>
      <c r="I809" s="10"/>
      <c r="J809" s="10"/>
      <c r="K809" s="10"/>
      <c r="L809" s="10"/>
      <c r="M809" s="14"/>
      <c r="N809" s="17" t="str">
        <f aca="false">IF($B809="","",IF($L809="已完成",IF($M809="","",$M809-$B809),IF(设置!$B$6&lt;$B809,"",IF((设置!$B$6-$B809)&gt;=设置!$B$5,"超期"&amp;(设置!$B$6-$B809)&amp;"天","已等"&amp;(设置!$B$6-$B809)&amp;"天"))))</f>
        <v/>
      </c>
      <c r="O809" s="18" t="str">
        <f aca="false">IF(OR($D809="",$E809=""),"",COUNTIFS($D$7:$D809,$D809,$E$7:$E809,$E809))</f>
        <v/>
      </c>
      <c r="P809" s="16"/>
      <c r="Q809" s="19"/>
      <c r="R809" s="10"/>
      <c r="S809" s="16"/>
      <c r="T809" s="0" t="str">
        <f aca="false">IF(OR($D809="",单元查询!$B$3=""),"",IF($D809&lt;&gt;单元查询!$B$3,"",IF(OR(单元查询!$D$3="",$E809&amp;""=单元查询!$D$3&amp;""),IF(ISNUMBER($B809),$B809*10000,0)+ROW(),"")))</f>
        <v/>
      </c>
      <c r="U809" s="0" t="str">
        <f aca="false">IF(OR($B809="",$L809="已完成"),"",IF(ISNUMBER($B809),IF(设置!$B$6&lt;$B809,"",(设置!$B$6-$B809)*100000+ROW()),""))</f>
        <v/>
      </c>
      <c r="V809" s="0" t="str">
        <f aca="false">IF(ISNUMBER($O809),IF($O809&gt;=2,IF(COUNTIFS($D809:$D$2006,$D809,$E809:$E$2006,$E809)=1,ROW(),""),""),"")</f>
        <v/>
      </c>
    </row>
    <row r="810" customFormat="false" ht="15" hidden="false" customHeight="true" outlineLevel="0" collapsed="false">
      <c r="A810" s="13" t="str">
        <f aca="false">IF(AND($B810="",$D810="",$E810="",$F810=""),"",IF(OR($B810="",$D810="",$E810=""),"待补",IF($D810="公共区域","公",IF($D810="商铺","S",SUBSTITUTE($D810,"栋","")))&amp;"-"&amp;$E810&amp;"-"&amp;TEXT(MONTH($B810),"00")&amp;TEXT(DAY($B810),"00")&amp;IF(ISNUMBER($O810),IF($O810&gt;1,"-"&amp;TEXT($O810,"00"),""),"")))</f>
        <v/>
      </c>
      <c r="B810" s="14"/>
      <c r="C810" s="10"/>
      <c r="D810" s="10"/>
      <c r="E810" s="10"/>
      <c r="F810" s="16"/>
      <c r="G810" s="10"/>
      <c r="H810" s="10"/>
      <c r="I810" s="10"/>
      <c r="J810" s="10"/>
      <c r="K810" s="10"/>
      <c r="L810" s="10"/>
      <c r="M810" s="14"/>
      <c r="N810" s="17" t="str">
        <f aca="false">IF($B810="","",IF($L810="已完成",IF($M810="","",$M810-$B810),IF(设置!$B$6&lt;$B810,"",IF((设置!$B$6-$B810)&gt;=设置!$B$5,"超期"&amp;(设置!$B$6-$B810)&amp;"天","已等"&amp;(设置!$B$6-$B810)&amp;"天"))))</f>
        <v/>
      </c>
      <c r="O810" s="18" t="str">
        <f aca="false">IF(OR($D810="",$E810=""),"",COUNTIFS($D$7:$D810,$D810,$E$7:$E810,$E810))</f>
        <v/>
      </c>
      <c r="P810" s="16"/>
      <c r="Q810" s="19"/>
      <c r="R810" s="10"/>
      <c r="S810" s="16"/>
      <c r="T810" s="0" t="str">
        <f aca="false">IF(OR($D810="",单元查询!$B$3=""),"",IF($D810&lt;&gt;单元查询!$B$3,"",IF(OR(单元查询!$D$3="",$E810&amp;""=单元查询!$D$3&amp;""),IF(ISNUMBER($B810),$B810*10000,0)+ROW(),"")))</f>
        <v/>
      </c>
      <c r="U810" s="0" t="str">
        <f aca="false">IF(OR($B810="",$L810="已完成"),"",IF(ISNUMBER($B810),IF(设置!$B$6&lt;$B810,"",(设置!$B$6-$B810)*100000+ROW()),""))</f>
        <v/>
      </c>
      <c r="V810" s="0" t="str">
        <f aca="false">IF(ISNUMBER($O810),IF($O810&gt;=2,IF(COUNTIFS($D810:$D$2006,$D810,$E810:$E$2006,$E810)=1,ROW(),""),""),"")</f>
        <v/>
      </c>
    </row>
    <row r="811" customFormat="false" ht="15" hidden="false" customHeight="true" outlineLevel="0" collapsed="false">
      <c r="A811" s="13" t="str">
        <f aca="false">IF(AND($B811="",$D811="",$E811="",$F811=""),"",IF(OR($B811="",$D811="",$E811=""),"待补",IF($D811="公共区域","公",IF($D811="商铺","S",SUBSTITUTE($D811,"栋","")))&amp;"-"&amp;$E811&amp;"-"&amp;TEXT(MONTH($B811),"00")&amp;TEXT(DAY($B811),"00")&amp;IF(ISNUMBER($O811),IF($O811&gt;1,"-"&amp;TEXT($O811,"00"),""),"")))</f>
        <v/>
      </c>
      <c r="B811" s="14"/>
      <c r="C811" s="10"/>
      <c r="D811" s="10"/>
      <c r="E811" s="10"/>
      <c r="F811" s="16"/>
      <c r="G811" s="10"/>
      <c r="H811" s="10"/>
      <c r="I811" s="10"/>
      <c r="J811" s="10"/>
      <c r="K811" s="10"/>
      <c r="L811" s="10"/>
      <c r="M811" s="14"/>
      <c r="N811" s="17" t="str">
        <f aca="false">IF($B811="","",IF($L811="已完成",IF($M811="","",$M811-$B811),IF(设置!$B$6&lt;$B811,"",IF((设置!$B$6-$B811)&gt;=设置!$B$5,"超期"&amp;(设置!$B$6-$B811)&amp;"天","已等"&amp;(设置!$B$6-$B811)&amp;"天"))))</f>
        <v/>
      </c>
      <c r="O811" s="18" t="str">
        <f aca="false">IF(OR($D811="",$E811=""),"",COUNTIFS($D$7:$D811,$D811,$E$7:$E811,$E811))</f>
        <v/>
      </c>
      <c r="P811" s="16"/>
      <c r="Q811" s="19"/>
      <c r="R811" s="10"/>
      <c r="S811" s="16"/>
      <c r="T811" s="0" t="str">
        <f aca="false">IF(OR($D811="",单元查询!$B$3=""),"",IF($D811&lt;&gt;单元查询!$B$3,"",IF(OR(单元查询!$D$3="",$E811&amp;""=单元查询!$D$3&amp;""),IF(ISNUMBER($B811),$B811*10000,0)+ROW(),"")))</f>
        <v/>
      </c>
      <c r="U811" s="0" t="str">
        <f aca="false">IF(OR($B811="",$L811="已完成"),"",IF(ISNUMBER($B811),IF(设置!$B$6&lt;$B811,"",(设置!$B$6-$B811)*100000+ROW()),""))</f>
        <v/>
      </c>
      <c r="V811" s="0" t="str">
        <f aca="false">IF(ISNUMBER($O811),IF($O811&gt;=2,IF(COUNTIFS($D811:$D$2006,$D811,$E811:$E$2006,$E811)=1,ROW(),""),""),"")</f>
        <v/>
      </c>
    </row>
    <row r="812" customFormat="false" ht="15" hidden="false" customHeight="true" outlineLevel="0" collapsed="false">
      <c r="A812" s="13" t="str">
        <f aca="false">IF(AND($B812="",$D812="",$E812="",$F812=""),"",IF(OR($B812="",$D812="",$E812=""),"待补",IF($D812="公共区域","公",IF($D812="商铺","S",SUBSTITUTE($D812,"栋","")))&amp;"-"&amp;$E812&amp;"-"&amp;TEXT(MONTH($B812),"00")&amp;TEXT(DAY($B812),"00")&amp;IF(ISNUMBER($O812),IF($O812&gt;1,"-"&amp;TEXT($O812,"00"),""),"")))</f>
        <v/>
      </c>
      <c r="B812" s="14"/>
      <c r="C812" s="10"/>
      <c r="D812" s="10"/>
      <c r="E812" s="10"/>
      <c r="F812" s="16"/>
      <c r="G812" s="10"/>
      <c r="H812" s="10"/>
      <c r="I812" s="10"/>
      <c r="J812" s="10"/>
      <c r="K812" s="10"/>
      <c r="L812" s="10"/>
      <c r="M812" s="14"/>
      <c r="N812" s="17" t="str">
        <f aca="false">IF($B812="","",IF($L812="已完成",IF($M812="","",$M812-$B812),IF(设置!$B$6&lt;$B812,"",IF((设置!$B$6-$B812)&gt;=设置!$B$5,"超期"&amp;(设置!$B$6-$B812)&amp;"天","已等"&amp;(设置!$B$6-$B812)&amp;"天"))))</f>
        <v/>
      </c>
      <c r="O812" s="18" t="str">
        <f aca="false">IF(OR($D812="",$E812=""),"",COUNTIFS($D$7:$D812,$D812,$E$7:$E812,$E812))</f>
        <v/>
      </c>
      <c r="P812" s="16"/>
      <c r="Q812" s="19"/>
      <c r="R812" s="10"/>
      <c r="S812" s="16"/>
      <c r="T812" s="0" t="str">
        <f aca="false">IF(OR($D812="",单元查询!$B$3=""),"",IF($D812&lt;&gt;单元查询!$B$3,"",IF(OR(单元查询!$D$3="",$E812&amp;""=单元查询!$D$3&amp;""),IF(ISNUMBER($B812),$B812*10000,0)+ROW(),"")))</f>
        <v/>
      </c>
      <c r="U812" s="0" t="str">
        <f aca="false">IF(OR($B812="",$L812="已完成"),"",IF(ISNUMBER($B812),IF(设置!$B$6&lt;$B812,"",(设置!$B$6-$B812)*100000+ROW()),""))</f>
        <v/>
      </c>
      <c r="V812" s="0" t="str">
        <f aca="false">IF(ISNUMBER($O812),IF($O812&gt;=2,IF(COUNTIFS($D812:$D$2006,$D812,$E812:$E$2006,$E812)=1,ROW(),""),""),"")</f>
        <v/>
      </c>
    </row>
    <row r="813" customFormat="false" ht="15" hidden="false" customHeight="true" outlineLevel="0" collapsed="false">
      <c r="A813" s="13" t="str">
        <f aca="false">IF(AND($B813="",$D813="",$E813="",$F813=""),"",IF(OR($B813="",$D813="",$E813=""),"待补",IF($D813="公共区域","公",IF($D813="商铺","S",SUBSTITUTE($D813,"栋","")))&amp;"-"&amp;$E813&amp;"-"&amp;TEXT(MONTH($B813),"00")&amp;TEXT(DAY($B813),"00")&amp;IF(ISNUMBER($O813),IF($O813&gt;1,"-"&amp;TEXT($O813,"00"),""),"")))</f>
        <v/>
      </c>
      <c r="B813" s="14"/>
      <c r="C813" s="10"/>
      <c r="D813" s="10"/>
      <c r="E813" s="10"/>
      <c r="F813" s="16"/>
      <c r="G813" s="10"/>
      <c r="H813" s="10"/>
      <c r="I813" s="10"/>
      <c r="J813" s="10"/>
      <c r="K813" s="10"/>
      <c r="L813" s="10"/>
      <c r="M813" s="14"/>
      <c r="N813" s="17" t="str">
        <f aca="false">IF($B813="","",IF($L813="已完成",IF($M813="","",$M813-$B813),IF(设置!$B$6&lt;$B813,"",IF((设置!$B$6-$B813)&gt;=设置!$B$5,"超期"&amp;(设置!$B$6-$B813)&amp;"天","已等"&amp;(设置!$B$6-$B813)&amp;"天"))))</f>
        <v/>
      </c>
      <c r="O813" s="18" t="str">
        <f aca="false">IF(OR($D813="",$E813=""),"",COUNTIFS($D$7:$D813,$D813,$E$7:$E813,$E813))</f>
        <v/>
      </c>
      <c r="P813" s="16"/>
      <c r="Q813" s="19"/>
      <c r="R813" s="10"/>
      <c r="S813" s="16"/>
      <c r="T813" s="0" t="str">
        <f aca="false">IF(OR($D813="",单元查询!$B$3=""),"",IF($D813&lt;&gt;单元查询!$B$3,"",IF(OR(单元查询!$D$3="",$E813&amp;""=单元查询!$D$3&amp;""),IF(ISNUMBER($B813),$B813*10000,0)+ROW(),"")))</f>
        <v/>
      </c>
      <c r="U813" s="0" t="str">
        <f aca="false">IF(OR($B813="",$L813="已完成"),"",IF(ISNUMBER($B813),IF(设置!$B$6&lt;$B813,"",(设置!$B$6-$B813)*100000+ROW()),""))</f>
        <v/>
      </c>
      <c r="V813" s="0" t="str">
        <f aca="false">IF(ISNUMBER($O813),IF($O813&gt;=2,IF(COUNTIFS($D813:$D$2006,$D813,$E813:$E$2006,$E813)=1,ROW(),""),""),"")</f>
        <v/>
      </c>
    </row>
    <row r="814" customFormat="false" ht="15" hidden="false" customHeight="true" outlineLevel="0" collapsed="false">
      <c r="A814" s="13" t="str">
        <f aca="false">IF(AND($B814="",$D814="",$E814="",$F814=""),"",IF(OR($B814="",$D814="",$E814=""),"待补",IF($D814="公共区域","公",IF($D814="商铺","S",SUBSTITUTE($D814,"栋","")))&amp;"-"&amp;$E814&amp;"-"&amp;TEXT(MONTH($B814),"00")&amp;TEXT(DAY($B814),"00")&amp;IF(ISNUMBER($O814),IF($O814&gt;1,"-"&amp;TEXT($O814,"00"),""),"")))</f>
        <v/>
      </c>
      <c r="B814" s="14"/>
      <c r="C814" s="10"/>
      <c r="D814" s="10"/>
      <c r="E814" s="10"/>
      <c r="F814" s="16"/>
      <c r="G814" s="10"/>
      <c r="H814" s="10"/>
      <c r="I814" s="10"/>
      <c r="J814" s="10"/>
      <c r="K814" s="10"/>
      <c r="L814" s="10"/>
      <c r="M814" s="14"/>
      <c r="N814" s="17" t="str">
        <f aca="false">IF($B814="","",IF($L814="已完成",IF($M814="","",$M814-$B814),IF(设置!$B$6&lt;$B814,"",IF((设置!$B$6-$B814)&gt;=设置!$B$5,"超期"&amp;(设置!$B$6-$B814)&amp;"天","已等"&amp;(设置!$B$6-$B814)&amp;"天"))))</f>
        <v/>
      </c>
      <c r="O814" s="18" t="str">
        <f aca="false">IF(OR($D814="",$E814=""),"",COUNTIFS($D$7:$D814,$D814,$E$7:$E814,$E814))</f>
        <v/>
      </c>
      <c r="P814" s="16"/>
      <c r="Q814" s="19"/>
      <c r="R814" s="10"/>
      <c r="S814" s="16"/>
      <c r="T814" s="0" t="str">
        <f aca="false">IF(OR($D814="",单元查询!$B$3=""),"",IF($D814&lt;&gt;单元查询!$B$3,"",IF(OR(单元查询!$D$3="",$E814&amp;""=单元查询!$D$3&amp;""),IF(ISNUMBER($B814),$B814*10000,0)+ROW(),"")))</f>
        <v/>
      </c>
      <c r="U814" s="0" t="str">
        <f aca="false">IF(OR($B814="",$L814="已完成"),"",IF(ISNUMBER($B814),IF(设置!$B$6&lt;$B814,"",(设置!$B$6-$B814)*100000+ROW()),""))</f>
        <v/>
      </c>
      <c r="V814" s="0" t="str">
        <f aca="false">IF(ISNUMBER($O814),IF($O814&gt;=2,IF(COUNTIFS($D814:$D$2006,$D814,$E814:$E$2006,$E814)=1,ROW(),""),""),"")</f>
        <v/>
      </c>
    </row>
    <row r="815" customFormat="false" ht="15" hidden="false" customHeight="true" outlineLevel="0" collapsed="false">
      <c r="A815" s="13" t="str">
        <f aca="false">IF(AND($B815="",$D815="",$E815="",$F815=""),"",IF(OR($B815="",$D815="",$E815=""),"待补",IF($D815="公共区域","公",IF($D815="商铺","S",SUBSTITUTE($D815,"栋","")))&amp;"-"&amp;$E815&amp;"-"&amp;TEXT(MONTH($B815),"00")&amp;TEXT(DAY($B815),"00")&amp;IF(ISNUMBER($O815),IF($O815&gt;1,"-"&amp;TEXT($O815,"00"),""),"")))</f>
        <v/>
      </c>
      <c r="B815" s="14"/>
      <c r="C815" s="10"/>
      <c r="D815" s="10"/>
      <c r="E815" s="10"/>
      <c r="F815" s="16"/>
      <c r="G815" s="10"/>
      <c r="H815" s="10"/>
      <c r="I815" s="10"/>
      <c r="J815" s="10"/>
      <c r="K815" s="10"/>
      <c r="L815" s="10"/>
      <c r="M815" s="14"/>
      <c r="N815" s="17" t="str">
        <f aca="false">IF($B815="","",IF($L815="已完成",IF($M815="","",$M815-$B815),IF(设置!$B$6&lt;$B815,"",IF((设置!$B$6-$B815)&gt;=设置!$B$5,"超期"&amp;(设置!$B$6-$B815)&amp;"天","已等"&amp;(设置!$B$6-$B815)&amp;"天"))))</f>
        <v/>
      </c>
      <c r="O815" s="18" t="str">
        <f aca="false">IF(OR($D815="",$E815=""),"",COUNTIFS($D$7:$D815,$D815,$E$7:$E815,$E815))</f>
        <v/>
      </c>
      <c r="P815" s="16"/>
      <c r="Q815" s="19"/>
      <c r="R815" s="10"/>
      <c r="S815" s="16"/>
      <c r="T815" s="0" t="str">
        <f aca="false">IF(OR($D815="",单元查询!$B$3=""),"",IF($D815&lt;&gt;单元查询!$B$3,"",IF(OR(单元查询!$D$3="",$E815&amp;""=单元查询!$D$3&amp;""),IF(ISNUMBER($B815),$B815*10000,0)+ROW(),"")))</f>
        <v/>
      </c>
      <c r="U815" s="0" t="str">
        <f aca="false">IF(OR($B815="",$L815="已完成"),"",IF(ISNUMBER($B815),IF(设置!$B$6&lt;$B815,"",(设置!$B$6-$B815)*100000+ROW()),""))</f>
        <v/>
      </c>
      <c r="V815" s="0" t="str">
        <f aca="false">IF(ISNUMBER($O815),IF($O815&gt;=2,IF(COUNTIFS($D815:$D$2006,$D815,$E815:$E$2006,$E815)=1,ROW(),""),""),"")</f>
        <v/>
      </c>
    </row>
    <row r="816" customFormat="false" ht="15" hidden="false" customHeight="true" outlineLevel="0" collapsed="false">
      <c r="A816" s="13" t="str">
        <f aca="false">IF(AND($B816="",$D816="",$E816="",$F816=""),"",IF(OR($B816="",$D816="",$E816=""),"待补",IF($D816="公共区域","公",IF($D816="商铺","S",SUBSTITUTE($D816,"栋","")))&amp;"-"&amp;$E816&amp;"-"&amp;TEXT(MONTH($B816),"00")&amp;TEXT(DAY($B816),"00")&amp;IF(ISNUMBER($O816),IF($O816&gt;1,"-"&amp;TEXT($O816,"00"),""),"")))</f>
        <v/>
      </c>
      <c r="B816" s="14"/>
      <c r="C816" s="10"/>
      <c r="D816" s="10"/>
      <c r="E816" s="10"/>
      <c r="F816" s="16"/>
      <c r="G816" s="10"/>
      <c r="H816" s="10"/>
      <c r="I816" s="10"/>
      <c r="J816" s="10"/>
      <c r="K816" s="10"/>
      <c r="L816" s="10"/>
      <c r="M816" s="14"/>
      <c r="N816" s="17" t="str">
        <f aca="false">IF($B816="","",IF($L816="已完成",IF($M816="","",$M816-$B816),IF(设置!$B$6&lt;$B816,"",IF((设置!$B$6-$B816)&gt;=设置!$B$5,"超期"&amp;(设置!$B$6-$B816)&amp;"天","已等"&amp;(设置!$B$6-$B816)&amp;"天"))))</f>
        <v/>
      </c>
      <c r="O816" s="18" t="str">
        <f aca="false">IF(OR($D816="",$E816=""),"",COUNTIFS($D$7:$D816,$D816,$E$7:$E816,$E816))</f>
        <v/>
      </c>
      <c r="P816" s="16"/>
      <c r="Q816" s="19"/>
      <c r="R816" s="10"/>
      <c r="S816" s="16"/>
      <c r="T816" s="0" t="str">
        <f aca="false">IF(OR($D816="",单元查询!$B$3=""),"",IF($D816&lt;&gt;单元查询!$B$3,"",IF(OR(单元查询!$D$3="",$E816&amp;""=单元查询!$D$3&amp;""),IF(ISNUMBER($B816),$B816*10000,0)+ROW(),"")))</f>
        <v/>
      </c>
      <c r="U816" s="0" t="str">
        <f aca="false">IF(OR($B816="",$L816="已完成"),"",IF(ISNUMBER($B816),IF(设置!$B$6&lt;$B816,"",(设置!$B$6-$B816)*100000+ROW()),""))</f>
        <v/>
      </c>
      <c r="V816" s="0" t="str">
        <f aca="false">IF(ISNUMBER($O816),IF($O816&gt;=2,IF(COUNTIFS($D816:$D$2006,$D816,$E816:$E$2006,$E816)=1,ROW(),""),""),"")</f>
        <v/>
      </c>
    </row>
    <row r="817" customFormat="false" ht="15" hidden="false" customHeight="true" outlineLevel="0" collapsed="false">
      <c r="A817" s="13" t="str">
        <f aca="false">IF(AND($B817="",$D817="",$E817="",$F817=""),"",IF(OR($B817="",$D817="",$E817=""),"待补",IF($D817="公共区域","公",IF($D817="商铺","S",SUBSTITUTE($D817,"栋","")))&amp;"-"&amp;$E817&amp;"-"&amp;TEXT(MONTH($B817),"00")&amp;TEXT(DAY($B817),"00")&amp;IF(ISNUMBER($O817),IF($O817&gt;1,"-"&amp;TEXT($O817,"00"),""),"")))</f>
        <v/>
      </c>
      <c r="B817" s="14"/>
      <c r="C817" s="10"/>
      <c r="D817" s="10"/>
      <c r="E817" s="10"/>
      <c r="F817" s="16"/>
      <c r="G817" s="10"/>
      <c r="H817" s="10"/>
      <c r="I817" s="10"/>
      <c r="J817" s="10"/>
      <c r="K817" s="10"/>
      <c r="L817" s="10"/>
      <c r="M817" s="14"/>
      <c r="N817" s="17" t="str">
        <f aca="false">IF($B817="","",IF($L817="已完成",IF($M817="","",$M817-$B817),IF(设置!$B$6&lt;$B817,"",IF((设置!$B$6-$B817)&gt;=设置!$B$5,"超期"&amp;(设置!$B$6-$B817)&amp;"天","已等"&amp;(设置!$B$6-$B817)&amp;"天"))))</f>
        <v/>
      </c>
      <c r="O817" s="18" t="str">
        <f aca="false">IF(OR($D817="",$E817=""),"",COUNTIFS($D$7:$D817,$D817,$E$7:$E817,$E817))</f>
        <v/>
      </c>
      <c r="P817" s="16"/>
      <c r="Q817" s="19"/>
      <c r="R817" s="10"/>
      <c r="S817" s="16"/>
      <c r="T817" s="0" t="str">
        <f aca="false">IF(OR($D817="",单元查询!$B$3=""),"",IF($D817&lt;&gt;单元查询!$B$3,"",IF(OR(单元查询!$D$3="",$E817&amp;""=单元查询!$D$3&amp;""),IF(ISNUMBER($B817),$B817*10000,0)+ROW(),"")))</f>
        <v/>
      </c>
      <c r="U817" s="0" t="str">
        <f aca="false">IF(OR($B817="",$L817="已完成"),"",IF(ISNUMBER($B817),IF(设置!$B$6&lt;$B817,"",(设置!$B$6-$B817)*100000+ROW()),""))</f>
        <v/>
      </c>
      <c r="V817" s="0" t="str">
        <f aca="false">IF(ISNUMBER($O817),IF($O817&gt;=2,IF(COUNTIFS($D817:$D$2006,$D817,$E817:$E$2006,$E817)=1,ROW(),""),""),"")</f>
        <v/>
      </c>
    </row>
    <row r="818" customFormat="false" ht="15" hidden="false" customHeight="true" outlineLevel="0" collapsed="false">
      <c r="A818" s="13" t="str">
        <f aca="false">IF(AND($B818="",$D818="",$E818="",$F818=""),"",IF(OR($B818="",$D818="",$E818=""),"待补",IF($D818="公共区域","公",IF($D818="商铺","S",SUBSTITUTE($D818,"栋","")))&amp;"-"&amp;$E818&amp;"-"&amp;TEXT(MONTH($B818),"00")&amp;TEXT(DAY($B818),"00")&amp;IF(ISNUMBER($O818),IF($O818&gt;1,"-"&amp;TEXT($O818,"00"),""),"")))</f>
        <v/>
      </c>
      <c r="B818" s="14"/>
      <c r="C818" s="10"/>
      <c r="D818" s="10"/>
      <c r="E818" s="10"/>
      <c r="F818" s="16"/>
      <c r="G818" s="10"/>
      <c r="H818" s="10"/>
      <c r="I818" s="10"/>
      <c r="J818" s="10"/>
      <c r="K818" s="10"/>
      <c r="L818" s="10"/>
      <c r="M818" s="14"/>
      <c r="N818" s="17" t="str">
        <f aca="false">IF($B818="","",IF($L818="已完成",IF($M818="","",$M818-$B818),IF(设置!$B$6&lt;$B818,"",IF((设置!$B$6-$B818)&gt;=设置!$B$5,"超期"&amp;(设置!$B$6-$B818)&amp;"天","已等"&amp;(设置!$B$6-$B818)&amp;"天"))))</f>
        <v/>
      </c>
      <c r="O818" s="18" t="str">
        <f aca="false">IF(OR($D818="",$E818=""),"",COUNTIFS($D$7:$D818,$D818,$E$7:$E818,$E818))</f>
        <v/>
      </c>
      <c r="P818" s="16"/>
      <c r="Q818" s="19"/>
      <c r="R818" s="10"/>
      <c r="S818" s="16"/>
      <c r="T818" s="0" t="str">
        <f aca="false">IF(OR($D818="",单元查询!$B$3=""),"",IF($D818&lt;&gt;单元查询!$B$3,"",IF(OR(单元查询!$D$3="",$E818&amp;""=单元查询!$D$3&amp;""),IF(ISNUMBER($B818),$B818*10000,0)+ROW(),"")))</f>
        <v/>
      </c>
      <c r="U818" s="0" t="str">
        <f aca="false">IF(OR($B818="",$L818="已完成"),"",IF(ISNUMBER($B818),IF(设置!$B$6&lt;$B818,"",(设置!$B$6-$B818)*100000+ROW()),""))</f>
        <v/>
      </c>
      <c r="V818" s="0" t="str">
        <f aca="false">IF(ISNUMBER($O818),IF($O818&gt;=2,IF(COUNTIFS($D818:$D$2006,$D818,$E818:$E$2006,$E818)=1,ROW(),""),""),"")</f>
        <v/>
      </c>
    </row>
    <row r="819" customFormat="false" ht="15" hidden="false" customHeight="true" outlineLevel="0" collapsed="false">
      <c r="A819" s="13" t="str">
        <f aca="false">IF(AND($B819="",$D819="",$E819="",$F819=""),"",IF(OR($B819="",$D819="",$E819=""),"待补",IF($D819="公共区域","公",IF($D819="商铺","S",SUBSTITUTE($D819,"栋","")))&amp;"-"&amp;$E819&amp;"-"&amp;TEXT(MONTH($B819),"00")&amp;TEXT(DAY($B819),"00")&amp;IF(ISNUMBER($O819),IF($O819&gt;1,"-"&amp;TEXT($O819,"00"),""),"")))</f>
        <v/>
      </c>
      <c r="B819" s="14"/>
      <c r="C819" s="10"/>
      <c r="D819" s="10"/>
      <c r="E819" s="10"/>
      <c r="F819" s="16"/>
      <c r="G819" s="10"/>
      <c r="H819" s="10"/>
      <c r="I819" s="10"/>
      <c r="J819" s="10"/>
      <c r="K819" s="10"/>
      <c r="L819" s="10"/>
      <c r="M819" s="14"/>
      <c r="N819" s="17" t="str">
        <f aca="false">IF($B819="","",IF($L819="已完成",IF($M819="","",$M819-$B819),IF(设置!$B$6&lt;$B819,"",IF((设置!$B$6-$B819)&gt;=设置!$B$5,"超期"&amp;(设置!$B$6-$B819)&amp;"天","已等"&amp;(设置!$B$6-$B819)&amp;"天"))))</f>
        <v/>
      </c>
      <c r="O819" s="18" t="str">
        <f aca="false">IF(OR($D819="",$E819=""),"",COUNTIFS($D$7:$D819,$D819,$E$7:$E819,$E819))</f>
        <v/>
      </c>
      <c r="P819" s="16"/>
      <c r="Q819" s="19"/>
      <c r="R819" s="10"/>
      <c r="S819" s="16"/>
      <c r="T819" s="0" t="str">
        <f aca="false">IF(OR($D819="",单元查询!$B$3=""),"",IF($D819&lt;&gt;单元查询!$B$3,"",IF(OR(单元查询!$D$3="",$E819&amp;""=单元查询!$D$3&amp;""),IF(ISNUMBER($B819),$B819*10000,0)+ROW(),"")))</f>
        <v/>
      </c>
      <c r="U819" s="0" t="str">
        <f aca="false">IF(OR($B819="",$L819="已完成"),"",IF(ISNUMBER($B819),IF(设置!$B$6&lt;$B819,"",(设置!$B$6-$B819)*100000+ROW()),""))</f>
        <v/>
      </c>
      <c r="V819" s="0" t="str">
        <f aca="false">IF(ISNUMBER($O819),IF($O819&gt;=2,IF(COUNTIFS($D819:$D$2006,$D819,$E819:$E$2006,$E819)=1,ROW(),""),""),"")</f>
        <v/>
      </c>
    </row>
    <row r="820" customFormat="false" ht="15" hidden="false" customHeight="true" outlineLevel="0" collapsed="false">
      <c r="A820" s="13" t="str">
        <f aca="false">IF(AND($B820="",$D820="",$E820="",$F820=""),"",IF(OR($B820="",$D820="",$E820=""),"待补",IF($D820="公共区域","公",IF($D820="商铺","S",SUBSTITUTE($D820,"栋","")))&amp;"-"&amp;$E820&amp;"-"&amp;TEXT(MONTH($B820),"00")&amp;TEXT(DAY($B820),"00")&amp;IF(ISNUMBER($O820),IF($O820&gt;1,"-"&amp;TEXT($O820,"00"),""),"")))</f>
        <v/>
      </c>
      <c r="B820" s="14"/>
      <c r="C820" s="10"/>
      <c r="D820" s="10"/>
      <c r="E820" s="10"/>
      <c r="F820" s="16"/>
      <c r="G820" s="10"/>
      <c r="H820" s="10"/>
      <c r="I820" s="10"/>
      <c r="J820" s="10"/>
      <c r="K820" s="10"/>
      <c r="L820" s="10"/>
      <c r="M820" s="14"/>
      <c r="N820" s="17" t="str">
        <f aca="false">IF($B820="","",IF($L820="已完成",IF($M820="","",$M820-$B820),IF(设置!$B$6&lt;$B820,"",IF((设置!$B$6-$B820)&gt;=设置!$B$5,"超期"&amp;(设置!$B$6-$B820)&amp;"天","已等"&amp;(设置!$B$6-$B820)&amp;"天"))))</f>
        <v/>
      </c>
      <c r="O820" s="18" t="str">
        <f aca="false">IF(OR($D820="",$E820=""),"",COUNTIFS($D$7:$D820,$D820,$E$7:$E820,$E820))</f>
        <v/>
      </c>
      <c r="P820" s="16"/>
      <c r="Q820" s="19"/>
      <c r="R820" s="10"/>
      <c r="S820" s="16"/>
      <c r="T820" s="0" t="str">
        <f aca="false">IF(OR($D820="",单元查询!$B$3=""),"",IF($D820&lt;&gt;单元查询!$B$3,"",IF(OR(单元查询!$D$3="",$E820&amp;""=单元查询!$D$3&amp;""),IF(ISNUMBER($B820),$B820*10000,0)+ROW(),"")))</f>
        <v/>
      </c>
      <c r="U820" s="0" t="str">
        <f aca="false">IF(OR($B820="",$L820="已完成"),"",IF(ISNUMBER($B820),IF(设置!$B$6&lt;$B820,"",(设置!$B$6-$B820)*100000+ROW()),""))</f>
        <v/>
      </c>
      <c r="V820" s="0" t="str">
        <f aca="false">IF(ISNUMBER($O820),IF($O820&gt;=2,IF(COUNTIFS($D820:$D$2006,$D820,$E820:$E$2006,$E820)=1,ROW(),""),""),"")</f>
        <v/>
      </c>
    </row>
    <row r="821" customFormat="false" ht="15" hidden="false" customHeight="true" outlineLevel="0" collapsed="false">
      <c r="A821" s="13" t="str">
        <f aca="false">IF(AND($B821="",$D821="",$E821="",$F821=""),"",IF(OR($B821="",$D821="",$E821=""),"待补",IF($D821="公共区域","公",IF($D821="商铺","S",SUBSTITUTE($D821,"栋","")))&amp;"-"&amp;$E821&amp;"-"&amp;TEXT(MONTH($B821),"00")&amp;TEXT(DAY($B821),"00")&amp;IF(ISNUMBER($O821),IF($O821&gt;1,"-"&amp;TEXT($O821,"00"),""),"")))</f>
        <v/>
      </c>
      <c r="B821" s="14"/>
      <c r="C821" s="10"/>
      <c r="D821" s="10"/>
      <c r="E821" s="10"/>
      <c r="F821" s="16"/>
      <c r="G821" s="10"/>
      <c r="H821" s="10"/>
      <c r="I821" s="10"/>
      <c r="J821" s="10"/>
      <c r="K821" s="10"/>
      <c r="L821" s="10"/>
      <c r="M821" s="14"/>
      <c r="N821" s="17" t="str">
        <f aca="false">IF($B821="","",IF($L821="已完成",IF($M821="","",$M821-$B821),IF(设置!$B$6&lt;$B821,"",IF((设置!$B$6-$B821)&gt;=设置!$B$5,"超期"&amp;(设置!$B$6-$B821)&amp;"天","已等"&amp;(设置!$B$6-$B821)&amp;"天"))))</f>
        <v/>
      </c>
      <c r="O821" s="18" t="str">
        <f aca="false">IF(OR($D821="",$E821=""),"",COUNTIFS($D$7:$D821,$D821,$E$7:$E821,$E821))</f>
        <v/>
      </c>
      <c r="P821" s="16"/>
      <c r="Q821" s="19"/>
      <c r="R821" s="10"/>
      <c r="S821" s="16"/>
      <c r="T821" s="0" t="str">
        <f aca="false">IF(OR($D821="",单元查询!$B$3=""),"",IF($D821&lt;&gt;单元查询!$B$3,"",IF(OR(单元查询!$D$3="",$E821&amp;""=单元查询!$D$3&amp;""),IF(ISNUMBER($B821),$B821*10000,0)+ROW(),"")))</f>
        <v/>
      </c>
      <c r="U821" s="0" t="str">
        <f aca="false">IF(OR($B821="",$L821="已完成"),"",IF(ISNUMBER($B821),IF(设置!$B$6&lt;$B821,"",(设置!$B$6-$B821)*100000+ROW()),""))</f>
        <v/>
      </c>
      <c r="V821" s="0" t="str">
        <f aca="false">IF(ISNUMBER($O821),IF($O821&gt;=2,IF(COUNTIFS($D821:$D$2006,$D821,$E821:$E$2006,$E821)=1,ROW(),""),""),"")</f>
        <v/>
      </c>
    </row>
    <row r="822" customFormat="false" ht="15" hidden="false" customHeight="true" outlineLevel="0" collapsed="false">
      <c r="A822" s="13" t="str">
        <f aca="false">IF(AND($B822="",$D822="",$E822="",$F822=""),"",IF(OR($B822="",$D822="",$E822=""),"待补",IF($D822="公共区域","公",IF($D822="商铺","S",SUBSTITUTE($D822,"栋","")))&amp;"-"&amp;$E822&amp;"-"&amp;TEXT(MONTH($B822),"00")&amp;TEXT(DAY($B822),"00")&amp;IF(ISNUMBER($O822),IF($O822&gt;1,"-"&amp;TEXT($O822,"00"),""),"")))</f>
        <v/>
      </c>
      <c r="B822" s="14"/>
      <c r="C822" s="10"/>
      <c r="D822" s="10"/>
      <c r="E822" s="10"/>
      <c r="F822" s="16"/>
      <c r="G822" s="10"/>
      <c r="H822" s="10"/>
      <c r="I822" s="10"/>
      <c r="J822" s="10"/>
      <c r="K822" s="10"/>
      <c r="L822" s="10"/>
      <c r="M822" s="14"/>
      <c r="N822" s="17" t="str">
        <f aca="false">IF($B822="","",IF($L822="已完成",IF($M822="","",$M822-$B822),IF(设置!$B$6&lt;$B822,"",IF((设置!$B$6-$B822)&gt;=设置!$B$5,"超期"&amp;(设置!$B$6-$B822)&amp;"天","已等"&amp;(设置!$B$6-$B822)&amp;"天"))))</f>
        <v/>
      </c>
      <c r="O822" s="18" t="str">
        <f aca="false">IF(OR($D822="",$E822=""),"",COUNTIFS($D$7:$D822,$D822,$E$7:$E822,$E822))</f>
        <v/>
      </c>
      <c r="P822" s="16"/>
      <c r="Q822" s="19"/>
      <c r="R822" s="10"/>
      <c r="S822" s="16"/>
      <c r="T822" s="0" t="str">
        <f aca="false">IF(OR($D822="",单元查询!$B$3=""),"",IF($D822&lt;&gt;单元查询!$B$3,"",IF(OR(单元查询!$D$3="",$E822&amp;""=单元查询!$D$3&amp;""),IF(ISNUMBER($B822),$B822*10000,0)+ROW(),"")))</f>
        <v/>
      </c>
      <c r="U822" s="0" t="str">
        <f aca="false">IF(OR($B822="",$L822="已完成"),"",IF(ISNUMBER($B822),IF(设置!$B$6&lt;$B822,"",(设置!$B$6-$B822)*100000+ROW()),""))</f>
        <v/>
      </c>
      <c r="V822" s="0" t="str">
        <f aca="false">IF(ISNUMBER($O822),IF($O822&gt;=2,IF(COUNTIFS($D822:$D$2006,$D822,$E822:$E$2006,$E822)=1,ROW(),""),""),"")</f>
        <v/>
      </c>
    </row>
    <row r="823" customFormat="false" ht="15" hidden="false" customHeight="true" outlineLevel="0" collapsed="false">
      <c r="A823" s="13" t="str">
        <f aca="false">IF(AND($B823="",$D823="",$E823="",$F823=""),"",IF(OR($B823="",$D823="",$E823=""),"待补",IF($D823="公共区域","公",IF($D823="商铺","S",SUBSTITUTE($D823,"栋","")))&amp;"-"&amp;$E823&amp;"-"&amp;TEXT(MONTH($B823),"00")&amp;TEXT(DAY($B823),"00")&amp;IF(ISNUMBER($O823),IF($O823&gt;1,"-"&amp;TEXT($O823,"00"),""),"")))</f>
        <v/>
      </c>
      <c r="B823" s="14"/>
      <c r="C823" s="10"/>
      <c r="D823" s="10"/>
      <c r="E823" s="10"/>
      <c r="F823" s="16"/>
      <c r="G823" s="10"/>
      <c r="H823" s="10"/>
      <c r="I823" s="10"/>
      <c r="J823" s="10"/>
      <c r="K823" s="10"/>
      <c r="L823" s="10"/>
      <c r="M823" s="14"/>
      <c r="N823" s="17" t="str">
        <f aca="false">IF($B823="","",IF($L823="已完成",IF($M823="","",$M823-$B823),IF(设置!$B$6&lt;$B823,"",IF((设置!$B$6-$B823)&gt;=设置!$B$5,"超期"&amp;(设置!$B$6-$B823)&amp;"天","已等"&amp;(设置!$B$6-$B823)&amp;"天"))))</f>
        <v/>
      </c>
      <c r="O823" s="18" t="str">
        <f aca="false">IF(OR($D823="",$E823=""),"",COUNTIFS($D$7:$D823,$D823,$E$7:$E823,$E823))</f>
        <v/>
      </c>
      <c r="P823" s="16"/>
      <c r="Q823" s="19"/>
      <c r="R823" s="10"/>
      <c r="S823" s="16"/>
      <c r="T823" s="0" t="str">
        <f aca="false">IF(OR($D823="",单元查询!$B$3=""),"",IF($D823&lt;&gt;单元查询!$B$3,"",IF(OR(单元查询!$D$3="",$E823&amp;""=单元查询!$D$3&amp;""),IF(ISNUMBER($B823),$B823*10000,0)+ROW(),"")))</f>
        <v/>
      </c>
      <c r="U823" s="0" t="str">
        <f aca="false">IF(OR($B823="",$L823="已完成"),"",IF(ISNUMBER($B823),IF(设置!$B$6&lt;$B823,"",(设置!$B$6-$B823)*100000+ROW()),""))</f>
        <v/>
      </c>
      <c r="V823" s="0" t="str">
        <f aca="false">IF(ISNUMBER($O823),IF($O823&gt;=2,IF(COUNTIFS($D823:$D$2006,$D823,$E823:$E$2006,$E823)=1,ROW(),""),""),"")</f>
        <v/>
      </c>
    </row>
    <row r="824" customFormat="false" ht="15" hidden="false" customHeight="true" outlineLevel="0" collapsed="false">
      <c r="A824" s="13" t="str">
        <f aca="false">IF(AND($B824="",$D824="",$E824="",$F824=""),"",IF(OR($B824="",$D824="",$E824=""),"待补",IF($D824="公共区域","公",IF($D824="商铺","S",SUBSTITUTE($D824,"栋","")))&amp;"-"&amp;$E824&amp;"-"&amp;TEXT(MONTH($B824),"00")&amp;TEXT(DAY($B824),"00")&amp;IF(ISNUMBER($O824),IF($O824&gt;1,"-"&amp;TEXT($O824,"00"),""),"")))</f>
        <v/>
      </c>
      <c r="B824" s="14"/>
      <c r="C824" s="10"/>
      <c r="D824" s="10"/>
      <c r="E824" s="10"/>
      <c r="F824" s="16"/>
      <c r="G824" s="10"/>
      <c r="H824" s="10"/>
      <c r="I824" s="10"/>
      <c r="J824" s="10"/>
      <c r="K824" s="10"/>
      <c r="L824" s="10"/>
      <c r="M824" s="14"/>
      <c r="N824" s="17" t="str">
        <f aca="false">IF($B824="","",IF($L824="已完成",IF($M824="","",$M824-$B824),IF(设置!$B$6&lt;$B824,"",IF((设置!$B$6-$B824)&gt;=设置!$B$5,"超期"&amp;(设置!$B$6-$B824)&amp;"天","已等"&amp;(设置!$B$6-$B824)&amp;"天"))))</f>
        <v/>
      </c>
      <c r="O824" s="18" t="str">
        <f aca="false">IF(OR($D824="",$E824=""),"",COUNTIFS($D$7:$D824,$D824,$E$7:$E824,$E824))</f>
        <v/>
      </c>
      <c r="P824" s="16"/>
      <c r="Q824" s="19"/>
      <c r="R824" s="10"/>
      <c r="S824" s="16"/>
      <c r="T824" s="0" t="str">
        <f aca="false">IF(OR($D824="",单元查询!$B$3=""),"",IF($D824&lt;&gt;单元查询!$B$3,"",IF(OR(单元查询!$D$3="",$E824&amp;""=单元查询!$D$3&amp;""),IF(ISNUMBER($B824),$B824*10000,0)+ROW(),"")))</f>
        <v/>
      </c>
      <c r="U824" s="0" t="str">
        <f aca="false">IF(OR($B824="",$L824="已完成"),"",IF(ISNUMBER($B824),IF(设置!$B$6&lt;$B824,"",(设置!$B$6-$B824)*100000+ROW()),""))</f>
        <v/>
      </c>
      <c r="V824" s="0" t="str">
        <f aca="false">IF(ISNUMBER($O824),IF($O824&gt;=2,IF(COUNTIFS($D824:$D$2006,$D824,$E824:$E$2006,$E824)=1,ROW(),""),""),"")</f>
        <v/>
      </c>
    </row>
    <row r="825" customFormat="false" ht="15" hidden="false" customHeight="true" outlineLevel="0" collapsed="false">
      <c r="A825" s="13" t="str">
        <f aca="false">IF(AND($B825="",$D825="",$E825="",$F825=""),"",IF(OR($B825="",$D825="",$E825=""),"待补",IF($D825="公共区域","公",IF($D825="商铺","S",SUBSTITUTE($D825,"栋","")))&amp;"-"&amp;$E825&amp;"-"&amp;TEXT(MONTH($B825),"00")&amp;TEXT(DAY($B825),"00")&amp;IF(ISNUMBER($O825),IF($O825&gt;1,"-"&amp;TEXT($O825,"00"),""),"")))</f>
        <v/>
      </c>
      <c r="B825" s="14"/>
      <c r="C825" s="10"/>
      <c r="D825" s="10"/>
      <c r="E825" s="10"/>
      <c r="F825" s="16"/>
      <c r="G825" s="10"/>
      <c r="H825" s="10"/>
      <c r="I825" s="10"/>
      <c r="J825" s="10"/>
      <c r="K825" s="10"/>
      <c r="L825" s="10"/>
      <c r="M825" s="14"/>
      <c r="N825" s="17" t="str">
        <f aca="false">IF($B825="","",IF($L825="已完成",IF($M825="","",$M825-$B825),IF(设置!$B$6&lt;$B825,"",IF((设置!$B$6-$B825)&gt;=设置!$B$5,"超期"&amp;(设置!$B$6-$B825)&amp;"天","已等"&amp;(设置!$B$6-$B825)&amp;"天"))))</f>
        <v/>
      </c>
      <c r="O825" s="18" t="str">
        <f aca="false">IF(OR($D825="",$E825=""),"",COUNTIFS($D$7:$D825,$D825,$E$7:$E825,$E825))</f>
        <v/>
      </c>
      <c r="P825" s="16"/>
      <c r="Q825" s="19"/>
      <c r="R825" s="10"/>
      <c r="S825" s="16"/>
      <c r="T825" s="0" t="str">
        <f aca="false">IF(OR($D825="",单元查询!$B$3=""),"",IF($D825&lt;&gt;单元查询!$B$3,"",IF(OR(单元查询!$D$3="",$E825&amp;""=单元查询!$D$3&amp;""),IF(ISNUMBER($B825),$B825*10000,0)+ROW(),"")))</f>
        <v/>
      </c>
      <c r="U825" s="0" t="str">
        <f aca="false">IF(OR($B825="",$L825="已完成"),"",IF(ISNUMBER($B825),IF(设置!$B$6&lt;$B825,"",(设置!$B$6-$B825)*100000+ROW()),""))</f>
        <v/>
      </c>
      <c r="V825" s="0" t="str">
        <f aca="false">IF(ISNUMBER($O825),IF($O825&gt;=2,IF(COUNTIFS($D825:$D$2006,$D825,$E825:$E$2006,$E825)=1,ROW(),""),""),"")</f>
        <v/>
      </c>
    </row>
    <row r="826" customFormat="false" ht="15" hidden="false" customHeight="true" outlineLevel="0" collapsed="false">
      <c r="A826" s="13" t="str">
        <f aca="false">IF(AND($B826="",$D826="",$E826="",$F826=""),"",IF(OR($B826="",$D826="",$E826=""),"待补",IF($D826="公共区域","公",IF($D826="商铺","S",SUBSTITUTE($D826,"栋","")))&amp;"-"&amp;$E826&amp;"-"&amp;TEXT(MONTH($B826),"00")&amp;TEXT(DAY($B826),"00")&amp;IF(ISNUMBER($O826),IF($O826&gt;1,"-"&amp;TEXT($O826,"00"),""),"")))</f>
        <v/>
      </c>
      <c r="B826" s="14"/>
      <c r="C826" s="10"/>
      <c r="D826" s="10"/>
      <c r="E826" s="10"/>
      <c r="F826" s="16"/>
      <c r="G826" s="10"/>
      <c r="H826" s="10"/>
      <c r="I826" s="10"/>
      <c r="J826" s="10"/>
      <c r="K826" s="10"/>
      <c r="L826" s="10"/>
      <c r="M826" s="14"/>
      <c r="N826" s="17" t="str">
        <f aca="false">IF($B826="","",IF($L826="已完成",IF($M826="","",$M826-$B826),IF(设置!$B$6&lt;$B826,"",IF((设置!$B$6-$B826)&gt;=设置!$B$5,"超期"&amp;(设置!$B$6-$B826)&amp;"天","已等"&amp;(设置!$B$6-$B826)&amp;"天"))))</f>
        <v/>
      </c>
      <c r="O826" s="18" t="str">
        <f aca="false">IF(OR($D826="",$E826=""),"",COUNTIFS($D$7:$D826,$D826,$E$7:$E826,$E826))</f>
        <v/>
      </c>
      <c r="P826" s="16"/>
      <c r="Q826" s="19"/>
      <c r="R826" s="10"/>
      <c r="S826" s="16"/>
      <c r="T826" s="0" t="str">
        <f aca="false">IF(OR($D826="",单元查询!$B$3=""),"",IF($D826&lt;&gt;单元查询!$B$3,"",IF(OR(单元查询!$D$3="",$E826&amp;""=单元查询!$D$3&amp;""),IF(ISNUMBER($B826),$B826*10000,0)+ROW(),"")))</f>
        <v/>
      </c>
      <c r="U826" s="0" t="str">
        <f aca="false">IF(OR($B826="",$L826="已完成"),"",IF(ISNUMBER($B826),IF(设置!$B$6&lt;$B826,"",(设置!$B$6-$B826)*100000+ROW()),""))</f>
        <v/>
      </c>
      <c r="V826" s="0" t="str">
        <f aca="false">IF(ISNUMBER($O826),IF($O826&gt;=2,IF(COUNTIFS($D826:$D$2006,$D826,$E826:$E$2006,$E826)=1,ROW(),""),""),"")</f>
        <v/>
      </c>
    </row>
    <row r="827" customFormat="false" ht="15" hidden="false" customHeight="true" outlineLevel="0" collapsed="false">
      <c r="A827" s="13" t="str">
        <f aca="false">IF(AND($B827="",$D827="",$E827="",$F827=""),"",IF(OR($B827="",$D827="",$E827=""),"待补",IF($D827="公共区域","公",IF($D827="商铺","S",SUBSTITUTE($D827,"栋","")))&amp;"-"&amp;$E827&amp;"-"&amp;TEXT(MONTH($B827),"00")&amp;TEXT(DAY($B827),"00")&amp;IF(ISNUMBER($O827),IF($O827&gt;1,"-"&amp;TEXT($O827,"00"),""),"")))</f>
        <v/>
      </c>
      <c r="B827" s="14"/>
      <c r="C827" s="10"/>
      <c r="D827" s="10"/>
      <c r="E827" s="10"/>
      <c r="F827" s="16"/>
      <c r="G827" s="10"/>
      <c r="H827" s="10"/>
      <c r="I827" s="10"/>
      <c r="J827" s="10"/>
      <c r="K827" s="10"/>
      <c r="L827" s="10"/>
      <c r="M827" s="14"/>
      <c r="N827" s="17" t="str">
        <f aca="false">IF($B827="","",IF($L827="已完成",IF($M827="","",$M827-$B827),IF(设置!$B$6&lt;$B827,"",IF((设置!$B$6-$B827)&gt;=设置!$B$5,"超期"&amp;(设置!$B$6-$B827)&amp;"天","已等"&amp;(设置!$B$6-$B827)&amp;"天"))))</f>
        <v/>
      </c>
      <c r="O827" s="18" t="str">
        <f aca="false">IF(OR($D827="",$E827=""),"",COUNTIFS($D$7:$D827,$D827,$E$7:$E827,$E827))</f>
        <v/>
      </c>
      <c r="P827" s="16"/>
      <c r="Q827" s="19"/>
      <c r="R827" s="10"/>
      <c r="S827" s="16"/>
      <c r="T827" s="0" t="str">
        <f aca="false">IF(OR($D827="",单元查询!$B$3=""),"",IF($D827&lt;&gt;单元查询!$B$3,"",IF(OR(单元查询!$D$3="",$E827&amp;""=单元查询!$D$3&amp;""),IF(ISNUMBER($B827),$B827*10000,0)+ROW(),"")))</f>
        <v/>
      </c>
      <c r="U827" s="0" t="str">
        <f aca="false">IF(OR($B827="",$L827="已完成"),"",IF(ISNUMBER($B827),IF(设置!$B$6&lt;$B827,"",(设置!$B$6-$B827)*100000+ROW()),""))</f>
        <v/>
      </c>
      <c r="V827" s="0" t="str">
        <f aca="false">IF(ISNUMBER($O827),IF($O827&gt;=2,IF(COUNTIFS($D827:$D$2006,$D827,$E827:$E$2006,$E827)=1,ROW(),""),""),"")</f>
        <v/>
      </c>
    </row>
    <row r="828" customFormat="false" ht="15" hidden="false" customHeight="true" outlineLevel="0" collapsed="false">
      <c r="A828" s="13" t="str">
        <f aca="false">IF(AND($B828="",$D828="",$E828="",$F828=""),"",IF(OR($B828="",$D828="",$E828=""),"待补",IF($D828="公共区域","公",IF($D828="商铺","S",SUBSTITUTE($D828,"栋","")))&amp;"-"&amp;$E828&amp;"-"&amp;TEXT(MONTH($B828),"00")&amp;TEXT(DAY($B828),"00")&amp;IF(ISNUMBER($O828),IF($O828&gt;1,"-"&amp;TEXT($O828,"00"),""),"")))</f>
        <v/>
      </c>
      <c r="B828" s="14"/>
      <c r="C828" s="10"/>
      <c r="D828" s="10"/>
      <c r="E828" s="10"/>
      <c r="F828" s="16"/>
      <c r="G828" s="10"/>
      <c r="H828" s="10"/>
      <c r="I828" s="10"/>
      <c r="J828" s="10"/>
      <c r="K828" s="10"/>
      <c r="L828" s="10"/>
      <c r="M828" s="14"/>
      <c r="N828" s="17" t="str">
        <f aca="false">IF($B828="","",IF($L828="已完成",IF($M828="","",$M828-$B828),IF(设置!$B$6&lt;$B828,"",IF((设置!$B$6-$B828)&gt;=设置!$B$5,"超期"&amp;(设置!$B$6-$B828)&amp;"天","已等"&amp;(设置!$B$6-$B828)&amp;"天"))))</f>
        <v/>
      </c>
      <c r="O828" s="18" t="str">
        <f aca="false">IF(OR($D828="",$E828=""),"",COUNTIFS($D$7:$D828,$D828,$E$7:$E828,$E828))</f>
        <v/>
      </c>
      <c r="P828" s="16"/>
      <c r="Q828" s="19"/>
      <c r="R828" s="10"/>
      <c r="S828" s="16"/>
      <c r="T828" s="0" t="str">
        <f aca="false">IF(OR($D828="",单元查询!$B$3=""),"",IF($D828&lt;&gt;单元查询!$B$3,"",IF(OR(单元查询!$D$3="",$E828&amp;""=单元查询!$D$3&amp;""),IF(ISNUMBER($B828),$B828*10000,0)+ROW(),"")))</f>
        <v/>
      </c>
      <c r="U828" s="0" t="str">
        <f aca="false">IF(OR($B828="",$L828="已完成"),"",IF(ISNUMBER($B828),IF(设置!$B$6&lt;$B828,"",(设置!$B$6-$B828)*100000+ROW()),""))</f>
        <v/>
      </c>
      <c r="V828" s="0" t="str">
        <f aca="false">IF(ISNUMBER($O828),IF($O828&gt;=2,IF(COUNTIFS($D828:$D$2006,$D828,$E828:$E$2006,$E828)=1,ROW(),""),""),"")</f>
        <v/>
      </c>
    </row>
    <row r="829" customFormat="false" ht="15" hidden="false" customHeight="true" outlineLevel="0" collapsed="false">
      <c r="A829" s="13" t="str">
        <f aca="false">IF(AND($B829="",$D829="",$E829="",$F829=""),"",IF(OR($B829="",$D829="",$E829=""),"待补",IF($D829="公共区域","公",IF($D829="商铺","S",SUBSTITUTE($D829,"栋","")))&amp;"-"&amp;$E829&amp;"-"&amp;TEXT(MONTH($B829),"00")&amp;TEXT(DAY($B829),"00")&amp;IF(ISNUMBER($O829),IF($O829&gt;1,"-"&amp;TEXT($O829,"00"),""),"")))</f>
        <v/>
      </c>
      <c r="B829" s="14"/>
      <c r="C829" s="10"/>
      <c r="D829" s="10"/>
      <c r="E829" s="10"/>
      <c r="F829" s="16"/>
      <c r="G829" s="10"/>
      <c r="H829" s="10"/>
      <c r="I829" s="10"/>
      <c r="J829" s="10"/>
      <c r="K829" s="10"/>
      <c r="L829" s="10"/>
      <c r="M829" s="14"/>
      <c r="N829" s="17" t="str">
        <f aca="false">IF($B829="","",IF($L829="已完成",IF($M829="","",$M829-$B829),IF(设置!$B$6&lt;$B829,"",IF((设置!$B$6-$B829)&gt;=设置!$B$5,"超期"&amp;(设置!$B$6-$B829)&amp;"天","已等"&amp;(设置!$B$6-$B829)&amp;"天"))))</f>
        <v/>
      </c>
      <c r="O829" s="18" t="str">
        <f aca="false">IF(OR($D829="",$E829=""),"",COUNTIFS($D$7:$D829,$D829,$E$7:$E829,$E829))</f>
        <v/>
      </c>
      <c r="P829" s="16"/>
      <c r="Q829" s="19"/>
      <c r="R829" s="10"/>
      <c r="S829" s="16"/>
      <c r="T829" s="0" t="str">
        <f aca="false">IF(OR($D829="",单元查询!$B$3=""),"",IF($D829&lt;&gt;单元查询!$B$3,"",IF(OR(单元查询!$D$3="",$E829&amp;""=单元查询!$D$3&amp;""),IF(ISNUMBER($B829),$B829*10000,0)+ROW(),"")))</f>
        <v/>
      </c>
      <c r="U829" s="0" t="str">
        <f aca="false">IF(OR($B829="",$L829="已完成"),"",IF(ISNUMBER($B829),IF(设置!$B$6&lt;$B829,"",(设置!$B$6-$B829)*100000+ROW()),""))</f>
        <v/>
      </c>
      <c r="V829" s="0" t="str">
        <f aca="false">IF(ISNUMBER($O829),IF($O829&gt;=2,IF(COUNTIFS($D829:$D$2006,$D829,$E829:$E$2006,$E829)=1,ROW(),""),""),"")</f>
        <v/>
      </c>
    </row>
    <row r="830" customFormat="false" ht="15" hidden="false" customHeight="true" outlineLevel="0" collapsed="false">
      <c r="A830" s="13" t="str">
        <f aca="false">IF(AND($B830="",$D830="",$E830="",$F830=""),"",IF(OR($B830="",$D830="",$E830=""),"待补",IF($D830="公共区域","公",IF($D830="商铺","S",SUBSTITUTE($D830,"栋","")))&amp;"-"&amp;$E830&amp;"-"&amp;TEXT(MONTH($B830),"00")&amp;TEXT(DAY($B830),"00")&amp;IF(ISNUMBER($O830),IF($O830&gt;1,"-"&amp;TEXT($O830,"00"),""),"")))</f>
        <v/>
      </c>
      <c r="B830" s="14"/>
      <c r="C830" s="10"/>
      <c r="D830" s="10"/>
      <c r="E830" s="10"/>
      <c r="F830" s="16"/>
      <c r="G830" s="10"/>
      <c r="H830" s="10"/>
      <c r="I830" s="10"/>
      <c r="J830" s="10"/>
      <c r="K830" s="10"/>
      <c r="L830" s="10"/>
      <c r="M830" s="14"/>
      <c r="N830" s="17" t="str">
        <f aca="false">IF($B830="","",IF($L830="已完成",IF($M830="","",$M830-$B830),IF(设置!$B$6&lt;$B830,"",IF((设置!$B$6-$B830)&gt;=设置!$B$5,"超期"&amp;(设置!$B$6-$B830)&amp;"天","已等"&amp;(设置!$B$6-$B830)&amp;"天"))))</f>
        <v/>
      </c>
      <c r="O830" s="18" t="str">
        <f aca="false">IF(OR($D830="",$E830=""),"",COUNTIFS($D$7:$D830,$D830,$E$7:$E830,$E830))</f>
        <v/>
      </c>
      <c r="P830" s="16"/>
      <c r="Q830" s="19"/>
      <c r="R830" s="10"/>
      <c r="S830" s="16"/>
      <c r="T830" s="0" t="str">
        <f aca="false">IF(OR($D830="",单元查询!$B$3=""),"",IF($D830&lt;&gt;单元查询!$B$3,"",IF(OR(单元查询!$D$3="",$E830&amp;""=单元查询!$D$3&amp;""),IF(ISNUMBER($B830),$B830*10000,0)+ROW(),"")))</f>
        <v/>
      </c>
      <c r="U830" s="0" t="str">
        <f aca="false">IF(OR($B830="",$L830="已完成"),"",IF(ISNUMBER($B830),IF(设置!$B$6&lt;$B830,"",(设置!$B$6-$B830)*100000+ROW()),""))</f>
        <v/>
      </c>
      <c r="V830" s="0" t="str">
        <f aca="false">IF(ISNUMBER($O830),IF($O830&gt;=2,IF(COUNTIFS($D830:$D$2006,$D830,$E830:$E$2006,$E830)=1,ROW(),""),""),"")</f>
        <v/>
      </c>
    </row>
    <row r="831" customFormat="false" ht="15" hidden="false" customHeight="true" outlineLevel="0" collapsed="false">
      <c r="A831" s="13" t="str">
        <f aca="false">IF(AND($B831="",$D831="",$E831="",$F831=""),"",IF(OR($B831="",$D831="",$E831=""),"待补",IF($D831="公共区域","公",IF($D831="商铺","S",SUBSTITUTE($D831,"栋","")))&amp;"-"&amp;$E831&amp;"-"&amp;TEXT(MONTH($B831),"00")&amp;TEXT(DAY($B831),"00")&amp;IF(ISNUMBER($O831),IF($O831&gt;1,"-"&amp;TEXT($O831,"00"),""),"")))</f>
        <v/>
      </c>
      <c r="B831" s="14"/>
      <c r="C831" s="10"/>
      <c r="D831" s="10"/>
      <c r="E831" s="10"/>
      <c r="F831" s="16"/>
      <c r="G831" s="10"/>
      <c r="H831" s="10"/>
      <c r="I831" s="10"/>
      <c r="J831" s="10"/>
      <c r="K831" s="10"/>
      <c r="L831" s="10"/>
      <c r="M831" s="14"/>
      <c r="N831" s="17" t="str">
        <f aca="false">IF($B831="","",IF($L831="已完成",IF($M831="","",$M831-$B831),IF(设置!$B$6&lt;$B831,"",IF((设置!$B$6-$B831)&gt;=设置!$B$5,"超期"&amp;(设置!$B$6-$B831)&amp;"天","已等"&amp;(设置!$B$6-$B831)&amp;"天"))))</f>
        <v/>
      </c>
      <c r="O831" s="18" t="str">
        <f aca="false">IF(OR($D831="",$E831=""),"",COUNTIFS($D$7:$D831,$D831,$E$7:$E831,$E831))</f>
        <v/>
      </c>
      <c r="P831" s="16"/>
      <c r="Q831" s="19"/>
      <c r="R831" s="10"/>
      <c r="S831" s="16"/>
      <c r="T831" s="0" t="str">
        <f aca="false">IF(OR($D831="",单元查询!$B$3=""),"",IF($D831&lt;&gt;单元查询!$B$3,"",IF(OR(单元查询!$D$3="",$E831&amp;""=单元查询!$D$3&amp;""),IF(ISNUMBER($B831),$B831*10000,0)+ROW(),"")))</f>
        <v/>
      </c>
      <c r="U831" s="0" t="str">
        <f aca="false">IF(OR($B831="",$L831="已完成"),"",IF(ISNUMBER($B831),IF(设置!$B$6&lt;$B831,"",(设置!$B$6-$B831)*100000+ROW()),""))</f>
        <v/>
      </c>
      <c r="V831" s="0" t="str">
        <f aca="false">IF(ISNUMBER($O831),IF($O831&gt;=2,IF(COUNTIFS($D831:$D$2006,$D831,$E831:$E$2006,$E831)=1,ROW(),""),""),"")</f>
        <v/>
      </c>
    </row>
    <row r="832" customFormat="false" ht="15" hidden="false" customHeight="true" outlineLevel="0" collapsed="false">
      <c r="A832" s="13" t="str">
        <f aca="false">IF(AND($B832="",$D832="",$E832="",$F832=""),"",IF(OR($B832="",$D832="",$E832=""),"待补",IF($D832="公共区域","公",IF($D832="商铺","S",SUBSTITUTE($D832,"栋","")))&amp;"-"&amp;$E832&amp;"-"&amp;TEXT(MONTH($B832),"00")&amp;TEXT(DAY($B832),"00")&amp;IF(ISNUMBER($O832),IF($O832&gt;1,"-"&amp;TEXT($O832,"00"),""),"")))</f>
        <v/>
      </c>
      <c r="B832" s="14"/>
      <c r="C832" s="10"/>
      <c r="D832" s="10"/>
      <c r="E832" s="10"/>
      <c r="F832" s="16"/>
      <c r="G832" s="10"/>
      <c r="H832" s="10"/>
      <c r="I832" s="10"/>
      <c r="J832" s="10"/>
      <c r="K832" s="10"/>
      <c r="L832" s="10"/>
      <c r="M832" s="14"/>
      <c r="N832" s="17" t="str">
        <f aca="false">IF($B832="","",IF($L832="已完成",IF($M832="","",$M832-$B832),IF(设置!$B$6&lt;$B832,"",IF((设置!$B$6-$B832)&gt;=设置!$B$5,"超期"&amp;(设置!$B$6-$B832)&amp;"天","已等"&amp;(设置!$B$6-$B832)&amp;"天"))))</f>
        <v/>
      </c>
      <c r="O832" s="18" t="str">
        <f aca="false">IF(OR($D832="",$E832=""),"",COUNTIFS($D$7:$D832,$D832,$E$7:$E832,$E832))</f>
        <v/>
      </c>
      <c r="P832" s="16"/>
      <c r="Q832" s="19"/>
      <c r="R832" s="10"/>
      <c r="S832" s="16"/>
      <c r="T832" s="0" t="str">
        <f aca="false">IF(OR($D832="",单元查询!$B$3=""),"",IF($D832&lt;&gt;单元查询!$B$3,"",IF(OR(单元查询!$D$3="",$E832&amp;""=单元查询!$D$3&amp;""),IF(ISNUMBER($B832),$B832*10000,0)+ROW(),"")))</f>
        <v/>
      </c>
      <c r="U832" s="0" t="str">
        <f aca="false">IF(OR($B832="",$L832="已完成"),"",IF(ISNUMBER($B832),IF(设置!$B$6&lt;$B832,"",(设置!$B$6-$B832)*100000+ROW()),""))</f>
        <v/>
      </c>
      <c r="V832" s="0" t="str">
        <f aca="false">IF(ISNUMBER($O832),IF($O832&gt;=2,IF(COUNTIFS($D832:$D$2006,$D832,$E832:$E$2006,$E832)=1,ROW(),""),""),"")</f>
        <v/>
      </c>
    </row>
    <row r="833" customFormat="false" ht="15" hidden="false" customHeight="true" outlineLevel="0" collapsed="false">
      <c r="A833" s="13" t="str">
        <f aca="false">IF(AND($B833="",$D833="",$E833="",$F833=""),"",IF(OR($B833="",$D833="",$E833=""),"待补",IF($D833="公共区域","公",IF($D833="商铺","S",SUBSTITUTE($D833,"栋","")))&amp;"-"&amp;$E833&amp;"-"&amp;TEXT(MONTH($B833),"00")&amp;TEXT(DAY($B833),"00")&amp;IF(ISNUMBER($O833),IF($O833&gt;1,"-"&amp;TEXT($O833,"00"),""),"")))</f>
        <v/>
      </c>
      <c r="B833" s="14"/>
      <c r="C833" s="10"/>
      <c r="D833" s="10"/>
      <c r="E833" s="10"/>
      <c r="F833" s="16"/>
      <c r="G833" s="10"/>
      <c r="H833" s="10"/>
      <c r="I833" s="10"/>
      <c r="J833" s="10"/>
      <c r="K833" s="10"/>
      <c r="L833" s="10"/>
      <c r="M833" s="14"/>
      <c r="N833" s="17" t="str">
        <f aca="false">IF($B833="","",IF($L833="已完成",IF($M833="","",$M833-$B833),IF(设置!$B$6&lt;$B833,"",IF((设置!$B$6-$B833)&gt;=设置!$B$5,"超期"&amp;(设置!$B$6-$B833)&amp;"天","已等"&amp;(设置!$B$6-$B833)&amp;"天"))))</f>
        <v/>
      </c>
      <c r="O833" s="18" t="str">
        <f aca="false">IF(OR($D833="",$E833=""),"",COUNTIFS($D$7:$D833,$D833,$E$7:$E833,$E833))</f>
        <v/>
      </c>
      <c r="P833" s="16"/>
      <c r="Q833" s="19"/>
      <c r="R833" s="10"/>
      <c r="S833" s="16"/>
      <c r="T833" s="0" t="str">
        <f aca="false">IF(OR($D833="",单元查询!$B$3=""),"",IF($D833&lt;&gt;单元查询!$B$3,"",IF(OR(单元查询!$D$3="",$E833&amp;""=单元查询!$D$3&amp;""),IF(ISNUMBER($B833),$B833*10000,0)+ROW(),"")))</f>
        <v/>
      </c>
      <c r="U833" s="0" t="str">
        <f aca="false">IF(OR($B833="",$L833="已完成"),"",IF(ISNUMBER($B833),IF(设置!$B$6&lt;$B833,"",(设置!$B$6-$B833)*100000+ROW()),""))</f>
        <v/>
      </c>
      <c r="V833" s="0" t="str">
        <f aca="false">IF(ISNUMBER($O833),IF($O833&gt;=2,IF(COUNTIFS($D833:$D$2006,$D833,$E833:$E$2006,$E833)=1,ROW(),""),""),"")</f>
        <v/>
      </c>
    </row>
    <row r="834" customFormat="false" ht="15" hidden="false" customHeight="true" outlineLevel="0" collapsed="false">
      <c r="A834" s="13" t="str">
        <f aca="false">IF(AND($B834="",$D834="",$E834="",$F834=""),"",IF(OR($B834="",$D834="",$E834=""),"待补",IF($D834="公共区域","公",IF($D834="商铺","S",SUBSTITUTE($D834,"栋","")))&amp;"-"&amp;$E834&amp;"-"&amp;TEXT(MONTH($B834),"00")&amp;TEXT(DAY($B834),"00")&amp;IF(ISNUMBER($O834),IF($O834&gt;1,"-"&amp;TEXT($O834,"00"),""),"")))</f>
        <v/>
      </c>
      <c r="B834" s="14"/>
      <c r="C834" s="10"/>
      <c r="D834" s="10"/>
      <c r="E834" s="10"/>
      <c r="F834" s="16"/>
      <c r="G834" s="10"/>
      <c r="H834" s="10"/>
      <c r="I834" s="10"/>
      <c r="J834" s="10"/>
      <c r="K834" s="10"/>
      <c r="L834" s="10"/>
      <c r="M834" s="14"/>
      <c r="N834" s="17" t="str">
        <f aca="false">IF($B834="","",IF($L834="已完成",IF($M834="","",$M834-$B834),IF(设置!$B$6&lt;$B834,"",IF((设置!$B$6-$B834)&gt;=设置!$B$5,"超期"&amp;(设置!$B$6-$B834)&amp;"天","已等"&amp;(设置!$B$6-$B834)&amp;"天"))))</f>
        <v/>
      </c>
      <c r="O834" s="18" t="str">
        <f aca="false">IF(OR($D834="",$E834=""),"",COUNTIFS($D$7:$D834,$D834,$E$7:$E834,$E834))</f>
        <v/>
      </c>
      <c r="P834" s="16"/>
      <c r="Q834" s="19"/>
      <c r="R834" s="10"/>
      <c r="S834" s="16"/>
      <c r="T834" s="0" t="str">
        <f aca="false">IF(OR($D834="",单元查询!$B$3=""),"",IF($D834&lt;&gt;单元查询!$B$3,"",IF(OR(单元查询!$D$3="",$E834&amp;""=单元查询!$D$3&amp;""),IF(ISNUMBER($B834),$B834*10000,0)+ROW(),"")))</f>
        <v/>
      </c>
      <c r="U834" s="0" t="str">
        <f aca="false">IF(OR($B834="",$L834="已完成"),"",IF(ISNUMBER($B834),IF(设置!$B$6&lt;$B834,"",(设置!$B$6-$B834)*100000+ROW()),""))</f>
        <v/>
      </c>
      <c r="V834" s="0" t="str">
        <f aca="false">IF(ISNUMBER($O834),IF($O834&gt;=2,IF(COUNTIFS($D834:$D$2006,$D834,$E834:$E$2006,$E834)=1,ROW(),""),""),"")</f>
        <v/>
      </c>
    </row>
    <row r="835" customFormat="false" ht="15" hidden="false" customHeight="true" outlineLevel="0" collapsed="false">
      <c r="A835" s="13" t="str">
        <f aca="false">IF(AND($B835="",$D835="",$E835="",$F835=""),"",IF(OR($B835="",$D835="",$E835=""),"待补",IF($D835="公共区域","公",IF($D835="商铺","S",SUBSTITUTE($D835,"栋","")))&amp;"-"&amp;$E835&amp;"-"&amp;TEXT(MONTH($B835),"00")&amp;TEXT(DAY($B835),"00")&amp;IF(ISNUMBER($O835),IF($O835&gt;1,"-"&amp;TEXT($O835,"00"),""),"")))</f>
        <v/>
      </c>
      <c r="B835" s="14"/>
      <c r="C835" s="10"/>
      <c r="D835" s="10"/>
      <c r="E835" s="10"/>
      <c r="F835" s="16"/>
      <c r="G835" s="10"/>
      <c r="H835" s="10"/>
      <c r="I835" s="10"/>
      <c r="J835" s="10"/>
      <c r="K835" s="10"/>
      <c r="L835" s="10"/>
      <c r="M835" s="14"/>
      <c r="N835" s="17" t="str">
        <f aca="false">IF($B835="","",IF($L835="已完成",IF($M835="","",$M835-$B835),IF(设置!$B$6&lt;$B835,"",IF((设置!$B$6-$B835)&gt;=设置!$B$5,"超期"&amp;(设置!$B$6-$B835)&amp;"天","已等"&amp;(设置!$B$6-$B835)&amp;"天"))))</f>
        <v/>
      </c>
      <c r="O835" s="18" t="str">
        <f aca="false">IF(OR($D835="",$E835=""),"",COUNTIFS($D$7:$D835,$D835,$E$7:$E835,$E835))</f>
        <v/>
      </c>
      <c r="P835" s="16"/>
      <c r="Q835" s="19"/>
      <c r="R835" s="10"/>
      <c r="S835" s="16"/>
      <c r="T835" s="0" t="str">
        <f aca="false">IF(OR($D835="",单元查询!$B$3=""),"",IF($D835&lt;&gt;单元查询!$B$3,"",IF(OR(单元查询!$D$3="",$E835&amp;""=单元查询!$D$3&amp;""),IF(ISNUMBER($B835),$B835*10000,0)+ROW(),"")))</f>
        <v/>
      </c>
      <c r="U835" s="0" t="str">
        <f aca="false">IF(OR($B835="",$L835="已完成"),"",IF(ISNUMBER($B835),IF(设置!$B$6&lt;$B835,"",(设置!$B$6-$B835)*100000+ROW()),""))</f>
        <v/>
      </c>
      <c r="V835" s="0" t="str">
        <f aca="false">IF(ISNUMBER($O835),IF($O835&gt;=2,IF(COUNTIFS($D835:$D$2006,$D835,$E835:$E$2006,$E835)=1,ROW(),""),""),"")</f>
        <v/>
      </c>
    </row>
    <row r="836" customFormat="false" ht="15" hidden="false" customHeight="true" outlineLevel="0" collapsed="false">
      <c r="A836" s="13" t="str">
        <f aca="false">IF(AND($B836="",$D836="",$E836="",$F836=""),"",IF(OR($B836="",$D836="",$E836=""),"待补",IF($D836="公共区域","公",IF($D836="商铺","S",SUBSTITUTE($D836,"栋","")))&amp;"-"&amp;$E836&amp;"-"&amp;TEXT(MONTH($B836),"00")&amp;TEXT(DAY($B836),"00")&amp;IF(ISNUMBER($O836),IF($O836&gt;1,"-"&amp;TEXT($O836,"00"),""),"")))</f>
        <v/>
      </c>
      <c r="B836" s="14"/>
      <c r="C836" s="10"/>
      <c r="D836" s="10"/>
      <c r="E836" s="10"/>
      <c r="F836" s="16"/>
      <c r="G836" s="10"/>
      <c r="H836" s="10"/>
      <c r="I836" s="10"/>
      <c r="J836" s="10"/>
      <c r="K836" s="10"/>
      <c r="L836" s="10"/>
      <c r="M836" s="14"/>
      <c r="N836" s="17" t="str">
        <f aca="false">IF($B836="","",IF($L836="已完成",IF($M836="","",$M836-$B836),IF(设置!$B$6&lt;$B836,"",IF((设置!$B$6-$B836)&gt;=设置!$B$5,"超期"&amp;(设置!$B$6-$B836)&amp;"天","已等"&amp;(设置!$B$6-$B836)&amp;"天"))))</f>
        <v/>
      </c>
      <c r="O836" s="18" t="str">
        <f aca="false">IF(OR($D836="",$E836=""),"",COUNTIFS($D$7:$D836,$D836,$E$7:$E836,$E836))</f>
        <v/>
      </c>
      <c r="P836" s="16"/>
      <c r="Q836" s="19"/>
      <c r="R836" s="10"/>
      <c r="S836" s="16"/>
      <c r="T836" s="0" t="str">
        <f aca="false">IF(OR($D836="",单元查询!$B$3=""),"",IF($D836&lt;&gt;单元查询!$B$3,"",IF(OR(单元查询!$D$3="",$E836&amp;""=单元查询!$D$3&amp;""),IF(ISNUMBER($B836),$B836*10000,0)+ROW(),"")))</f>
        <v/>
      </c>
      <c r="U836" s="0" t="str">
        <f aca="false">IF(OR($B836="",$L836="已完成"),"",IF(ISNUMBER($B836),IF(设置!$B$6&lt;$B836,"",(设置!$B$6-$B836)*100000+ROW()),""))</f>
        <v/>
      </c>
      <c r="V836" s="0" t="str">
        <f aca="false">IF(ISNUMBER($O836),IF($O836&gt;=2,IF(COUNTIFS($D836:$D$2006,$D836,$E836:$E$2006,$E836)=1,ROW(),""),""),"")</f>
        <v/>
      </c>
    </row>
    <row r="837" customFormat="false" ht="15" hidden="false" customHeight="true" outlineLevel="0" collapsed="false">
      <c r="A837" s="13" t="str">
        <f aca="false">IF(AND($B837="",$D837="",$E837="",$F837=""),"",IF(OR($B837="",$D837="",$E837=""),"待补",IF($D837="公共区域","公",IF($D837="商铺","S",SUBSTITUTE($D837,"栋","")))&amp;"-"&amp;$E837&amp;"-"&amp;TEXT(MONTH($B837),"00")&amp;TEXT(DAY($B837),"00")&amp;IF(ISNUMBER($O837),IF($O837&gt;1,"-"&amp;TEXT($O837,"00"),""),"")))</f>
        <v/>
      </c>
      <c r="B837" s="14"/>
      <c r="C837" s="10"/>
      <c r="D837" s="10"/>
      <c r="E837" s="10"/>
      <c r="F837" s="16"/>
      <c r="G837" s="10"/>
      <c r="H837" s="10"/>
      <c r="I837" s="10"/>
      <c r="J837" s="10"/>
      <c r="K837" s="10"/>
      <c r="L837" s="10"/>
      <c r="M837" s="14"/>
      <c r="N837" s="17" t="str">
        <f aca="false">IF($B837="","",IF($L837="已完成",IF($M837="","",$M837-$B837),IF(设置!$B$6&lt;$B837,"",IF((设置!$B$6-$B837)&gt;=设置!$B$5,"超期"&amp;(设置!$B$6-$B837)&amp;"天","已等"&amp;(设置!$B$6-$B837)&amp;"天"))))</f>
        <v/>
      </c>
      <c r="O837" s="18" t="str">
        <f aca="false">IF(OR($D837="",$E837=""),"",COUNTIFS($D$7:$D837,$D837,$E$7:$E837,$E837))</f>
        <v/>
      </c>
      <c r="P837" s="16"/>
      <c r="Q837" s="19"/>
      <c r="R837" s="10"/>
      <c r="S837" s="16"/>
      <c r="T837" s="0" t="str">
        <f aca="false">IF(OR($D837="",单元查询!$B$3=""),"",IF($D837&lt;&gt;单元查询!$B$3,"",IF(OR(单元查询!$D$3="",$E837&amp;""=单元查询!$D$3&amp;""),IF(ISNUMBER($B837),$B837*10000,0)+ROW(),"")))</f>
        <v/>
      </c>
      <c r="U837" s="0" t="str">
        <f aca="false">IF(OR($B837="",$L837="已完成"),"",IF(ISNUMBER($B837),IF(设置!$B$6&lt;$B837,"",(设置!$B$6-$B837)*100000+ROW()),""))</f>
        <v/>
      </c>
      <c r="V837" s="0" t="str">
        <f aca="false">IF(ISNUMBER($O837),IF($O837&gt;=2,IF(COUNTIFS($D837:$D$2006,$D837,$E837:$E$2006,$E837)=1,ROW(),""),""),"")</f>
        <v/>
      </c>
    </row>
    <row r="838" customFormat="false" ht="15" hidden="false" customHeight="true" outlineLevel="0" collapsed="false">
      <c r="A838" s="13" t="str">
        <f aca="false">IF(AND($B838="",$D838="",$E838="",$F838=""),"",IF(OR($B838="",$D838="",$E838=""),"待补",IF($D838="公共区域","公",IF($D838="商铺","S",SUBSTITUTE($D838,"栋","")))&amp;"-"&amp;$E838&amp;"-"&amp;TEXT(MONTH($B838),"00")&amp;TEXT(DAY($B838),"00")&amp;IF(ISNUMBER($O838),IF($O838&gt;1,"-"&amp;TEXT($O838,"00"),""),"")))</f>
        <v/>
      </c>
      <c r="B838" s="14"/>
      <c r="C838" s="10"/>
      <c r="D838" s="10"/>
      <c r="E838" s="10"/>
      <c r="F838" s="16"/>
      <c r="G838" s="10"/>
      <c r="H838" s="10"/>
      <c r="I838" s="10"/>
      <c r="J838" s="10"/>
      <c r="K838" s="10"/>
      <c r="L838" s="10"/>
      <c r="M838" s="14"/>
      <c r="N838" s="17" t="str">
        <f aca="false">IF($B838="","",IF($L838="已完成",IF($M838="","",$M838-$B838),IF(设置!$B$6&lt;$B838,"",IF((设置!$B$6-$B838)&gt;=设置!$B$5,"超期"&amp;(设置!$B$6-$B838)&amp;"天","已等"&amp;(设置!$B$6-$B838)&amp;"天"))))</f>
        <v/>
      </c>
      <c r="O838" s="18" t="str">
        <f aca="false">IF(OR($D838="",$E838=""),"",COUNTIFS($D$7:$D838,$D838,$E$7:$E838,$E838))</f>
        <v/>
      </c>
      <c r="P838" s="16"/>
      <c r="Q838" s="19"/>
      <c r="R838" s="10"/>
      <c r="S838" s="16"/>
      <c r="T838" s="0" t="str">
        <f aca="false">IF(OR($D838="",单元查询!$B$3=""),"",IF($D838&lt;&gt;单元查询!$B$3,"",IF(OR(单元查询!$D$3="",$E838&amp;""=单元查询!$D$3&amp;""),IF(ISNUMBER($B838),$B838*10000,0)+ROW(),"")))</f>
        <v/>
      </c>
      <c r="U838" s="0" t="str">
        <f aca="false">IF(OR($B838="",$L838="已完成"),"",IF(ISNUMBER($B838),IF(设置!$B$6&lt;$B838,"",(设置!$B$6-$B838)*100000+ROW()),""))</f>
        <v/>
      </c>
      <c r="V838" s="0" t="str">
        <f aca="false">IF(ISNUMBER($O838),IF($O838&gt;=2,IF(COUNTIFS($D838:$D$2006,$D838,$E838:$E$2006,$E838)=1,ROW(),""),""),"")</f>
        <v/>
      </c>
    </row>
    <row r="839" customFormat="false" ht="15" hidden="false" customHeight="true" outlineLevel="0" collapsed="false">
      <c r="A839" s="13" t="str">
        <f aca="false">IF(AND($B839="",$D839="",$E839="",$F839=""),"",IF(OR($B839="",$D839="",$E839=""),"待补",IF($D839="公共区域","公",IF($D839="商铺","S",SUBSTITUTE($D839,"栋","")))&amp;"-"&amp;$E839&amp;"-"&amp;TEXT(MONTH($B839),"00")&amp;TEXT(DAY($B839),"00")&amp;IF(ISNUMBER($O839),IF($O839&gt;1,"-"&amp;TEXT($O839,"00"),""),"")))</f>
        <v/>
      </c>
      <c r="B839" s="14"/>
      <c r="C839" s="10"/>
      <c r="D839" s="10"/>
      <c r="E839" s="10"/>
      <c r="F839" s="16"/>
      <c r="G839" s="10"/>
      <c r="H839" s="10"/>
      <c r="I839" s="10"/>
      <c r="J839" s="10"/>
      <c r="K839" s="10"/>
      <c r="L839" s="10"/>
      <c r="M839" s="14"/>
      <c r="N839" s="17" t="str">
        <f aca="false">IF($B839="","",IF($L839="已完成",IF($M839="","",$M839-$B839),IF(设置!$B$6&lt;$B839,"",IF((设置!$B$6-$B839)&gt;=设置!$B$5,"超期"&amp;(设置!$B$6-$B839)&amp;"天","已等"&amp;(设置!$B$6-$B839)&amp;"天"))))</f>
        <v/>
      </c>
      <c r="O839" s="18" t="str">
        <f aca="false">IF(OR($D839="",$E839=""),"",COUNTIFS($D$7:$D839,$D839,$E$7:$E839,$E839))</f>
        <v/>
      </c>
      <c r="P839" s="16"/>
      <c r="Q839" s="19"/>
      <c r="R839" s="10"/>
      <c r="S839" s="16"/>
      <c r="T839" s="0" t="str">
        <f aca="false">IF(OR($D839="",单元查询!$B$3=""),"",IF($D839&lt;&gt;单元查询!$B$3,"",IF(OR(单元查询!$D$3="",$E839&amp;""=单元查询!$D$3&amp;""),IF(ISNUMBER($B839),$B839*10000,0)+ROW(),"")))</f>
        <v/>
      </c>
      <c r="U839" s="0" t="str">
        <f aca="false">IF(OR($B839="",$L839="已完成"),"",IF(ISNUMBER($B839),IF(设置!$B$6&lt;$B839,"",(设置!$B$6-$B839)*100000+ROW()),""))</f>
        <v/>
      </c>
      <c r="V839" s="0" t="str">
        <f aca="false">IF(ISNUMBER($O839),IF($O839&gt;=2,IF(COUNTIFS($D839:$D$2006,$D839,$E839:$E$2006,$E839)=1,ROW(),""),""),"")</f>
        <v/>
      </c>
    </row>
    <row r="840" customFormat="false" ht="15" hidden="false" customHeight="true" outlineLevel="0" collapsed="false">
      <c r="A840" s="13" t="str">
        <f aca="false">IF(AND($B840="",$D840="",$E840="",$F840=""),"",IF(OR($B840="",$D840="",$E840=""),"待补",IF($D840="公共区域","公",IF($D840="商铺","S",SUBSTITUTE($D840,"栋","")))&amp;"-"&amp;$E840&amp;"-"&amp;TEXT(MONTH($B840),"00")&amp;TEXT(DAY($B840),"00")&amp;IF(ISNUMBER($O840),IF($O840&gt;1,"-"&amp;TEXT($O840,"00"),""),"")))</f>
        <v/>
      </c>
      <c r="B840" s="14"/>
      <c r="C840" s="10"/>
      <c r="D840" s="10"/>
      <c r="E840" s="10"/>
      <c r="F840" s="16"/>
      <c r="G840" s="10"/>
      <c r="H840" s="10"/>
      <c r="I840" s="10"/>
      <c r="J840" s="10"/>
      <c r="K840" s="10"/>
      <c r="L840" s="10"/>
      <c r="M840" s="14"/>
      <c r="N840" s="17" t="str">
        <f aca="false">IF($B840="","",IF($L840="已完成",IF($M840="","",$M840-$B840),IF(设置!$B$6&lt;$B840,"",IF((设置!$B$6-$B840)&gt;=设置!$B$5,"超期"&amp;(设置!$B$6-$B840)&amp;"天","已等"&amp;(设置!$B$6-$B840)&amp;"天"))))</f>
        <v/>
      </c>
      <c r="O840" s="18" t="str">
        <f aca="false">IF(OR($D840="",$E840=""),"",COUNTIFS($D$7:$D840,$D840,$E$7:$E840,$E840))</f>
        <v/>
      </c>
      <c r="P840" s="16"/>
      <c r="Q840" s="19"/>
      <c r="R840" s="10"/>
      <c r="S840" s="16"/>
      <c r="T840" s="0" t="str">
        <f aca="false">IF(OR($D840="",单元查询!$B$3=""),"",IF($D840&lt;&gt;单元查询!$B$3,"",IF(OR(单元查询!$D$3="",$E840&amp;""=单元查询!$D$3&amp;""),IF(ISNUMBER($B840),$B840*10000,0)+ROW(),"")))</f>
        <v/>
      </c>
      <c r="U840" s="0" t="str">
        <f aca="false">IF(OR($B840="",$L840="已完成"),"",IF(ISNUMBER($B840),IF(设置!$B$6&lt;$B840,"",(设置!$B$6-$B840)*100000+ROW()),""))</f>
        <v/>
      </c>
      <c r="V840" s="0" t="str">
        <f aca="false">IF(ISNUMBER($O840),IF($O840&gt;=2,IF(COUNTIFS($D840:$D$2006,$D840,$E840:$E$2006,$E840)=1,ROW(),""),""),"")</f>
        <v/>
      </c>
    </row>
    <row r="841" customFormat="false" ht="15" hidden="false" customHeight="true" outlineLevel="0" collapsed="false">
      <c r="A841" s="13" t="str">
        <f aca="false">IF(AND($B841="",$D841="",$E841="",$F841=""),"",IF(OR($B841="",$D841="",$E841=""),"待补",IF($D841="公共区域","公",IF($D841="商铺","S",SUBSTITUTE($D841,"栋","")))&amp;"-"&amp;$E841&amp;"-"&amp;TEXT(MONTH($B841),"00")&amp;TEXT(DAY($B841),"00")&amp;IF(ISNUMBER($O841),IF($O841&gt;1,"-"&amp;TEXT($O841,"00"),""),"")))</f>
        <v/>
      </c>
      <c r="B841" s="14"/>
      <c r="C841" s="10"/>
      <c r="D841" s="10"/>
      <c r="E841" s="10"/>
      <c r="F841" s="16"/>
      <c r="G841" s="10"/>
      <c r="H841" s="10"/>
      <c r="I841" s="10"/>
      <c r="J841" s="10"/>
      <c r="K841" s="10"/>
      <c r="L841" s="10"/>
      <c r="M841" s="14"/>
      <c r="N841" s="17" t="str">
        <f aca="false">IF($B841="","",IF($L841="已完成",IF($M841="","",$M841-$B841),IF(设置!$B$6&lt;$B841,"",IF((设置!$B$6-$B841)&gt;=设置!$B$5,"超期"&amp;(设置!$B$6-$B841)&amp;"天","已等"&amp;(设置!$B$6-$B841)&amp;"天"))))</f>
        <v/>
      </c>
      <c r="O841" s="18" t="str">
        <f aca="false">IF(OR($D841="",$E841=""),"",COUNTIFS($D$7:$D841,$D841,$E$7:$E841,$E841))</f>
        <v/>
      </c>
      <c r="P841" s="16"/>
      <c r="Q841" s="19"/>
      <c r="R841" s="10"/>
      <c r="S841" s="16"/>
      <c r="T841" s="0" t="str">
        <f aca="false">IF(OR($D841="",单元查询!$B$3=""),"",IF($D841&lt;&gt;单元查询!$B$3,"",IF(OR(单元查询!$D$3="",$E841&amp;""=单元查询!$D$3&amp;""),IF(ISNUMBER($B841),$B841*10000,0)+ROW(),"")))</f>
        <v/>
      </c>
      <c r="U841" s="0" t="str">
        <f aca="false">IF(OR($B841="",$L841="已完成"),"",IF(ISNUMBER($B841),IF(设置!$B$6&lt;$B841,"",(设置!$B$6-$B841)*100000+ROW()),""))</f>
        <v/>
      </c>
      <c r="V841" s="0" t="str">
        <f aca="false">IF(ISNUMBER($O841),IF($O841&gt;=2,IF(COUNTIFS($D841:$D$2006,$D841,$E841:$E$2006,$E841)=1,ROW(),""),""),"")</f>
        <v/>
      </c>
    </row>
    <row r="842" customFormat="false" ht="15" hidden="false" customHeight="true" outlineLevel="0" collapsed="false">
      <c r="A842" s="13" t="str">
        <f aca="false">IF(AND($B842="",$D842="",$E842="",$F842=""),"",IF(OR($B842="",$D842="",$E842=""),"待补",IF($D842="公共区域","公",IF($D842="商铺","S",SUBSTITUTE($D842,"栋","")))&amp;"-"&amp;$E842&amp;"-"&amp;TEXT(MONTH($B842),"00")&amp;TEXT(DAY($B842),"00")&amp;IF(ISNUMBER($O842),IF($O842&gt;1,"-"&amp;TEXT($O842,"00"),""),"")))</f>
        <v/>
      </c>
      <c r="B842" s="14"/>
      <c r="C842" s="10"/>
      <c r="D842" s="10"/>
      <c r="E842" s="10"/>
      <c r="F842" s="16"/>
      <c r="G842" s="10"/>
      <c r="H842" s="10"/>
      <c r="I842" s="10"/>
      <c r="J842" s="10"/>
      <c r="K842" s="10"/>
      <c r="L842" s="10"/>
      <c r="M842" s="14"/>
      <c r="N842" s="17" t="str">
        <f aca="false">IF($B842="","",IF($L842="已完成",IF($M842="","",$M842-$B842),IF(设置!$B$6&lt;$B842,"",IF((设置!$B$6-$B842)&gt;=设置!$B$5,"超期"&amp;(设置!$B$6-$B842)&amp;"天","已等"&amp;(设置!$B$6-$B842)&amp;"天"))))</f>
        <v/>
      </c>
      <c r="O842" s="18" t="str">
        <f aca="false">IF(OR($D842="",$E842=""),"",COUNTIFS($D$7:$D842,$D842,$E$7:$E842,$E842))</f>
        <v/>
      </c>
      <c r="P842" s="16"/>
      <c r="Q842" s="19"/>
      <c r="R842" s="10"/>
      <c r="S842" s="16"/>
      <c r="T842" s="0" t="str">
        <f aca="false">IF(OR($D842="",单元查询!$B$3=""),"",IF($D842&lt;&gt;单元查询!$B$3,"",IF(OR(单元查询!$D$3="",$E842&amp;""=单元查询!$D$3&amp;""),IF(ISNUMBER($B842),$B842*10000,0)+ROW(),"")))</f>
        <v/>
      </c>
      <c r="U842" s="0" t="str">
        <f aca="false">IF(OR($B842="",$L842="已完成"),"",IF(ISNUMBER($B842),IF(设置!$B$6&lt;$B842,"",(设置!$B$6-$B842)*100000+ROW()),""))</f>
        <v/>
      </c>
      <c r="V842" s="0" t="str">
        <f aca="false">IF(ISNUMBER($O842),IF($O842&gt;=2,IF(COUNTIFS($D842:$D$2006,$D842,$E842:$E$2006,$E842)=1,ROW(),""),""),"")</f>
        <v/>
      </c>
    </row>
    <row r="843" customFormat="false" ht="15" hidden="false" customHeight="true" outlineLevel="0" collapsed="false">
      <c r="A843" s="13" t="str">
        <f aca="false">IF(AND($B843="",$D843="",$E843="",$F843=""),"",IF(OR($B843="",$D843="",$E843=""),"待补",IF($D843="公共区域","公",IF($D843="商铺","S",SUBSTITUTE($D843,"栋","")))&amp;"-"&amp;$E843&amp;"-"&amp;TEXT(MONTH($B843),"00")&amp;TEXT(DAY($B843),"00")&amp;IF(ISNUMBER($O843),IF($O843&gt;1,"-"&amp;TEXT($O843,"00"),""),"")))</f>
        <v/>
      </c>
      <c r="B843" s="14"/>
      <c r="C843" s="10"/>
      <c r="D843" s="10"/>
      <c r="E843" s="10"/>
      <c r="F843" s="16"/>
      <c r="G843" s="10"/>
      <c r="H843" s="10"/>
      <c r="I843" s="10"/>
      <c r="J843" s="10"/>
      <c r="K843" s="10"/>
      <c r="L843" s="10"/>
      <c r="M843" s="14"/>
      <c r="N843" s="17" t="str">
        <f aca="false">IF($B843="","",IF($L843="已完成",IF($M843="","",$M843-$B843),IF(设置!$B$6&lt;$B843,"",IF((设置!$B$6-$B843)&gt;=设置!$B$5,"超期"&amp;(设置!$B$6-$B843)&amp;"天","已等"&amp;(设置!$B$6-$B843)&amp;"天"))))</f>
        <v/>
      </c>
      <c r="O843" s="18" t="str">
        <f aca="false">IF(OR($D843="",$E843=""),"",COUNTIFS($D$7:$D843,$D843,$E$7:$E843,$E843))</f>
        <v/>
      </c>
      <c r="P843" s="16"/>
      <c r="Q843" s="19"/>
      <c r="R843" s="10"/>
      <c r="S843" s="16"/>
      <c r="T843" s="0" t="str">
        <f aca="false">IF(OR($D843="",单元查询!$B$3=""),"",IF($D843&lt;&gt;单元查询!$B$3,"",IF(OR(单元查询!$D$3="",$E843&amp;""=单元查询!$D$3&amp;""),IF(ISNUMBER($B843),$B843*10000,0)+ROW(),"")))</f>
        <v/>
      </c>
      <c r="U843" s="0" t="str">
        <f aca="false">IF(OR($B843="",$L843="已完成"),"",IF(ISNUMBER($B843),IF(设置!$B$6&lt;$B843,"",(设置!$B$6-$B843)*100000+ROW()),""))</f>
        <v/>
      </c>
      <c r="V843" s="0" t="str">
        <f aca="false">IF(ISNUMBER($O843),IF($O843&gt;=2,IF(COUNTIFS($D843:$D$2006,$D843,$E843:$E$2006,$E843)=1,ROW(),""),""),"")</f>
        <v/>
      </c>
    </row>
    <row r="844" customFormat="false" ht="15" hidden="false" customHeight="true" outlineLevel="0" collapsed="false">
      <c r="A844" s="13" t="str">
        <f aca="false">IF(AND($B844="",$D844="",$E844="",$F844=""),"",IF(OR($B844="",$D844="",$E844=""),"待补",IF($D844="公共区域","公",IF($D844="商铺","S",SUBSTITUTE($D844,"栋","")))&amp;"-"&amp;$E844&amp;"-"&amp;TEXT(MONTH($B844),"00")&amp;TEXT(DAY($B844),"00")&amp;IF(ISNUMBER($O844),IF($O844&gt;1,"-"&amp;TEXT($O844,"00"),""),"")))</f>
        <v/>
      </c>
      <c r="B844" s="14"/>
      <c r="C844" s="10"/>
      <c r="D844" s="10"/>
      <c r="E844" s="10"/>
      <c r="F844" s="16"/>
      <c r="G844" s="10"/>
      <c r="H844" s="10"/>
      <c r="I844" s="10"/>
      <c r="J844" s="10"/>
      <c r="K844" s="10"/>
      <c r="L844" s="10"/>
      <c r="M844" s="14"/>
      <c r="N844" s="17" t="str">
        <f aca="false">IF($B844="","",IF($L844="已完成",IF($M844="","",$M844-$B844),IF(设置!$B$6&lt;$B844,"",IF((设置!$B$6-$B844)&gt;=设置!$B$5,"超期"&amp;(设置!$B$6-$B844)&amp;"天","已等"&amp;(设置!$B$6-$B844)&amp;"天"))))</f>
        <v/>
      </c>
      <c r="O844" s="18" t="str">
        <f aca="false">IF(OR($D844="",$E844=""),"",COUNTIFS($D$7:$D844,$D844,$E$7:$E844,$E844))</f>
        <v/>
      </c>
      <c r="P844" s="16"/>
      <c r="Q844" s="19"/>
      <c r="R844" s="10"/>
      <c r="S844" s="16"/>
      <c r="T844" s="0" t="str">
        <f aca="false">IF(OR($D844="",单元查询!$B$3=""),"",IF($D844&lt;&gt;单元查询!$B$3,"",IF(OR(单元查询!$D$3="",$E844&amp;""=单元查询!$D$3&amp;""),IF(ISNUMBER($B844),$B844*10000,0)+ROW(),"")))</f>
        <v/>
      </c>
      <c r="U844" s="0" t="str">
        <f aca="false">IF(OR($B844="",$L844="已完成"),"",IF(ISNUMBER($B844),IF(设置!$B$6&lt;$B844,"",(设置!$B$6-$B844)*100000+ROW()),""))</f>
        <v/>
      </c>
      <c r="V844" s="0" t="str">
        <f aca="false">IF(ISNUMBER($O844),IF($O844&gt;=2,IF(COUNTIFS($D844:$D$2006,$D844,$E844:$E$2006,$E844)=1,ROW(),""),""),"")</f>
        <v/>
      </c>
    </row>
    <row r="845" customFormat="false" ht="15" hidden="false" customHeight="true" outlineLevel="0" collapsed="false">
      <c r="A845" s="13" t="str">
        <f aca="false">IF(AND($B845="",$D845="",$E845="",$F845=""),"",IF(OR($B845="",$D845="",$E845=""),"待补",IF($D845="公共区域","公",IF($D845="商铺","S",SUBSTITUTE($D845,"栋","")))&amp;"-"&amp;$E845&amp;"-"&amp;TEXT(MONTH($B845),"00")&amp;TEXT(DAY($B845),"00")&amp;IF(ISNUMBER($O845),IF($O845&gt;1,"-"&amp;TEXT($O845,"00"),""),"")))</f>
        <v/>
      </c>
      <c r="B845" s="14"/>
      <c r="C845" s="10"/>
      <c r="D845" s="10"/>
      <c r="E845" s="10"/>
      <c r="F845" s="16"/>
      <c r="G845" s="10"/>
      <c r="H845" s="10"/>
      <c r="I845" s="10"/>
      <c r="J845" s="10"/>
      <c r="K845" s="10"/>
      <c r="L845" s="10"/>
      <c r="M845" s="14"/>
      <c r="N845" s="17" t="str">
        <f aca="false">IF($B845="","",IF($L845="已完成",IF($M845="","",$M845-$B845),IF(设置!$B$6&lt;$B845,"",IF((设置!$B$6-$B845)&gt;=设置!$B$5,"超期"&amp;(设置!$B$6-$B845)&amp;"天","已等"&amp;(设置!$B$6-$B845)&amp;"天"))))</f>
        <v/>
      </c>
      <c r="O845" s="18" t="str">
        <f aca="false">IF(OR($D845="",$E845=""),"",COUNTIFS($D$7:$D845,$D845,$E$7:$E845,$E845))</f>
        <v/>
      </c>
      <c r="P845" s="16"/>
      <c r="Q845" s="19"/>
      <c r="R845" s="10"/>
      <c r="S845" s="16"/>
      <c r="T845" s="0" t="str">
        <f aca="false">IF(OR($D845="",单元查询!$B$3=""),"",IF($D845&lt;&gt;单元查询!$B$3,"",IF(OR(单元查询!$D$3="",$E845&amp;""=单元查询!$D$3&amp;""),IF(ISNUMBER($B845),$B845*10000,0)+ROW(),"")))</f>
        <v/>
      </c>
      <c r="U845" s="0" t="str">
        <f aca="false">IF(OR($B845="",$L845="已完成"),"",IF(ISNUMBER($B845),IF(设置!$B$6&lt;$B845,"",(设置!$B$6-$B845)*100000+ROW()),""))</f>
        <v/>
      </c>
      <c r="V845" s="0" t="str">
        <f aca="false">IF(ISNUMBER($O845),IF($O845&gt;=2,IF(COUNTIFS($D845:$D$2006,$D845,$E845:$E$2006,$E845)=1,ROW(),""),""),"")</f>
        <v/>
      </c>
    </row>
    <row r="846" customFormat="false" ht="15" hidden="false" customHeight="true" outlineLevel="0" collapsed="false">
      <c r="A846" s="13" t="str">
        <f aca="false">IF(AND($B846="",$D846="",$E846="",$F846=""),"",IF(OR($B846="",$D846="",$E846=""),"待补",IF($D846="公共区域","公",IF($D846="商铺","S",SUBSTITUTE($D846,"栋","")))&amp;"-"&amp;$E846&amp;"-"&amp;TEXT(MONTH($B846),"00")&amp;TEXT(DAY($B846),"00")&amp;IF(ISNUMBER($O846),IF($O846&gt;1,"-"&amp;TEXT($O846,"00"),""),"")))</f>
        <v/>
      </c>
      <c r="B846" s="14"/>
      <c r="C846" s="10"/>
      <c r="D846" s="10"/>
      <c r="E846" s="10"/>
      <c r="F846" s="16"/>
      <c r="G846" s="10"/>
      <c r="H846" s="10"/>
      <c r="I846" s="10"/>
      <c r="J846" s="10"/>
      <c r="K846" s="10"/>
      <c r="L846" s="10"/>
      <c r="M846" s="14"/>
      <c r="N846" s="17" t="str">
        <f aca="false">IF($B846="","",IF($L846="已完成",IF($M846="","",$M846-$B846),IF(设置!$B$6&lt;$B846,"",IF((设置!$B$6-$B846)&gt;=设置!$B$5,"超期"&amp;(设置!$B$6-$B846)&amp;"天","已等"&amp;(设置!$B$6-$B846)&amp;"天"))))</f>
        <v/>
      </c>
      <c r="O846" s="18" t="str">
        <f aca="false">IF(OR($D846="",$E846=""),"",COUNTIFS($D$7:$D846,$D846,$E$7:$E846,$E846))</f>
        <v/>
      </c>
      <c r="P846" s="16"/>
      <c r="Q846" s="19"/>
      <c r="R846" s="10"/>
      <c r="S846" s="16"/>
      <c r="T846" s="0" t="str">
        <f aca="false">IF(OR($D846="",单元查询!$B$3=""),"",IF($D846&lt;&gt;单元查询!$B$3,"",IF(OR(单元查询!$D$3="",$E846&amp;""=单元查询!$D$3&amp;""),IF(ISNUMBER($B846),$B846*10000,0)+ROW(),"")))</f>
        <v/>
      </c>
      <c r="U846" s="0" t="str">
        <f aca="false">IF(OR($B846="",$L846="已完成"),"",IF(ISNUMBER($B846),IF(设置!$B$6&lt;$B846,"",(设置!$B$6-$B846)*100000+ROW()),""))</f>
        <v/>
      </c>
      <c r="V846" s="0" t="str">
        <f aca="false">IF(ISNUMBER($O846),IF($O846&gt;=2,IF(COUNTIFS($D846:$D$2006,$D846,$E846:$E$2006,$E846)=1,ROW(),""),""),"")</f>
        <v/>
      </c>
    </row>
    <row r="847" customFormat="false" ht="15" hidden="false" customHeight="true" outlineLevel="0" collapsed="false">
      <c r="A847" s="13" t="str">
        <f aca="false">IF(AND($B847="",$D847="",$E847="",$F847=""),"",IF(OR($B847="",$D847="",$E847=""),"待补",IF($D847="公共区域","公",IF($D847="商铺","S",SUBSTITUTE($D847,"栋","")))&amp;"-"&amp;$E847&amp;"-"&amp;TEXT(MONTH($B847),"00")&amp;TEXT(DAY($B847),"00")&amp;IF(ISNUMBER($O847),IF($O847&gt;1,"-"&amp;TEXT($O847,"00"),""),"")))</f>
        <v/>
      </c>
      <c r="B847" s="14"/>
      <c r="C847" s="10"/>
      <c r="D847" s="10"/>
      <c r="E847" s="10"/>
      <c r="F847" s="16"/>
      <c r="G847" s="10"/>
      <c r="H847" s="10"/>
      <c r="I847" s="10"/>
      <c r="J847" s="10"/>
      <c r="K847" s="10"/>
      <c r="L847" s="10"/>
      <c r="M847" s="14"/>
      <c r="N847" s="17" t="str">
        <f aca="false">IF($B847="","",IF($L847="已完成",IF($M847="","",$M847-$B847),IF(设置!$B$6&lt;$B847,"",IF((设置!$B$6-$B847)&gt;=设置!$B$5,"超期"&amp;(设置!$B$6-$B847)&amp;"天","已等"&amp;(设置!$B$6-$B847)&amp;"天"))))</f>
        <v/>
      </c>
      <c r="O847" s="18" t="str">
        <f aca="false">IF(OR($D847="",$E847=""),"",COUNTIFS($D$7:$D847,$D847,$E$7:$E847,$E847))</f>
        <v/>
      </c>
      <c r="P847" s="16"/>
      <c r="Q847" s="19"/>
      <c r="R847" s="10"/>
      <c r="S847" s="16"/>
      <c r="T847" s="0" t="str">
        <f aca="false">IF(OR($D847="",单元查询!$B$3=""),"",IF($D847&lt;&gt;单元查询!$B$3,"",IF(OR(单元查询!$D$3="",$E847&amp;""=单元查询!$D$3&amp;""),IF(ISNUMBER($B847),$B847*10000,0)+ROW(),"")))</f>
        <v/>
      </c>
      <c r="U847" s="0" t="str">
        <f aca="false">IF(OR($B847="",$L847="已完成"),"",IF(ISNUMBER($B847),IF(设置!$B$6&lt;$B847,"",(设置!$B$6-$B847)*100000+ROW()),""))</f>
        <v/>
      </c>
      <c r="V847" s="0" t="str">
        <f aca="false">IF(ISNUMBER($O847),IF($O847&gt;=2,IF(COUNTIFS($D847:$D$2006,$D847,$E847:$E$2006,$E847)=1,ROW(),""),""),"")</f>
        <v/>
      </c>
    </row>
    <row r="848" customFormat="false" ht="15" hidden="false" customHeight="true" outlineLevel="0" collapsed="false">
      <c r="A848" s="13" t="str">
        <f aca="false">IF(AND($B848="",$D848="",$E848="",$F848=""),"",IF(OR($B848="",$D848="",$E848=""),"待补",IF($D848="公共区域","公",IF($D848="商铺","S",SUBSTITUTE($D848,"栋","")))&amp;"-"&amp;$E848&amp;"-"&amp;TEXT(MONTH($B848),"00")&amp;TEXT(DAY($B848),"00")&amp;IF(ISNUMBER($O848),IF($O848&gt;1,"-"&amp;TEXT($O848,"00"),""),"")))</f>
        <v/>
      </c>
      <c r="B848" s="14"/>
      <c r="C848" s="10"/>
      <c r="D848" s="10"/>
      <c r="E848" s="10"/>
      <c r="F848" s="16"/>
      <c r="G848" s="10"/>
      <c r="H848" s="10"/>
      <c r="I848" s="10"/>
      <c r="J848" s="10"/>
      <c r="K848" s="10"/>
      <c r="L848" s="10"/>
      <c r="M848" s="14"/>
      <c r="N848" s="17" t="str">
        <f aca="false">IF($B848="","",IF($L848="已完成",IF($M848="","",$M848-$B848),IF(设置!$B$6&lt;$B848,"",IF((设置!$B$6-$B848)&gt;=设置!$B$5,"超期"&amp;(设置!$B$6-$B848)&amp;"天","已等"&amp;(设置!$B$6-$B848)&amp;"天"))))</f>
        <v/>
      </c>
      <c r="O848" s="18" t="str">
        <f aca="false">IF(OR($D848="",$E848=""),"",COUNTIFS($D$7:$D848,$D848,$E$7:$E848,$E848))</f>
        <v/>
      </c>
      <c r="P848" s="16"/>
      <c r="Q848" s="19"/>
      <c r="R848" s="10"/>
      <c r="S848" s="16"/>
      <c r="T848" s="0" t="str">
        <f aca="false">IF(OR($D848="",单元查询!$B$3=""),"",IF($D848&lt;&gt;单元查询!$B$3,"",IF(OR(单元查询!$D$3="",$E848&amp;""=单元查询!$D$3&amp;""),IF(ISNUMBER($B848),$B848*10000,0)+ROW(),"")))</f>
        <v/>
      </c>
      <c r="U848" s="0" t="str">
        <f aca="false">IF(OR($B848="",$L848="已完成"),"",IF(ISNUMBER($B848),IF(设置!$B$6&lt;$B848,"",(设置!$B$6-$B848)*100000+ROW()),""))</f>
        <v/>
      </c>
      <c r="V848" s="0" t="str">
        <f aca="false">IF(ISNUMBER($O848),IF($O848&gt;=2,IF(COUNTIFS($D848:$D$2006,$D848,$E848:$E$2006,$E848)=1,ROW(),""),""),"")</f>
        <v/>
      </c>
    </row>
    <row r="849" customFormat="false" ht="15" hidden="false" customHeight="true" outlineLevel="0" collapsed="false">
      <c r="A849" s="13" t="str">
        <f aca="false">IF(AND($B849="",$D849="",$E849="",$F849=""),"",IF(OR($B849="",$D849="",$E849=""),"待补",IF($D849="公共区域","公",IF($D849="商铺","S",SUBSTITUTE($D849,"栋","")))&amp;"-"&amp;$E849&amp;"-"&amp;TEXT(MONTH($B849),"00")&amp;TEXT(DAY($B849),"00")&amp;IF(ISNUMBER($O849),IF($O849&gt;1,"-"&amp;TEXT($O849,"00"),""),"")))</f>
        <v/>
      </c>
      <c r="B849" s="14"/>
      <c r="C849" s="10"/>
      <c r="D849" s="10"/>
      <c r="E849" s="10"/>
      <c r="F849" s="16"/>
      <c r="G849" s="10"/>
      <c r="H849" s="10"/>
      <c r="I849" s="10"/>
      <c r="J849" s="10"/>
      <c r="K849" s="10"/>
      <c r="L849" s="10"/>
      <c r="M849" s="14"/>
      <c r="N849" s="17" t="str">
        <f aca="false">IF($B849="","",IF($L849="已完成",IF($M849="","",$M849-$B849),IF(设置!$B$6&lt;$B849,"",IF((设置!$B$6-$B849)&gt;=设置!$B$5,"超期"&amp;(设置!$B$6-$B849)&amp;"天","已等"&amp;(设置!$B$6-$B849)&amp;"天"))))</f>
        <v/>
      </c>
      <c r="O849" s="18" t="str">
        <f aca="false">IF(OR($D849="",$E849=""),"",COUNTIFS($D$7:$D849,$D849,$E$7:$E849,$E849))</f>
        <v/>
      </c>
      <c r="P849" s="16"/>
      <c r="Q849" s="19"/>
      <c r="R849" s="10"/>
      <c r="S849" s="16"/>
      <c r="T849" s="0" t="str">
        <f aca="false">IF(OR($D849="",单元查询!$B$3=""),"",IF($D849&lt;&gt;单元查询!$B$3,"",IF(OR(单元查询!$D$3="",$E849&amp;""=单元查询!$D$3&amp;""),IF(ISNUMBER($B849),$B849*10000,0)+ROW(),"")))</f>
        <v/>
      </c>
      <c r="U849" s="0" t="str">
        <f aca="false">IF(OR($B849="",$L849="已完成"),"",IF(ISNUMBER($B849),IF(设置!$B$6&lt;$B849,"",(设置!$B$6-$B849)*100000+ROW()),""))</f>
        <v/>
      </c>
      <c r="V849" s="0" t="str">
        <f aca="false">IF(ISNUMBER($O849),IF($O849&gt;=2,IF(COUNTIFS($D849:$D$2006,$D849,$E849:$E$2006,$E849)=1,ROW(),""),""),"")</f>
        <v/>
      </c>
    </row>
    <row r="850" customFormat="false" ht="15" hidden="false" customHeight="true" outlineLevel="0" collapsed="false">
      <c r="A850" s="13" t="str">
        <f aca="false">IF(AND($B850="",$D850="",$E850="",$F850=""),"",IF(OR($B850="",$D850="",$E850=""),"待补",IF($D850="公共区域","公",IF($D850="商铺","S",SUBSTITUTE($D850,"栋","")))&amp;"-"&amp;$E850&amp;"-"&amp;TEXT(MONTH($B850),"00")&amp;TEXT(DAY($B850),"00")&amp;IF(ISNUMBER($O850),IF($O850&gt;1,"-"&amp;TEXT($O850,"00"),""),"")))</f>
        <v/>
      </c>
      <c r="B850" s="14"/>
      <c r="C850" s="10"/>
      <c r="D850" s="10"/>
      <c r="E850" s="10"/>
      <c r="F850" s="16"/>
      <c r="G850" s="10"/>
      <c r="H850" s="10"/>
      <c r="I850" s="10"/>
      <c r="J850" s="10"/>
      <c r="K850" s="10"/>
      <c r="L850" s="10"/>
      <c r="M850" s="14"/>
      <c r="N850" s="17" t="str">
        <f aca="false">IF($B850="","",IF($L850="已完成",IF($M850="","",$M850-$B850),IF(设置!$B$6&lt;$B850,"",IF((设置!$B$6-$B850)&gt;=设置!$B$5,"超期"&amp;(设置!$B$6-$B850)&amp;"天","已等"&amp;(设置!$B$6-$B850)&amp;"天"))))</f>
        <v/>
      </c>
      <c r="O850" s="18" t="str">
        <f aca="false">IF(OR($D850="",$E850=""),"",COUNTIFS($D$7:$D850,$D850,$E$7:$E850,$E850))</f>
        <v/>
      </c>
      <c r="P850" s="16"/>
      <c r="Q850" s="19"/>
      <c r="R850" s="10"/>
      <c r="S850" s="16"/>
      <c r="T850" s="0" t="str">
        <f aca="false">IF(OR($D850="",单元查询!$B$3=""),"",IF($D850&lt;&gt;单元查询!$B$3,"",IF(OR(单元查询!$D$3="",$E850&amp;""=单元查询!$D$3&amp;""),IF(ISNUMBER($B850),$B850*10000,0)+ROW(),"")))</f>
        <v/>
      </c>
      <c r="U850" s="0" t="str">
        <f aca="false">IF(OR($B850="",$L850="已完成"),"",IF(ISNUMBER($B850),IF(设置!$B$6&lt;$B850,"",(设置!$B$6-$B850)*100000+ROW()),""))</f>
        <v/>
      </c>
      <c r="V850" s="0" t="str">
        <f aca="false">IF(ISNUMBER($O850),IF($O850&gt;=2,IF(COUNTIFS($D850:$D$2006,$D850,$E850:$E$2006,$E850)=1,ROW(),""),""),"")</f>
        <v/>
      </c>
    </row>
    <row r="851" customFormat="false" ht="15" hidden="false" customHeight="true" outlineLevel="0" collapsed="false">
      <c r="A851" s="13" t="str">
        <f aca="false">IF(AND($B851="",$D851="",$E851="",$F851=""),"",IF(OR($B851="",$D851="",$E851=""),"待补",IF($D851="公共区域","公",IF($D851="商铺","S",SUBSTITUTE($D851,"栋","")))&amp;"-"&amp;$E851&amp;"-"&amp;TEXT(MONTH($B851),"00")&amp;TEXT(DAY($B851),"00")&amp;IF(ISNUMBER($O851),IF($O851&gt;1,"-"&amp;TEXT($O851,"00"),""),"")))</f>
        <v/>
      </c>
      <c r="B851" s="14"/>
      <c r="C851" s="10"/>
      <c r="D851" s="10"/>
      <c r="E851" s="10"/>
      <c r="F851" s="16"/>
      <c r="G851" s="10"/>
      <c r="H851" s="10"/>
      <c r="I851" s="10"/>
      <c r="J851" s="10"/>
      <c r="K851" s="10"/>
      <c r="L851" s="10"/>
      <c r="M851" s="14"/>
      <c r="N851" s="17" t="str">
        <f aca="false">IF($B851="","",IF($L851="已完成",IF($M851="","",$M851-$B851),IF(设置!$B$6&lt;$B851,"",IF((设置!$B$6-$B851)&gt;=设置!$B$5,"超期"&amp;(设置!$B$6-$B851)&amp;"天","已等"&amp;(设置!$B$6-$B851)&amp;"天"))))</f>
        <v/>
      </c>
      <c r="O851" s="18" t="str">
        <f aca="false">IF(OR($D851="",$E851=""),"",COUNTIFS($D$7:$D851,$D851,$E$7:$E851,$E851))</f>
        <v/>
      </c>
      <c r="P851" s="16"/>
      <c r="Q851" s="19"/>
      <c r="R851" s="10"/>
      <c r="S851" s="16"/>
      <c r="T851" s="0" t="str">
        <f aca="false">IF(OR($D851="",单元查询!$B$3=""),"",IF($D851&lt;&gt;单元查询!$B$3,"",IF(OR(单元查询!$D$3="",$E851&amp;""=单元查询!$D$3&amp;""),IF(ISNUMBER($B851),$B851*10000,0)+ROW(),"")))</f>
        <v/>
      </c>
      <c r="U851" s="0" t="str">
        <f aca="false">IF(OR($B851="",$L851="已完成"),"",IF(ISNUMBER($B851),IF(设置!$B$6&lt;$B851,"",(设置!$B$6-$B851)*100000+ROW()),""))</f>
        <v/>
      </c>
      <c r="V851" s="0" t="str">
        <f aca="false">IF(ISNUMBER($O851),IF($O851&gt;=2,IF(COUNTIFS($D851:$D$2006,$D851,$E851:$E$2006,$E851)=1,ROW(),""),""),"")</f>
        <v/>
      </c>
    </row>
    <row r="852" customFormat="false" ht="15" hidden="false" customHeight="true" outlineLevel="0" collapsed="false">
      <c r="A852" s="13" t="str">
        <f aca="false">IF(AND($B852="",$D852="",$E852="",$F852=""),"",IF(OR($B852="",$D852="",$E852=""),"待补",IF($D852="公共区域","公",IF($D852="商铺","S",SUBSTITUTE($D852,"栋","")))&amp;"-"&amp;$E852&amp;"-"&amp;TEXT(MONTH($B852),"00")&amp;TEXT(DAY($B852),"00")&amp;IF(ISNUMBER($O852),IF($O852&gt;1,"-"&amp;TEXT($O852,"00"),""),"")))</f>
        <v/>
      </c>
      <c r="B852" s="14"/>
      <c r="C852" s="10"/>
      <c r="D852" s="10"/>
      <c r="E852" s="10"/>
      <c r="F852" s="16"/>
      <c r="G852" s="10"/>
      <c r="H852" s="10"/>
      <c r="I852" s="10"/>
      <c r="J852" s="10"/>
      <c r="K852" s="10"/>
      <c r="L852" s="10"/>
      <c r="M852" s="14"/>
      <c r="N852" s="17" t="str">
        <f aca="false">IF($B852="","",IF($L852="已完成",IF($M852="","",$M852-$B852),IF(设置!$B$6&lt;$B852,"",IF((设置!$B$6-$B852)&gt;=设置!$B$5,"超期"&amp;(设置!$B$6-$B852)&amp;"天","已等"&amp;(设置!$B$6-$B852)&amp;"天"))))</f>
        <v/>
      </c>
      <c r="O852" s="18" t="str">
        <f aca="false">IF(OR($D852="",$E852=""),"",COUNTIFS($D$7:$D852,$D852,$E$7:$E852,$E852))</f>
        <v/>
      </c>
      <c r="P852" s="16"/>
      <c r="Q852" s="19"/>
      <c r="R852" s="10"/>
      <c r="S852" s="16"/>
      <c r="T852" s="0" t="str">
        <f aca="false">IF(OR($D852="",单元查询!$B$3=""),"",IF($D852&lt;&gt;单元查询!$B$3,"",IF(OR(单元查询!$D$3="",$E852&amp;""=单元查询!$D$3&amp;""),IF(ISNUMBER($B852),$B852*10000,0)+ROW(),"")))</f>
        <v/>
      </c>
      <c r="U852" s="0" t="str">
        <f aca="false">IF(OR($B852="",$L852="已完成"),"",IF(ISNUMBER($B852),IF(设置!$B$6&lt;$B852,"",(设置!$B$6-$B852)*100000+ROW()),""))</f>
        <v/>
      </c>
      <c r="V852" s="0" t="str">
        <f aca="false">IF(ISNUMBER($O852),IF($O852&gt;=2,IF(COUNTIFS($D852:$D$2006,$D852,$E852:$E$2006,$E852)=1,ROW(),""),""),"")</f>
        <v/>
      </c>
    </row>
    <row r="853" customFormat="false" ht="15" hidden="false" customHeight="true" outlineLevel="0" collapsed="false">
      <c r="A853" s="13" t="str">
        <f aca="false">IF(AND($B853="",$D853="",$E853="",$F853=""),"",IF(OR($B853="",$D853="",$E853=""),"待补",IF($D853="公共区域","公",IF($D853="商铺","S",SUBSTITUTE($D853,"栋","")))&amp;"-"&amp;$E853&amp;"-"&amp;TEXT(MONTH($B853),"00")&amp;TEXT(DAY($B853),"00")&amp;IF(ISNUMBER($O853),IF($O853&gt;1,"-"&amp;TEXT($O853,"00"),""),"")))</f>
        <v/>
      </c>
      <c r="B853" s="14"/>
      <c r="C853" s="10"/>
      <c r="D853" s="10"/>
      <c r="E853" s="10"/>
      <c r="F853" s="16"/>
      <c r="G853" s="10"/>
      <c r="H853" s="10"/>
      <c r="I853" s="10"/>
      <c r="J853" s="10"/>
      <c r="K853" s="10"/>
      <c r="L853" s="10"/>
      <c r="M853" s="14"/>
      <c r="N853" s="17" t="str">
        <f aca="false">IF($B853="","",IF($L853="已完成",IF($M853="","",$M853-$B853),IF(设置!$B$6&lt;$B853,"",IF((设置!$B$6-$B853)&gt;=设置!$B$5,"超期"&amp;(设置!$B$6-$B853)&amp;"天","已等"&amp;(设置!$B$6-$B853)&amp;"天"))))</f>
        <v/>
      </c>
      <c r="O853" s="18" t="str">
        <f aca="false">IF(OR($D853="",$E853=""),"",COUNTIFS($D$7:$D853,$D853,$E$7:$E853,$E853))</f>
        <v/>
      </c>
      <c r="P853" s="16"/>
      <c r="Q853" s="19"/>
      <c r="R853" s="10"/>
      <c r="S853" s="16"/>
      <c r="T853" s="0" t="str">
        <f aca="false">IF(OR($D853="",单元查询!$B$3=""),"",IF($D853&lt;&gt;单元查询!$B$3,"",IF(OR(单元查询!$D$3="",$E853&amp;""=单元查询!$D$3&amp;""),IF(ISNUMBER($B853),$B853*10000,0)+ROW(),"")))</f>
        <v/>
      </c>
      <c r="U853" s="0" t="str">
        <f aca="false">IF(OR($B853="",$L853="已完成"),"",IF(ISNUMBER($B853),IF(设置!$B$6&lt;$B853,"",(设置!$B$6-$B853)*100000+ROW()),""))</f>
        <v/>
      </c>
      <c r="V853" s="0" t="str">
        <f aca="false">IF(ISNUMBER($O853),IF($O853&gt;=2,IF(COUNTIFS($D853:$D$2006,$D853,$E853:$E$2006,$E853)=1,ROW(),""),""),"")</f>
        <v/>
      </c>
    </row>
    <row r="854" customFormat="false" ht="15" hidden="false" customHeight="true" outlineLevel="0" collapsed="false">
      <c r="A854" s="13" t="str">
        <f aca="false">IF(AND($B854="",$D854="",$E854="",$F854=""),"",IF(OR($B854="",$D854="",$E854=""),"待补",IF($D854="公共区域","公",IF($D854="商铺","S",SUBSTITUTE($D854,"栋","")))&amp;"-"&amp;$E854&amp;"-"&amp;TEXT(MONTH($B854),"00")&amp;TEXT(DAY($B854),"00")&amp;IF(ISNUMBER($O854),IF($O854&gt;1,"-"&amp;TEXT($O854,"00"),""),"")))</f>
        <v/>
      </c>
      <c r="B854" s="14"/>
      <c r="C854" s="10"/>
      <c r="D854" s="10"/>
      <c r="E854" s="10"/>
      <c r="F854" s="16"/>
      <c r="G854" s="10"/>
      <c r="H854" s="10"/>
      <c r="I854" s="10"/>
      <c r="J854" s="10"/>
      <c r="K854" s="10"/>
      <c r="L854" s="10"/>
      <c r="M854" s="14"/>
      <c r="N854" s="17" t="str">
        <f aca="false">IF($B854="","",IF($L854="已完成",IF($M854="","",$M854-$B854),IF(设置!$B$6&lt;$B854,"",IF((设置!$B$6-$B854)&gt;=设置!$B$5,"超期"&amp;(设置!$B$6-$B854)&amp;"天","已等"&amp;(设置!$B$6-$B854)&amp;"天"))))</f>
        <v/>
      </c>
      <c r="O854" s="18" t="str">
        <f aca="false">IF(OR($D854="",$E854=""),"",COUNTIFS($D$7:$D854,$D854,$E$7:$E854,$E854))</f>
        <v/>
      </c>
      <c r="P854" s="16"/>
      <c r="Q854" s="19"/>
      <c r="R854" s="10"/>
      <c r="S854" s="16"/>
      <c r="T854" s="0" t="str">
        <f aca="false">IF(OR($D854="",单元查询!$B$3=""),"",IF($D854&lt;&gt;单元查询!$B$3,"",IF(OR(单元查询!$D$3="",$E854&amp;""=单元查询!$D$3&amp;""),IF(ISNUMBER($B854),$B854*10000,0)+ROW(),"")))</f>
        <v/>
      </c>
      <c r="U854" s="0" t="str">
        <f aca="false">IF(OR($B854="",$L854="已完成"),"",IF(ISNUMBER($B854),IF(设置!$B$6&lt;$B854,"",(设置!$B$6-$B854)*100000+ROW()),""))</f>
        <v/>
      </c>
      <c r="V854" s="0" t="str">
        <f aca="false">IF(ISNUMBER($O854),IF($O854&gt;=2,IF(COUNTIFS($D854:$D$2006,$D854,$E854:$E$2006,$E854)=1,ROW(),""),""),"")</f>
        <v/>
      </c>
    </row>
    <row r="855" customFormat="false" ht="15" hidden="false" customHeight="true" outlineLevel="0" collapsed="false">
      <c r="A855" s="13" t="str">
        <f aca="false">IF(AND($B855="",$D855="",$E855="",$F855=""),"",IF(OR($B855="",$D855="",$E855=""),"待补",IF($D855="公共区域","公",IF($D855="商铺","S",SUBSTITUTE($D855,"栋","")))&amp;"-"&amp;$E855&amp;"-"&amp;TEXT(MONTH($B855),"00")&amp;TEXT(DAY($B855),"00")&amp;IF(ISNUMBER($O855),IF($O855&gt;1,"-"&amp;TEXT($O855,"00"),""),"")))</f>
        <v/>
      </c>
      <c r="B855" s="14"/>
      <c r="C855" s="10"/>
      <c r="D855" s="10"/>
      <c r="E855" s="10"/>
      <c r="F855" s="16"/>
      <c r="G855" s="10"/>
      <c r="H855" s="10"/>
      <c r="I855" s="10"/>
      <c r="J855" s="10"/>
      <c r="K855" s="10"/>
      <c r="L855" s="10"/>
      <c r="M855" s="14"/>
      <c r="N855" s="17" t="str">
        <f aca="false">IF($B855="","",IF($L855="已完成",IF($M855="","",$M855-$B855),IF(设置!$B$6&lt;$B855,"",IF((设置!$B$6-$B855)&gt;=设置!$B$5,"超期"&amp;(设置!$B$6-$B855)&amp;"天","已等"&amp;(设置!$B$6-$B855)&amp;"天"))))</f>
        <v/>
      </c>
      <c r="O855" s="18" t="str">
        <f aca="false">IF(OR($D855="",$E855=""),"",COUNTIFS($D$7:$D855,$D855,$E$7:$E855,$E855))</f>
        <v/>
      </c>
      <c r="P855" s="16"/>
      <c r="Q855" s="19"/>
      <c r="R855" s="10"/>
      <c r="S855" s="16"/>
      <c r="T855" s="0" t="str">
        <f aca="false">IF(OR($D855="",单元查询!$B$3=""),"",IF($D855&lt;&gt;单元查询!$B$3,"",IF(OR(单元查询!$D$3="",$E855&amp;""=单元查询!$D$3&amp;""),IF(ISNUMBER($B855),$B855*10000,0)+ROW(),"")))</f>
        <v/>
      </c>
      <c r="U855" s="0" t="str">
        <f aca="false">IF(OR($B855="",$L855="已完成"),"",IF(ISNUMBER($B855),IF(设置!$B$6&lt;$B855,"",(设置!$B$6-$B855)*100000+ROW()),""))</f>
        <v/>
      </c>
      <c r="V855" s="0" t="str">
        <f aca="false">IF(ISNUMBER($O855),IF($O855&gt;=2,IF(COUNTIFS($D855:$D$2006,$D855,$E855:$E$2006,$E855)=1,ROW(),""),""),"")</f>
        <v/>
      </c>
    </row>
    <row r="856" customFormat="false" ht="15" hidden="false" customHeight="true" outlineLevel="0" collapsed="false">
      <c r="A856" s="13" t="str">
        <f aca="false">IF(AND($B856="",$D856="",$E856="",$F856=""),"",IF(OR($B856="",$D856="",$E856=""),"待补",IF($D856="公共区域","公",IF($D856="商铺","S",SUBSTITUTE($D856,"栋","")))&amp;"-"&amp;$E856&amp;"-"&amp;TEXT(MONTH($B856),"00")&amp;TEXT(DAY($B856),"00")&amp;IF(ISNUMBER($O856),IF($O856&gt;1,"-"&amp;TEXT($O856,"00"),""),"")))</f>
        <v/>
      </c>
      <c r="B856" s="14"/>
      <c r="C856" s="10"/>
      <c r="D856" s="10"/>
      <c r="E856" s="10"/>
      <c r="F856" s="16"/>
      <c r="G856" s="10"/>
      <c r="H856" s="10"/>
      <c r="I856" s="10"/>
      <c r="J856" s="10"/>
      <c r="K856" s="10"/>
      <c r="L856" s="10"/>
      <c r="M856" s="14"/>
      <c r="N856" s="17" t="str">
        <f aca="false">IF($B856="","",IF($L856="已完成",IF($M856="","",$M856-$B856),IF(设置!$B$6&lt;$B856,"",IF((设置!$B$6-$B856)&gt;=设置!$B$5,"超期"&amp;(设置!$B$6-$B856)&amp;"天","已等"&amp;(设置!$B$6-$B856)&amp;"天"))))</f>
        <v/>
      </c>
      <c r="O856" s="18" t="str">
        <f aca="false">IF(OR($D856="",$E856=""),"",COUNTIFS($D$7:$D856,$D856,$E$7:$E856,$E856))</f>
        <v/>
      </c>
      <c r="P856" s="16"/>
      <c r="Q856" s="19"/>
      <c r="R856" s="10"/>
      <c r="S856" s="16"/>
      <c r="T856" s="0" t="str">
        <f aca="false">IF(OR($D856="",单元查询!$B$3=""),"",IF($D856&lt;&gt;单元查询!$B$3,"",IF(OR(单元查询!$D$3="",$E856&amp;""=单元查询!$D$3&amp;""),IF(ISNUMBER($B856),$B856*10000,0)+ROW(),"")))</f>
        <v/>
      </c>
      <c r="U856" s="0" t="str">
        <f aca="false">IF(OR($B856="",$L856="已完成"),"",IF(ISNUMBER($B856),IF(设置!$B$6&lt;$B856,"",(设置!$B$6-$B856)*100000+ROW()),""))</f>
        <v/>
      </c>
      <c r="V856" s="0" t="str">
        <f aca="false">IF(ISNUMBER($O856),IF($O856&gt;=2,IF(COUNTIFS($D856:$D$2006,$D856,$E856:$E$2006,$E856)=1,ROW(),""),""),"")</f>
        <v/>
      </c>
    </row>
    <row r="857" customFormat="false" ht="15" hidden="false" customHeight="true" outlineLevel="0" collapsed="false">
      <c r="A857" s="13" t="str">
        <f aca="false">IF(AND($B857="",$D857="",$E857="",$F857=""),"",IF(OR($B857="",$D857="",$E857=""),"待补",IF($D857="公共区域","公",IF($D857="商铺","S",SUBSTITUTE($D857,"栋","")))&amp;"-"&amp;$E857&amp;"-"&amp;TEXT(MONTH($B857),"00")&amp;TEXT(DAY($B857),"00")&amp;IF(ISNUMBER($O857),IF($O857&gt;1,"-"&amp;TEXT($O857,"00"),""),"")))</f>
        <v/>
      </c>
      <c r="B857" s="14"/>
      <c r="C857" s="10"/>
      <c r="D857" s="10"/>
      <c r="E857" s="10"/>
      <c r="F857" s="16"/>
      <c r="G857" s="10"/>
      <c r="H857" s="10"/>
      <c r="I857" s="10"/>
      <c r="J857" s="10"/>
      <c r="K857" s="10"/>
      <c r="L857" s="10"/>
      <c r="M857" s="14"/>
      <c r="N857" s="17" t="str">
        <f aca="false">IF($B857="","",IF($L857="已完成",IF($M857="","",$M857-$B857),IF(设置!$B$6&lt;$B857,"",IF((设置!$B$6-$B857)&gt;=设置!$B$5,"超期"&amp;(设置!$B$6-$B857)&amp;"天","已等"&amp;(设置!$B$6-$B857)&amp;"天"))))</f>
        <v/>
      </c>
      <c r="O857" s="18" t="str">
        <f aca="false">IF(OR($D857="",$E857=""),"",COUNTIFS($D$7:$D857,$D857,$E$7:$E857,$E857))</f>
        <v/>
      </c>
      <c r="P857" s="16"/>
      <c r="Q857" s="19"/>
      <c r="R857" s="10"/>
      <c r="S857" s="16"/>
      <c r="T857" s="0" t="str">
        <f aca="false">IF(OR($D857="",单元查询!$B$3=""),"",IF($D857&lt;&gt;单元查询!$B$3,"",IF(OR(单元查询!$D$3="",$E857&amp;""=单元查询!$D$3&amp;""),IF(ISNUMBER($B857),$B857*10000,0)+ROW(),"")))</f>
        <v/>
      </c>
      <c r="U857" s="0" t="str">
        <f aca="false">IF(OR($B857="",$L857="已完成"),"",IF(ISNUMBER($B857),IF(设置!$B$6&lt;$B857,"",(设置!$B$6-$B857)*100000+ROW()),""))</f>
        <v/>
      </c>
      <c r="V857" s="0" t="str">
        <f aca="false">IF(ISNUMBER($O857),IF($O857&gt;=2,IF(COUNTIFS($D857:$D$2006,$D857,$E857:$E$2006,$E857)=1,ROW(),""),""),"")</f>
        <v/>
      </c>
    </row>
    <row r="858" customFormat="false" ht="15" hidden="false" customHeight="true" outlineLevel="0" collapsed="false">
      <c r="A858" s="13" t="str">
        <f aca="false">IF(AND($B858="",$D858="",$E858="",$F858=""),"",IF(OR($B858="",$D858="",$E858=""),"待补",IF($D858="公共区域","公",IF($D858="商铺","S",SUBSTITUTE($D858,"栋","")))&amp;"-"&amp;$E858&amp;"-"&amp;TEXT(MONTH($B858),"00")&amp;TEXT(DAY($B858),"00")&amp;IF(ISNUMBER($O858),IF($O858&gt;1,"-"&amp;TEXT($O858,"00"),""),"")))</f>
        <v/>
      </c>
      <c r="B858" s="14"/>
      <c r="C858" s="10"/>
      <c r="D858" s="10"/>
      <c r="E858" s="10"/>
      <c r="F858" s="16"/>
      <c r="G858" s="10"/>
      <c r="H858" s="10"/>
      <c r="I858" s="10"/>
      <c r="J858" s="10"/>
      <c r="K858" s="10"/>
      <c r="L858" s="10"/>
      <c r="M858" s="14"/>
      <c r="N858" s="17" t="str">
        <f aca="false">IF($B858="","",IF($L858="已完成",IF($M858="","",$M858-$B858),IF(设置!$B$6&lt;$B858,"",IF((设置!$B$6-$B858)&gt;=设置!$B$5,"超期"&amp;(设置!$B$6-$B858)&amp;"天","已等"&amp;(设置!$B$6-$B858)&amp;"天"))))</f>
        <v/>
      </c>
      <c r="O858" s="18" t="str">
        <f aca="false">IF(OR($D858="",$E858=""),"",COUNTIFS($D$7:$D858,$D858,$E$7:$E858,$E858))</f>
        <v/>
      </c>
      <c r="P858" s="16"/>
      <c r="Q858" s="19"/>
      <c r="R858" s="10"/>
      <c r="S858" s="16"/>
      <c r="T858" s="0" t="str">
        <f aca="false">IF(OR($D858="",单元查询!$B$3=""),"",IF($D858&lt;&gt;单元查询!$B$3,"",IF(OR(单元查询!$D$3="",$E858&amp;""=单元查询!$D$3&amp;""),IF(ISNUMBER($B858),$B858*10000,0)+ROW(),"")))</f>
        <v/>
      </c>
      <c r="U858" s="0" t="str">
        <f aca="false">IF(OR($B858="",$L858="已完成"),"",IF(ISNUMBER($B858),IF(设置!$B$6&lt;$B858,"",(设置!$B$6-$B858)*100000+ROW()),""))</f>
        <v/>
      </c>
      <c r="V858" s="0" t="str">
        <f aca="false">IF(ISNUMBER($O858),IF($O858&gt;=2,IF(COUNTIFS($D858:$D$2006,$D858,$E858:$E$2006,$E858)=1,ROW(),""),""),"")</f>
        <v/>
      </c>
    </row>
    <row r="859" customFormat="false" ht="15" hidden="false" customHeight="true" outlineLevel="0" collapsed="false">
      <c r="A859" s="13" t="str">
        <f aca="false">IF(AND($B859="",$D859="",$E859="",$F859=""),"",IF(OR($B859="",$D859="",$E859=""),"待补",IF($D859="公共区域","公",IF($D859="商铺","S",SUBSTITUTE($D859,"栋","")))&amp;"-"&amp;$E859&amp;"-"&amp;TEXT(MONTH($B859),"00")&amp;TEXT(DAY($B859),"00")&amp;IF(ISNUMBER($O859),IF($O859&gt;1,"-"&amp;TEXT($O859,"00"),""),"")))</f>
        <v/>
      </c>
      <c r="B859" s="14"/>
      <c r="C859" s="10"/>
      <c r="D859" s="10"/>
      <c r="E859" s="10"/>
      <c r="F859" s="16"/>
      <c r="G859" s="10"/>
      <c r="H859" s="10"/>
      <c r="I859" s="10"/>
      <c r="J859" s="10"/>
      <c r="K859" s="10"/>
      <c r="L859" s="10"/>
      <c r="M859" s="14"/>
      <c r="N859" s="17" t="str">
        <f aca="false">IF($B859="","",IF($L859="已完成",IF($M859="","",$M859-$B859),IF(设置!$B$6&lt;$B859,"",IF((设置!$B$6-$B859)&gt;=设置!$B$5,"超期"&amp;(设置!$B$6-$B859)&amp;"天","已等"&amp;(设置!$B$6-$B859)&amp;"天"))))</f>
        <v/>
      </c>
      <c r="O859" s="18" t="str">
        <f aca="false">IF(OR($D859="",$E859=""),"",COUNTIFS($D$7:$D859,$D859,$E$7:$E859,$E859))</f>
        <v/>
      </c>
      <c r="P859" s="16"/>
      <c r="Q859" s="19"/>
      <c r="R859" s="10"/>
      <c r="S859" s="16"/>
      <c r="T859" s="0" t="str">
        <f aca="false">IF(OR($D859="",单元查询!$B$3=""),"",IF($D859&lt;&gt;单元查询!$B$3,"",IF(OR(单元查询!$D$3="",$E859&amp;""=单元查询!$D$3&amp;""),IF(ISNUMBER($B859),$B859*10000,0)+ROW(),"")))</f>
        <v/>
      </c>
      <c r="U859" s="0" t="str">
        <f aca="false">IF(OR($B859="",$L859="已完成"),"",IF(ISNUMBER($B859),IF(设置!$B$6&lt;$B859,"",(设置!$B$6-$B859)*100000+ROW()),""))</f>
        <v/>
      </c>
      <c r="V859" s="0" t="str">
        <f aca="false">IF(ISNUMBER($O859),IF($O859&gt;=2,IF(COUNTIFS($D859:$D$2006,$D859,$E859:$E$2006,$E859)=1,ROW(),""),""),"")</f>
        <v/>
      </c>
    </row>
    <row r="860" customFormat="false" ht="15" hidden="false" customHeight="true" outlineLevel="0" collapsed="false">
      <c r="A860" s="13" t="str">
        <f aca="false">IF(AND($B860="",$D860="",$E860="",$F860=""),"",IF(OR($B860="",$D860="",$E860=""),"待补",IF($D860="公共区域","公",IF($D860="商铺","S",SUBSTITUTE($D860,"栋","")))&amp;"-"&amp;$E860&amp;"-"&amp;TEXT(MONTH($B860),"00")&amp;TEXT(DAY($B860),"00")&amp;IF(ISNUMBER($O860),IF($O860&gt;1,"-"&amp;TEXT($O860,"00"),""),"")))</f>
        <v/>
      </c>
      <c r="B860" s="14"/>
      <c r="C860" s="10"/>
      <c r="D860" s="10"/>
      <c r="E860" s="10"/>
      <c r="F860" s="16"/>
      <c r="G860" s="10"/>
      <c r="H860" s="10"/>
      <c r="I860" s="10"/>
      <c r="J860" s="10"/>
      <c r="K860" s="10"/>
      <c r="L860" s="10"/>
      <c r="M860" s="14"/>
      <c r="N860" s="17" t="str">
        <f aca="false">IF($B860="","",IF($L860="已完成",IF($M860="","",$M860-$B860),IF(设置!$B$6&lt;$B860,"",IF((设置!$B$6-$B860)&gt;=设置!$B$5,"超期"&amp;(设置!$B$6-$B860)&amp;"天","已等"&amp;(设置!$B$6-$B860)&amp;"天"))))</f>
        <v/>
      </c>
      <c r="O860" s="18" t="str">
        <f aca="false">IF(OR($D860="",$E860=""),"",COUNTIFS($D$7:$D860,$D860,$E$7:$E860,$E860))</f>
        <v/>
      </c>
      <c r="P860" s="16"/>
      <c r="Q860" s="19"/>
      <c r="R860" s="10"/>
      <c r="S860" s="16"/>
      <c r="T860" s="0" t="str">
        <f aca="false">IF(OR($D860="",单元查询!$B$3=""),"",IF($D860&lt;&gt;单元查询!$B$3,"",IF(OR(单元查询!$D$3="",$E860&amp;""=单元查询!$D$3&amp;""),IF(ISNUMBER($B860),$B860*10000,0)+ROW(),"")))</f>
        <v/>
      </c>
      <c r="U860" s="0" t="str">
        <f aca="false">IF(OR($B860="",$L860="已完成"),"",IF(ISNUMBER($B860),IF(设置!$B$6&lt;$B860,"",(设置!$B$6-$B860)*100000+ROW()),""))</f>
        <v/>
      </c>
      <c r="V860" s="0" t="str">
        <f aca="false">IF(ISNUMBER($O860),IF($O860&gt;=2,IF(COUNTIFS($D860:$D$2006,$D860,$E860:$E$2006,$E860)=1,ROW(),""),""),"")</f>
        <v/>
      </c>
    </row>
    <row r="861" customFormat="false" ht="15" hidden="false" customHeight="true" outlineLevel="0" collapsed="false">
      <c r="A861" s="13" t="str">
        <f aca="false">IF(AND($B861="",$D861="",$E861="",$F861=""),"",IF(OR($B861="",$D861="",$E861=""),"待补",IF($D861="公共区域","公",IF($D861="商铺","S",SUBSTITUTE($D861,"栋","")))&amp;"-"&amp;$E861&amp;"-"&amp;TEXT(MONTH($B861),"00")&amp;TEXT(DAY($B861),"00")&amp;IF(ISNUMBER($O861),IF($O861&gt;1,"-"&amp;TEXT($O861,"00"),""),"")))</f>
        <v/>
      </c>
      <c r="B861" s="14"/>
      <c r="C861" s="10"/>
      <c r="D861" s="10"/>
      <c r="E861" s="10"/>
      <c r="F861" s="16"/>
      <c r="G861" s="10"/>
      <c r="H861" s="10"/>
      <c r="I861" s="10"/>
      <c r="J861" s="10"/>
      <c r="K861" s="10"/>
      <c r="L861" s="10"/>
      <c r="M861" s="14"/>
      <c r="N861" s="17" t="str">
        <f aca="false">IF($B861="","",IF($L861="已完成",IF($M861="","",$M861-$B861),IF(设置!$B$6&lt;$B861,"",IF((设置!$B$6-$B861)&gt;=设置!$B$5,"超期"&amp;(设置!$B$6-$B861)&amp;"天","已等"&amp;(设置!$B$6-$B861)&amp;"天"))))</f>
        <v/>
      </c>
      <c r="O861" s="18" t="str">
        <f aca="false">IF(OR($D861="",$E861=""),"",COUNTIFS($D$7:$D861,$D861,$E$7:$E861,$E861))</f>
        <v/>
      </c>
      <c r="P861" s="16"/>
      <c r="Q861" s="19"/>
      <c r="R861" s="10"/>
      <c r="S861" s="16"/>
      <c r="T861" s="0" t="str">
        <f aca="false">IF(OR($D861="",单元查询!$B$3=""),"",IF($D861&lt;&gt;单元查询!$B$3,"",IF(OR(单元查询!$D$3="",$E861&amp;""=单元查询!$D$3&amp;""),IF(ISNUMBER($B861),$B861*10000,0)+ROW(),"")))</f>
        <v/>
      </c>
      <c r="U861" s="0" t="str">
        <f aca="false">IF(OR($B861="",$L861="已完成"),"",IF(ISNUMBER($B861),IF(设置!$B$6&lt;$B861,"",(设置!$B$6-$B861)*100000+ROW()),""))</f>
        <v/>
      </c>
      <c r="V861" s="0" t="str">
        <f aca="false">IF(ISNUMBER($O861),IF($O861&gt;=2,IF(COUNTIFS($D861:$D$2006,$D861,$E861:$E$2006,$E861)=1,ROW(),""),""),"")</f>
        <v/>
      </c>
    </row>
    <row r="862" customFormat="false" ht="15" hidden="false" customHeight="true" outlineLevel="0" collapsed="false">
      <c r="A862" s="13" t="str">
        <f aca="false">IF(AND($B862="",$D862="",$E862="",$F862=""),"",IF(OR($B862="",$D862="",$E862=""),"待补",IF($D862="公共区域","公",IF($D862="商铺","S",SUBSTITUTE($D862,"栋","")))&amp;"-"&amp;$E862&amp;"-"&amp;TEXT(MONTH($B862),"00")&amp;TEXT(DAY($B862),"00")&amp;IF(ISNUMBER($O862),IF($O862&gt;1,"-"&amp;TEXT($O862,"00"),""),"")))</f>
        <v/>
      </c>
      <c r="B862" s="14"/>
      <c r="C862" s="10"/>
      <c r="D862" s="10"/>
      <c r="E862" s="10"/>
      <c r="F862" s="16"/>
      <c r="G862" s="10"/>
      <c r="H862" s="10"/>
      <c r="I862" s="10"/>
      <c r="J862" s="10"/>
      <c r="K862" s="10"/>
      <c r="L862" s="10"/>
      <c r="M862" s="14"/>
      <c r="N862" s="17" t="str">
        <f aca="false">IF($B862="","",IF($L862="已完成",IF($M862="","",$M862-$B862),IF(设置!$B$6&lt;$B862,"",IF((设置!$B$6-$B862)&gt;=设置!$B$5,"超期"&amp;(设置!$B$6-$B862)&amp;"天","已等"&amp;(设置!$B$6-$B862)&amp;"天"))))</f>
        <v/>
      </c>
      <c r="O862" s="18" t="str">
        <f aca="false">IF(OR($D862="",$E862=""),"",COUNTIFS($D$7:$D862,$D862,$E$7:$E862,$E862))</f>
        <v/>
      </c>
      <c r="P862" s="16"/>
      <c r="Q862" s="19"/>
      <c r="R862" s="10"/>
      <c r="S862" s="16"/>
      <c r="T862" s="0" t="str">
        <f aca="false">IF(OR($D862="",单元查询!$B$3=""),"",IF($D862&lt;&gt;单元查询!$B$3,"",IF(OR(单元查询!$D$3="",$E862&amp;""=单元查询!$D$3&amp;""),IF(ISNUMBER($B862),$B862*10000,0)+ROW(),"")))</f>
        <v/>
      </c>
      <c r="U862" s="0" t="str">
        <f aca="false">IF(OR($B862="",$L862="已完成"),"",IF(ISNUMBER($B862),IF(设置!$B$6&lt;$B862,"",(设置!$B$6-$B862)*100000+ROW()),""))</f>
        <v/>
      </c>
      <c r="V862" s="0" t="str">
        <f aca="false">IF(ISNUMBER($O862),IF($O862&gt;=2,IF(COUNTIFS($D862:$D$2006,$D862,$E862:$E$2006,$E862)=1,ROW(),""),""),"")</f>
        <v/>
      </c>
    </row>
    <row r="863" customFormat="false" ht="15" hidden="false" customHeight="true" outlineLevel="0" collapsed="false">
      <c r="A863" s="13" t="str">
        <f aca="false">IF(AND($B863="",$D863="",$E863="",$F863=""),"",IF(OR($B863="",$D863="",$E863=""),"待补",IF($D863="公共区域","公",IF($D863="商铺","S",SUBSTITUTE($D863,"栋","")))&amp;"-"&amp;$E863&amp;"-"&amp;TEXT(MONTH($B863),"00")&amp;TEXT(DAY($B863),"00")&amp;IF(ISNUMBER($O863),IF($O863&gt;1,"-"&amp;TEXT($O863,"00"),""),"")))</f>
        <v/>
      </c>
      <c r="B863" s="14"/>
      <c r="C863" s="10"/>
      <c r="D863" s="10"/>
      <c r="E863" s="10"/>
      <c r="F863" s="16"/>
      <c r="G863" s="10"/>
      <c r="H863" s="10"/>
      <c r="I863" s="10"/>
      <c r="J863" s="10"/>
      <c r="K863" s="10"/>
      <c r="L863" s="10"/>
      <c r="M863" s="14"/>
      <c r="N863" s="17" t="str">
        <f aca="false">IF($B863="","",IF($L863="已完成",IF($M863="","",$M863-$B863),IF(设置!$B$6&lt;$B863,"",IF((设置!$B$6-$B863)&gt;=设置!$B$5,"超期"&amp;(设置!$B$6-$B863)&amp;"天","已等"&amp;(设置!$B$6-$B863)&amp;"天"))))</f>
        <v/>
      </c>
      <c r="O863" s="18" t="str">
        <f aca="false">IF(OR($D863="",$E863=""),"",COUNTIFS($D$7:$D863,$D863,$E$7:$E863,$E863))</f>
        <v/>
      </c>
      <c r="P863" s="16"/>
      <c r="Q863" s="19"/>
      <c r="R863" s="10"/>
      <c r="S863" s="16"/>
      <c r="T863" s="0" t="str">
        <f aca="false">IF(OR($D863="",单元查询!$B$3=""),"",IF($D863&lt;&gt;单元查询!$B$3,"",IF(OR(单元查询!$D$3="",$E863&amp;""=单元查询!$D$3&amp;""),IF(ISNUMBER($B863),$B863*10000,0)+ROW(),"")))</f>
        <v/>
      </c>
      <c r="U863" s="0" t="str">
        <f aca="false">IF(OR($B863="",$L863="已完成"),"",IF(ISNUMBER($B863),IF(设置!$B$6&lt;$B863,"",(设置!$B$6-$B863)*100000+ROW()),""))</f>
        <v/>
      </c>
      <c r="V863" s="0" t="str">
        <f aca="false">IF(ISNUMBER($O863),IF($O863&gt;=2,IF(COUNTIFS($D863:$D$2006,$D863,$E863:$E$2006,$E863)=1,ROW(),""),""),"")</f>
        <v/>
      </c>
    </row>
    <row r="864" customFormat="false" ht="15" hidden="false" customHeight="true" outlineLevel="0" collapsed="false">
      <c r="A864" s="13" t="str">
        <f aca="false">IF(AND($B864="",$D864="",$E864="",$F864=""),"",IF(OR($B864="",$D864="",$E864=""),"待补",IF($D864="公共区域","公",IF($D864="商铺","S",SUBSTITUTE($D864,"栋","")))&amp;"-"&amp;$E864&amp;"-"&amp;TEXT(MONTH($B864),"00")&amp;TEXT(DAY($B864),"00")&amp;IF(ISNUMBER($O864),IF($O864&gt;1,"-"&amp;TEXT($O864,"00"),""),"")))</f>
        <v/>
      </c>
      <c r="B864" s="14"/>
      <c r="C864" s="10"/>
      <c r="D864" s="10"/>
      <c r="E864" s="10"/>
      <c r="F864" s="16"/>
      <c r="G864" s="10"/>
      <c r="H864" s="10"/>
      <c r="I864" s="10"/>
      <c r="J864" s="10"/>
      <c r="K864" s="10"/>
      <c r="L864" s="10"/>
      <c r="M864" s="14"/>
      <c r="N864" s="17" t="str">
        <f aca="false">IF($B864="","",IF($L864="已完成",IF($M864="","",$M864-$B864),IF(设置!$B$6&lt;$B864,"",IF((设置!$B$6-$B864)&gt;=设置!$B$5,"超期"&amp;(设置!$B$6-$B864)&amp;"天","已等"&amp;(设置!$B$6-$B864)&amp;"天"))))</f>
        <v/>
      </c>
      <c r="O864" s="18" t="str">
        <f aca="false">IF(OR($D864="",$E864=""),"",COUNTIFS($D$7:$D864,$D864,$E$7:$E864,$E864))</f>
        <v/>
      </c>
      <c r="P864" s="16"/>
      <c r="Q864" s="19"/>
      <c r="R864" s="10"/>
      <c r="S864" s="16"/>
      <c r="T864" s="0" t="str">
        <f aca="false">IF(OR($D864="",单元查询!$B$3=""),"",IF($D864&lt;&gt;单元查询!$B$3,"",IF(OR(单元查询!$D$3="",$E864&amp;""=单元查询!$D$3&amp;""),IF(ISNUMBER($B864),$B864*10000,0)+ROW(),"")))</f>
        <v/>
      </c>
      <c r="U864" s="0" t="str">
        <f aca="false">IF(OR($B864="",$L864="已完成"),"",IF(ISNUMBER($B864),IF(设置!$B$6&lt;$B864,"",(设置!$B$6-$B864)*100000+ROW()),""))</f>
        <v/>
      </c>
      <c r="V864" s="0" t="str">
        <f aca="false">IF(ISNUMBER($O864),IF($O864&gt;=2,IF(COUNTIFS($D864:$D$2006,$D864,$E864:$E$2006,$E864)=1,ROW(),""),""),"")</f>
        <v/>
      </c>
    </row>
    <row r="865" customFormat="false" ht="15" hidden="false" customHeight="true" outlineLevel="0" collapsed="false">
      <c r="A865" s="13" t="str">
        <f aca="false">IF(AND($B865="",$D865="",$E865="",$F865=""),"",IF(OR($B865="",$D865="",$E865=""),"待补",IF($D865="公共区域","公",IF($D865="商铺","S",SUBSTITUTE($D865,"栋","")))&amp;"-"&amp;$E865&amp;"-"&amp;TEXT(MONTH($B865),"00")&amp;TEXT(DAY($B865),"00")&amp;IF(ISNUMBER($O865),IF($O865&gt;1,"-"&amp;TEXT($O865,"00"),""),"")))</f>
        <v/>
      </c>
      <c r="B865" s="14"/>
      <c r="C865" s="10"/>
      <c r="D865" s="10"/>
      <c r="E865" s="10"/>
      <c r="F865" s="16"/>
      <c r="G865" s="10"/>
      <c r="H865" s="10"/>
      <c r="I865" s="10"/>
      <c r="J865" s="10"/>
      <c r="K865" s="10"/>
      <c r="L865" s="10"/>
      <c r="M865" s="14"/>
      <c r="N865" s="17" t="str">
        <f aca="false">IF($B865="","",IF($L865="已完成",IF($M865="","",$M865-$B865),IF(设置!$B$6&lt;$B865,"",IF((设置!$B$6-$B865)&gt;=设置!$B$5,"超期"&amp;(设置!$B$6-$B865)&amp;"天","已等"&amp;(设置!$B$6-$B865)&amp;"天"))))</f>
        <v/>
      </c>
      <c r="O865" s="18" t="str">
        <f aca="false">IF(OR($D865="",$E865=""),"",COUNTIFS($D$7:$D865,$D865,$E$7:$E865,$E865))</f>
        <v/>
      </c>
      <c r="P865" s="16"/>
      <c r="Q865" s="19"/>
      <c r="R865" s="10"/>
      <c r="S865" s="16"/>
      <c r="T865" s="0" t="str">
        <f aca="false">IF(OR($D865="",单元查询!$B$3=""),"",IF($D865&lt;&gt;单元查询!$B$3,"",IF(OR(单元查询!$D$3="",$E865&amp;""=单元查询!$D$3&amp;""),IF(ISNUMBER($B865),$B865*10000,0)+ROW(),"")))</f>
        <v/>
      </c>
      <c r="U865" s="0" t="str">
        <f aca="false">IF(OR($B865="",$L865="已完成"),"",IF(ISNUMBER($B865),IF(设置!$B$6&lt;$B865,"",(设置!$B$6-$B865)*100000+ROW()),""))</f>
        <v/>
      </c>
      <c r="V865" s="0" t="str">
        <f aca="false">IF(ISNUMBER($O865),IF($O865&gt;=2,IF(COUNTIFS($D865:$D$2006,$D865,$E865:$E$2006,$E865)=1,ROW(),""),""),"")</f>
        <v/>
      </c>
    </row>
    <row r="866" customFormat="false" ht="15" hidden="false" customHeight="true" outlineLevel="0" collapsed="false">
      <c r="A866" s="13" t="str">
        <f aca="false">IF(AND($B866="",$D866="",$E866="",$F866=""),"",IF(OR($B866="",$D866="",$E866=""),"待补",IF($D866="公共区域","公",IF($D866="商铺","S",SUBSTITUTE($D866,"栋","")))&amp;"-"&amp;$E866&amp;"-"&amp;TEXT(MONTH($B866),"00")&amp;TEXT(DAY($B866),"00")&amp;IF(ISNUMBER($O866),IF($O866&gt;1,"-"&amp;TEXT($O866,"00"),""),"")))</f>
        <v/>
      </c>
      <c r="B866" s="14"/>
      <c r="C866" s="10"/>
      <c r="D866" s="10"/>
      <c r="E866" s="10"/>
      <c r="F866" s="16"/>
      <c r="G866" s="10"/>
      <c r="H866" s="10"/>
      <c r="I866" s="10"/>
      <c r="J866" s="10"/>
      <c r="K866" s="10"/>
      <c r="L866" s="10"/>
      <c r="M866" s="14"/>
      <c r="N866" s="17" t="str">
        <f aca="false">IF($B866="","",IF($L866="已完成",IF($M866="","",$M866-$B866),IF(设置!$B$6&lt;$B866,"",IF((设置!$B$6-$B866)&gt;=设置!$B$5,"超期"&amp;(设置!$B$6-$B866)&amp;"天","已等"&amp;(设置!$B$6-$B866)&amp;"天"))))</f>
        <v/>
      </c>
      <c r="O866" s="18" t="str">
        <f aca="false">IF(OR($D866="",$E866=""),"",COUNTIFS($D$7:$D866,$D866,$E$7:$E866,$E866))</f>
        <v/>
      </c>
      <c r="P866" s="16"/>
      <c r="Q866" s="19"/>
      <c r="R866" s="10"/>
      <c r="S866" s="16"/>
      <c r="T866" s="0" t="str">
        <f aca="false">IF(OR($D866="",单元查询!$B$3=""),"",IF($D866&lt;&gt;单元查询!$B$3,"",IF(OR(单元查询!$D$3="",$E866&amp;""=单元查询!$D$3&amp;""),IF(ISNUMBER($B866),$B866*10000,0)+ROW(),"")))</f>
        <v/>
      </c>
      <c r="U866" s="0" t="str">
        <f aca="false">IF(OR($B866="",$L866="已完成"),"",IF(ISNUMBER($B866),IF(设置!$B$6&lt;$B866,"",(设置!$B$6-$B866)*100000+ROW()),""))</f>
        <v/>
      </c>
      <c r="V866" s="0" t="str">
        <f aca="false">IF(ISNUMBER($O866),IF($O866&gt;=2,IF(COUNTIFS($D866:$D$2006,$D866,$E866:$E$2006,$E866)=1,ROW(),""),""),"")</f>
        <v/>
      </c>
    </row>
    <row r="867" customFormat="false" ht="15" hidden="false" customHeight="true" outlineLevel="0" collapsed="false">
      <c r="A867" s="13" t="str">
        <f aca="false">IF(AND($B867="",$D867="",$E867="",$F867=""),"",IF(OR($B867="",$D867="",$E867=""),"待补",IF($D867="公共区域","公",IF($D867="商铺","S",SUBSTITUTE($D867,"栋","")))&amp;"-"&amp;$E867&amp;"-"&amp;TEXT(MONTH($B867),"00")&amp;TEXT(DAY($B867),"00")&amp;IF(ISNUMBER($O867),IF($O867&gt;1,"-"&amp;TEXT($O867,"00"),""),"")))</f>
        <v/>
      </c>
      <c r="B867" s="14"/>
      <c r="C867" s="10"/>
      <c r="D867" s="10"/>
      <c r="E867" s="10"/>
      <c r="F867" s="16"/>
      <c r="G867" s="10"/>
      <c r="H867" s="10"/>
      <c r="I867" s="10"/>
      <c r="J867" s="10"/>
      <c r="K867" s="10"/>
      <c r="L867" s="10"/>
      <c r="M867" s="14"/>
      <c r="N867" s="17" t="str">
        <f aca="false">IF($B867="","",IF($L867="已完成",IF($M867="","",$M867-$B867),IF(设置!$B$6&lt;$B867,"",IF((设置!$B$6-$B867)&gt;=设置!$B$5,"超期"&amp;(设置!$B$6-$B867)&amp;"天","已等"&amp;(设置!$B$6-$B867)&amp;"天"))))</f>
        <v/>
      </c>
      <c r="O867" s="18" t="str">
        <f aca="false">IF(OR($D867="",$E867=""),"",COUNTIFS($D$7:$D867,$D867,$E$7:$E867,$E867))</f>
        <v/>
      </c>
      <c r="P867" s="16"/>
      <c r="Q867" s="19"/>
      <c r="R867" s="10"/>
      <c r="S867" s="16"/>
      <c r="T867" s="0" t="str">
        <f aca="false">IF(OR($D867="",单元查询!$B$3=""),"",IF($D867&lt;&gt;单元查询!$B$3,"",IF(OR(单元查询!$D$3="",$E867&amp;""=单元查询!$D$3&amp;""),IF(ISNUMBER($B867),$B867*10000,0)+ROW(),"")))</f>
        <v/>
      </c>
      <c r="U867" s="0" t="str">
        <f aca="false">IF(OR($B867="",$L867="已完成"),"",IF(ISNUMBER($B867),IF(设置!$B$6&lt;$B867,"",(设置!$B$6-$B867)*100000+ROW()),""))</f>
        <v/>
      </c>
      <c r="V867" s="0" t="str">
        <f aca="false">IF(ISNUMBER($O867),IF($O867&gt;=2,IF(COUNTIFS($D867:$D$2006,$D867,$E867:$E$2006,$E867)=1,ROW(),""),""),"")</f>
        <v/>
      </c>
    </row>
    <row r="868" customFormat="false" ht="15" hidden="false" customHeight="true" outlineLevel="0" collapsed="false">
      <c r="A868" s="13" t="str">
        <f aca="false">IF(AND($B868="",$D868="",$E868="",$F868=""),"",IF(OR($B868="",$D868="",$E868=""),"待补",IF($D868="公共区域","公",IF($D868="商铺","S",SUBSTITUTE($D868,"栋","")))&amp;"-"&amp;$E868&amp;"-"&amp;TEXT(MONTH($B868),"00")&amp;TEXT(DAY($B868),"00")&amp;IF(ISNUMBER($O868),IF($O868&gt;1,"-"&amp;TEXT($O868,"00"),""),"")))</f>
        <v/>
      </c>
      <c r="B868" s="14"/>
      <c r="C868" s="10"/>
      <c r="D868" s="10"/>
      <c r="E868" s="10"/>
      <c r="F868" s="16"/>
      <c r="G868" s="10"/>
      <c r="H868" s="10"/>
      <c r="I868" s="10"/>
      <c r="J868" s="10"/>
      <c r="K868" s="10"/>
      <c r="L868" s="10"/>
      <c r="M868" s="14"/>
      <c r="N868" s="17" t="str">
        <f aca="false">IF($B868="","",IF($L868="已完成",IF($M868="","",$M868-$B868),IF(设置!$B$6&lt;$B868,"",IF((设置!$B$6-$B868)&gt;=设置!$B$5,"超期"&amp;(设置!$B$6-$B868)&amp;"天","已等"&amp;(设置!$B$6-$B868)&amp;"天"))))</f>
        <v/>
      </c>
      <c r="O868" s="18" t="str">
        <f aca="false">IF(OR($D868="",$E868=""),"",COUNTIFS($D$7:$D868,$D868,$E$7:$E868,$E868))</f>
        <v/>
      </c>
      <c r="P868" s="16"/>
      <c r="Q868" s="19"/>
      <c r="R868" s="10"/>
      <c r="S868" s="16"/>
      <c r="T868" s="0" t="str">
        <f aca="false">IF(OR($D868="",单元查询!$B$3=""),"",IF($D868&lt;&gt;单元查询!$B$3,"",IF(OR(单元查询!$D$3="",$E868&amp;""=单元查询!$D$3&amp;""),IF(ISNUMBER($B868),$B868*10000,0)+ROW(),"")))</f>
        <v/>
      </c>
      <c r="U868" s="0" t="str">
        <f aca="false">IF(OR($B868="",$L868="已完成"),"",IF(ISNUMBER($B868),IF(设置!$B$6&lt;$B868,"",(设置!$B$6-$B868)*100000+ROW()),""))</f>
        <v/>
      </c>
      <c r="V868" s="0" t="str">
        <f aca="false">IF(ISNUMBER($O868),IF($O868&gt;=2,IF(COUNTIFS($D868:$D$2006,$D868,$E868:$E$2006,$E868)=1,ROW(),""),""),"")</f>
        <v/>
      </c>
    </row>
    <row r="869" customFormat="false" ht="15" hidden="false" customHeight="true" outlineLevel="0" collapsed="false">
      <c r="A869" s="13" t="str">
        <f aca="false">IF(AND($B869="",$D869="",$E869="",$F869=""),"",IF(OR($B869="",$D869="",$E869=""),"待补",IF($D869="公共区域","公",IF($D869="商铺","S",SUBSTITUTE($D869,"栋","")))&amp;"-"&amp;$E869&amp;"-"&amp;TEXT(MONTH($B869),"00")&amp;TEXT(DAY($B869),"00")&amp;IF(ISNUMBER($O869),IF($O869&gt;1,"-"&amp;TEXT($O869,"00"),""),"")))</f>
        <v/>
      </c>
      <c r="B869" s="14"/>
      <c r="C869" s="10"/>
      <c r="D869" s="10"/>
      <c r="E869" s="10"/>
      <c r="F869" s="16"/>
      <c r="G869" s="10"/>
      <c r="H869" s="10"/>
      <c r="I869" s="10"/>
      <c r="J869" s="10"/>
      <c r="K869" s="10"/>
      <c r="L869" s="10"/>
      <c r="M869" s="14"/>
      <c r="N869" s="17" t="str">
        <f aca="false">IF($B869="","",IF($L869="已完成",IF($M869="","",$M869-$B869),IF(设置!$B$6&lt;$B869,"",IF((设置!$B$6-$B869)&gt;=设置!$B$5,"超期"&amp;(设置!$B$6-$B869)&amp;"天","已等"&amp;(设置!$B$6-$B869)&amp;"天"))))</f>
        <v/>
      </c>
      <c r="O869" s="18" t="str">
        <f aca="false">IF(OR($D869="",$E869=""),"",COUNTIFS($D$7:$D869,$D869,$E$7:$E869,$E869))</f>
        <v/>
      </c>
      <c r="P869" s="16"/>
      <c r="Q869" s="19"/>
      <c r="R869" s="10"/>
      <c r="S869" s="16"/>
      <c r="T869" s="0" t="str">
        <f aca="false">IF(OR($D869="",单元查询!$B$3=""),"",IF($D869&lt;&gt;单元查询!$B$3,"",IF(OR(单元查询!$D$3="",$E869&amp;""=单元查询!$D$3&amp;""),IF(ISNUMBER($B869),$B869*10000,0)+ROW(),"")))</f>
        <v/>
      </c>
      <c r="U869" s="0" t="str">
        <f aca="false">IF(OR($B869="",$L869="已完成"),"",IF(ISNUMBER($B869),IF(设置!$B$6&lt;$B869,"",(设置!$B$6-$B869)*100000+ROW()),""))</f>
        <v/>
      </c>
      <c r="V869" s="0" t="str">
        <f aca="false">IF(ISNUMBER($O869),IF($O869&gt;=2,IF(COUNTIFS($D869:$D$2006,$D869,$E869:$E$2006,$E869)=1,ROW(),""),""),"")</f>
        <v/>
      </c>
    </row>
    <row r="870" customFormat="false" ht="15" hidden="false" customHeight="true" outlineLevel="0" collapsed="false">
      <c r="A870" s="13" t="str">
        <f aca="false">IF(AND($B870="",$D870="",$E870="",$F870=""),"",IF(OR($B870="",$D870="",$E870=""),"待补",IF($D870="公共区域","公",IF($D870="商铺","S",SUBSTITUTE($D870,"栋","")))&amp;"-"&amp;$E870&amp;"-"&amp;TEXT(MONTH($B870),"00")&amp;TEXT(DAY($B870),"00")&amp;IF(ISNUMBER($O870),IF($O870&gt;1,"-"&amp;TEXT($O870,"00"),""),"")))</f>
        <v/>
      </c>
      <c r="B870" s="14"/>
      <c r="C870" s="10"/>
      <c r="D870" s="10"/>
      <c r="E870" s="10"/>
      <c r="F870" s="16"/>
      <c r="G870" s="10"/>
      <c r="H870" s="10"/>
      <c r="I870" s="10"/>
      <c r="J870" s="10"/>
      <c r="K870" s="10"/>
      <c r="L870" s="10"/>
      <c r="M870" s="14"/>
      <c r="N870" s="17" t="str">
        <f aca="false">IF($B870="","",IF($L870="已完成",IF($M870="","",$M870-$B870),IF(设置!$B$6&lt;$B870,"",IF((设置!$B$6-$B870)&gt;=设置!$B$5,"超期"&amp;(设置!$B$6-$B870)&amp;"天","已等"&amp;(设置!$B$6-$B870)&amp;"天"))))</f>
        <v/>
      </c>
      <c r="O870" s="18" t="str">
        <f aca="false">IF(OR($D870="",$E870=""),"",COUNTIFS($D$7:$D870,$D870,$E$7:$E870,$E870))</f>
        <v/>
      </c>
      <c r="P870" s="16"/>
      <c r="Q870" s="19"/>
      <c r="R870" s="10"/>
      <c r="S870" s="16"/>
      <c r="T870" s="0" t="str">
        <f aca="false">IF(OR($D870="",单元查询!$B$3=""),"",IF($D870&lt;&gt;单元查询!$B$3,"",IF(OR(单元查询!$D$3="",$E870&amp;""=单元查询!$D$3&amp;""),IF(ISNUMBER($B870),$B870*10000,0)+ROW(),"")))</f>
        <v/>
      </c>
      <c r="U870" s="0" t="str">
        <f aca="false">IF(OR($B870="",$L870="已完成"),"",IF(ISNUMBER($B870),IF(设置!$B$6&lt;$B870,"",(设置!$B$6-$B870)*100000+ROW()),""))</f>
        <v/>
      </c>
      <c r="V870" s="0" t="str">
        <f aca="false">IF(ISNUMBER($O870),IF($O870&gt;=2,IF(COUNTIFS($D870:$D$2006,$D870,$E870:$E$2006,$E870)=1,ROW(),""),""),"")</f>
        <v/>
      </c>
    </row>
    <row r="871" customFormat="false" ht="15" hidden="false" customHeight="true" outlineLevel="0" collapsed="false">
      <c r="A871" s="13" t="str">
        <f aca="false">IF(AND($B871="",$D871="",$E871="",$F871=""),"",IF(OR($B871="",$D871="",$E871=""),"待补",IF($D871="公共区域","公",IF($D871="商铺","S",SUBSTITUTE($D871,"栋","")))&amp;"-"&amp;$E871&amp;"-"&amp;TEXT(MONTH($B871),"00")&amp;TEXT(DAY($B871),"00")&amp;IF(ISNUMBER($O871),IF($O871&gt;1,"-"&amp;TEXT($O871,"00"),""),"")))</f>
        <v/>
      </c>
      <c r="B871" s="14"/>
      <c r="C871" s="10"/>
      <c r="D871" s="10"/>
      <c r="E871" s="10"/>
      <c r="F871" s="16"/>
      <c r="G871" s="10"/>
      <c r="H871" s="10"/>
      <c r="I871" s="10"/>
      <c r="J871" s="10"/>
      <c r="K871" s="10"/>
      <c r="L871" s="10"/>
      <c r="M871" s="14"/>
      <c r="N871" s="17" t="str">
        <f aca="false">IF($B871="","",IF($L871="已完成",IF($M871="","",$M871-$B871),IF(设置!$B$6&lt;$B871,"",IF((设置!$B$6-$B871)&gt;=设置!$B$5,"超期"&amp;(设置!$B$6-$B871)&amp;"天","已等"&amp;(设置!$B$6-$B871)&amp;"天"))))</f>
        <v/>
      </c>
      <c r="O871" s="18" t="str">
        <f aca="false">IF(OR($D871="",$E871=""),"",COUNTIFS($D$7:$D871,$D871,$E$7:$E871,$E871))</f>
        <v/>
      </c>
      <c r="P871" s="16"/>
      <c r="Q871" s="19"/>
      <c r="R871" s="10"/>
      <c r="S871" s="16"/>
      <c r="T871" s="0" t="str">
        <f aca="false">IF(OR($D871="",单元查询!$B$3=""),"",IF($D871&lt;&gt;单元查询!$B$3,"",IF(OR(单元查询!$D$3="",$E871&amp;""=单元查询!$D$3&amp;""),IF(ISNUMBER($B871),$B871*10000,0)+ROW(),"")))</f>
        <v/>
      </c>
      <c r="U871" s="0" t="str">
        <f aca="false">IF(OR($B871="",$L871="已完成"),"",IF(ISNUMBER($B871),IF(设置!$B$6&lt;$B871,"",(设置!$B$6-$B871)*100000+ROW()),""))</f>
        <v/>
      </c>
      <c r="V871" s="0" t="str">
        <f aca="false">IF(ISNUMBER($O871),IF($O871&gt;=2,IF(COUNTIFS($D871:$D$2006,$D871,$E871:$E$2006,$E871)=1,ROW(),""),""),"")</f>
        <v/>
      </c>
    </row>
    <row r="872" customFormat="false" ht="15" hidden="false" customHeight="true" outlineLevel="0" collapsed="false">
      <c r="A872" s="13" t="str">
        <f aca="false">IF(AND($B872="",$D872="",$E872="",$F872=""),"",IF(OR($B872="",$D872="",$E872=""),"待补",IF($D872="公共区域","公",IF($D872="商铺","S",SUBSTITUTE($D872,"栋","")))&amp;"-"&amp;$E872&amp;"-"&amp;TEXT(MONTH($B872),"00")&amp;TEXT(DAY($B872),"00")&amp;IF(ISNUMBER($O872),IF($O872&gt;1,"-"&amp;TEXT($O872,"00"),""),"")))</f>
        <v/>
      </c>
      <c r="B872" s="14"/>
      <c r="C872" s="10"/>
      <c r="D872" s="10"/>
      <c r="E872" s="10"/>
      <c r="F872" s="16"/>
      <c r="G872" s="10"/>
      <c r="H872" s="10"/>
      <c r="I872" s="10"/>
      <c r="J872" s="10"/>
      <c r="K872" s="10"/>
      <c r="L872" s="10"/>
      <c r="M872" s="14"/>
      <c r="N872" s="17" t="str">
        <f aca="false">IF($B872="","",IF($L872="已完成",IF($M872="","",$M872-$B872),IF(设置!$B$6&lt;$B872,"",IF((设置!$B$6-$B872)&gt;=设置!$B$5,"超期"&amp;(设置!$B$6-$B872)&amp;"天","已等"&amp;(设置!$B$6-$B872)&amp;"天"))))</f>
        <v/>
      </c>
      <c r="O872" s="18" t="str">
        <f aca="false">IF(OR($D872="",$E872=""),"",COUNTIFS($D$7:$D872,$D872,$E$7:$E872,$E872))</f>
        <v/>
      </c>
      <c r="P872" s="16"/>
      <c r="Q872" s="19"/>
      <c r="R872" s="10"/>
      <c r="S872" s="16"/>
      <c r="T872" s="0" t="str">
        <f aca="false">IF(OR($D872="",单元查询!$B$3=""),"",IF($D872&lt;&gt;单元查询!$B$3,"",IF(OR(单元查询!$D$3="",$E872&amp;""=单元查询!$D$3&amp;""),IF(ISNUMBER($B872),$B872*10000,0)+ROW(),"")))</f>
        <v/>
      </c>
      <c r="U872" s="0" t="str">
        <f aca="false">IF(OR($B872="",$L872="已完成"),"",IF(ISNUMBER($B872),IF(设置!$B$6&lt;$B872,"",(设置!$B$6-$B872)*100000+ROW()),""))</f>
        <v/>
      </c>
      <c r="V872" s="0" t="str">
        <f aca="false">IF(ISNUMBER($O872),IF($O872&gt;=2,IF(COUNTIFS($D872:$D$2006,$D872,$E872:$E$2006,$E872)=1,ROW(),""),""),"")</f>
        <v/>
      </c>
    </row>
    <row r="873" customFormat="false" ht="15" hidden="false" customHeight="true" outlineLevel="0" collapsed="false">
      <c r="A873" s="13" t="str">
        <f aca="false">IF(AND($B873="",$D873="",$E873="",$F873=""),"",IF(OR($B873="",$D873="",$E873=""),"待补",IF($D873="公共区域","公",IF($D873="商铺","S",SUBSTITUTE($D873,"栋","")))&amp;"-"&amp;$E873&amp;"-"&amp;TEXT(MONTH($B873),"00")&amp;TEXT(DAY($B873),"00")&amp;IF(ISNUMBER($O873),IF($O873&gt;1,"-"&amp;TEXT($O873,"00"),""),"")))</f>
        <v/>
      </c>
      <c r="B873" s="14"/>
      <c r="C873" s="10"/>
      <c r="D873" s="10"/>
      <c r="E873" s="10"/>
      <c r="F873" s="16"/>
      <c r="G873" s="10"/>
      <c r="H873" s="10"/>
      <c r="I873" s="10"/>
      <c r="J873" s="10"/>
      <c r="K873" s="10"/>
      <c r="L873" s="10"/>
      <c r="M873" s="14"/>
      <c r="N873" s="17" t="str">
        <f aca="false">IF($B873="","",IF($L873="已完成",IF($M873="","",$M873-$B873),IF(设置!$B$6&lt;$B873,"",IF((设置!$B$6-$B873)&gt;=设置!$B$5,"超期"&amp;(设置!$B$6-$B873)&amp;"天","已等"&amp;(设置!$B$6-$B873)&amp;"天"))))</f>
        <v/>
      </c>
      <c r="O873" s="18" t="str">
        <f aca="false">IF(OR($D873="",$E873=""),"",COUNTIFS($D$7:$D873,$D873,$E$7:$E873,$E873))</f>
        <v/>
      </c>
      <c r="P873" s="16"/>
      <c r="Q873" s="19"/>
      <c r="R873" s="10"/>
      <c r="S873" s="16"/>
      <c r="T873" s="0" t="str">
        <f aca="false">IF(OR($D873="",单元查询!$B$3=""),"",IF($D873&lt;&gt;单元查询!$B$3,"",IF(OR(单元查询!$D$3="",$E873&amp;""=单元查询!$D$3&amp;""),IF(ISNUMBER($B873),$B873*10000,0)+ROW(),"")))</f>
        <v/>
      </c>
      <c r="U873" s="0" t="str">
        <f aca="false">IF(OR($B873="",$L873="已完成"),"",IF(ISNUMBER($B873),IF(设置!$B$6&lt;$B873,"",(设置!$B$6-$B873)*100000+ROW()),""))</f>
        <v/>
      </c>
      <c r="V873" s="0" t="str">
        <f aca="false">IF(ISNUMBER($O873),IF($O873&gt;=2,IF(COUNTIFS($D873:$D$2006,$D873,$E873:$E$2006,$E873)=1,ROW(),""),""),"")</f>
        <v/>
      </c>
    </row>
    <row r="874" customFormat="false" ht="15" hidden="false" customHeight="true" outlineLevel="0" collapsed="false">
      <c r="A874" s="13" t="str">
        <f aca="false">IF(AND($B874="",$D874="",$E874="",$F874=""),"",IF(OR($B874="",$D874="",$E874=""),"待补",IF($D874="公共区域","公",IF($D874="商铺","S",SUBSTITUTE($D874,"栋","")))&amp;"-"&amp;$E874&amp;"-"&amp;TEXT(MONTH($B874),"00")&amp;TEXT(DAY($B874),"00")&amp;IF(ISNUMBER($O874),IF($O874&gt;1,"-"&amp;TEXT($O874,"00"),""),"")))</f>
        <v/>
      </c>
      <c r="B874" s="14"/>
      <c r="C874" s="10"/>
      <c r="D874" s="10"/>
      <c r="E874" s="10"/>
      <c r="F874" s="16"/>
      <c r="G874" s="10"/>
      <c r="H874" s="10"/>
      <c r="I874" s="10"/>
      <c r="J874" s="10"/>
      <c r="K874" s="10"/>
      <c r="L874" s="10"/>
      <c r="M874" s="14"/>
      <c r="N874" s="17" t="str">
        <f aca="false">IF($B874="","",IF($L874="已完成",IF($M874="","",$M874-$B874),IF(设置!$B$6&lt;$B874,"",IF((设置!$B$6-$B874)&gt;=设置!$B$5,"超期"&amp;(设置!$B$6-$B874)&amp;"天","已等"&amp;(设置!$B$6-$B874)&amp;"天"))))</f>
        <v/>
      </c>
      <c r="O874" s="18" t="str">
        <f aca="false">IF(OR($D874="",$E874=""),"",COUNTIFS($D$7:$D874,$D874,$E$7:$E874,$E874))</f>
        <v/>
      </c>
      <c r="P874" s="16"/>
      <c r="Q874" s="19"/>
      <c r="R874" s="10"/>
      <c r="S874" s="16"/>
      <c r="T874" s="0" t="str">
        <f aca="false">IF(OR($D874="",单元查询!$B$3=""),"",IF($D874&lt;&gt;单元查询!$B$3,"",IF(OR(单元查询!$D$3="",$E874&amp;""=单元查询!$D$3&amp;""),IF(ISNUMBER($B874),$B874*10000,0)+ROW(),"")))</f>
        <v/>
      </c>
      <c r="U874" s="0" t="str">
        <f aca="false">IF(OR($B874="",$L874="已完成"),"",IF(ISNUMBER($B874),IF(设置!$B$6&lt;$B874,"",(设置!$B$6-$B874)*100000+ROW()),""))</f>
        <v/>
      </c>
      <c r="V874" s="0" t="str">
        <f aca="false">IF(ISNUMBER($O874),IF($O874&gt;=2,IF(COUNTIFS($D874:$D$2006,$D874,$E874:$E$2006,$E874)=1,ROW(),""),""),"")</f>
        <v/>
      </c>
    </row>
    <row r="875" customFormat="false" ht="15" hidden="false" customHeight="true" outlineLevel="0" collapsed="false">
      <c r="A875" s="13" t="str">
        <f aca="false">IF(AND($B875="",$D875="",$E875="",$F875=""),"",IF(OR($B875="",$D875="",$E875=""),"待补",IF($D875="公共区域","公",IF($D875="商铺","S",SUBSTITUTE($D875,"栋","")))&amp;"-"&amp;$E875&amp;"-"&amp;TEXT(MONTH($B875),"00")&amp;TEXT(DAY($B875),"00")&amp;IF(ISNUMBER($O875),IF($O875&gt;1,"-"&amp;TEXT($O875,"00"),""),"")))</f>
        <v/>
      </c>
      <c r="B875" s="14"/>
      <c r="C875" s="10"/>
      <c r="D875" s="10"/>
      <c r="E875" s="10"/>
      <c r="F875" s="16"/>
      <c r="G875" s="10"/>
      <c r="H875" s="10"/>
      <c r="I875" s="10"/>
      <c r="J875" s="10"/>
      <c r="K875" s="10"/>
      <c r="L875" s="10"/>
      <c r="M875" s="14"/>
      <c r="N875" s="17" t="str">
        <f aca="false">IF($B875="","",IF($L875="已完成",IF($M875="","",$M875-$B875),IF(设置!$B$6&lt;$B875,"",IF((设置!$B$6-$B875)&gt;=设置!$B$5,"超期"&amp;(设置!$B$6-$B875)&amp;"天","已等"&amp;(设置!$B$6-$B875)&amp;"天"))))</f>
        <v/>
      </c>
      <c r="O875" s="18" t="str">
        <f aca="false">IF(OR($D875="",$E875=""),"",COUNTIFS($D$7:$D875,$D875,$E$7:$E875,$E875))</f>
        <v/>
      </c>
      <c r="P875" s="16"/>
      <c r="Q875" s="19"/>
      <c r="R875" s="10"/>
      <c r="S875" s="16"/>
      <c r="T875" s="0" t="str">
        <f aca="false">IF(OR($D875="",单元查询!$B$3=""),"",IF($D875&lt;&gt;单元查询!$B$3,"",IF(OR(单元查询!$D$3="",$E875&amp;""=单元查询!$D$3&amp;""),IF(ISNUMBER($B875),$B875*10000,0)+ROW(),"")))</f>
        <v/>
      </c>
      <c r="U875" s="0" t="str">
        <f aca="false">IF(OR($B875="",$L875="已完成"),"",IF(ISNUMBER($B875),IF(设置!$B$6&lt;$B875,"",(设置!$B$6-$B875)*100000+ROW()),""))</f>
        <v/>
      </c>
      <c r="V875" s="0" t="str">
        <f aca="false">IF(ISNUMBER($O875),IF($O875&gt;=2,IF(COUNTIFS($D875:$D$2006,$D875,$E875:$E$2006,$E875)=1,ROW(),""),""),"")</f>
        <v/>
      </c>
    </row>
    <row r="876" customFormat="false" ht="15" hidden="false" customHeight="true" outlineLevel="0" collapsed="false">
      <c r="A876" s="13" t="str">
        <f aca="false">IF(AND($B876="",$D876="",$E876="",$F876=""),"",IF(OR($B876="",$D876="",$E876=""),"待补",IF($D876="公共区域","公",IF($D876="商铺","S",SUBSTITUTE($D876,"栋","")))&amp;"-"&amp;$E876&amp;"-"&amp;TEXT(MONTH($B876),"00")&amp;TEXT(DAY($B876),"00")&amp;IF(ISNUMBER($O876),IF($O876&gt;1,"-"&amp;TEXT($O876,"00"),""),"")))</f>
        <v/>
      </c>
      <c r="B876" s="14"/>
      <c r="C876" s="10"/>
      <c r="D876" s="10"/>
      <c r="E876" s="10"/>
      <c r="F876" s="16"/>
      <c r="G876" s="10"/>
      <c r="H876" s="10"/>
      <c r="I876" s="10"/>
      <c r="J876" s="10"/>
      <c r="K876" s="10"/>
      <c r="L876" s="10"/>
      <c r="M876" s="14"/>
      <c r="N876" s="17" t="str">
        <f aca="false">IF($B876="","",IF($L876="已完成",IF($M876="","",$M876-$B876),IF(设置!$B$6&lt;$B876,"",IF((设置!$B$6-$B876)&gt;=设置!$B$5,"超期"&amp;(设置!$B$6-$B876)&amp;"天","已等"&amp;(设置!$B$6-$B876)&amp;"天"))))</f>
        <v/>
      </c>
      <c r="O876" s="18" t="str">
        <f aca="false">IF(OR($D876="",$E876=""),"",COUNTIFS($D$7:$D876,$D876,$E$7:$E876,$E876))</f>
        <v/>
      </c>
      <c r="P876" s="16"/>
      <c r="Q876" s="19"/>
      <c r="R876" s="10"/>
      <c r="S876" s="16"/>
      <c r="T876" s="0" t="str">
        <f aca="false">IF(OR($D876="",单元查询!$B$3=""),"",IF($D876&lt;&gt;单元查询!$B$3,"",IF(OR(单元查询!$D$3="",$E876&amp;""=单元查询!$D$3&amp;""),IF(ISNUMBER($B876),$B876*10000,0)+ROW(),"")))</f>
        <v/>
      </c>
      <c r="U876" s="0" t="str">
        <f aca="false">IF(OR($B876="",$L876="已完成"),"",IF(ISNUMBER($B876),IF(设置!$B$6&lt;$B876,"",(设置!$B$6-$B876)*100000+ROW()),""))</f>
        <v/>
      </c>
      <c r="V876" s="0" t="str">
        <f aca="false">IF(ISNUMBER($O876),IF($O876&gt;=2,IF(COUNTIFS($D876:$D$2006,$D876,$E876:$E$2006,$E876)=1,ROW(),""),""),"")</f>
        <v/>
      </c>
    </row>
    <row r="877" customFormat="false" ht="15" hidden="false" customHeight="true" outlineLevel="0" collapsed="false">
      <c r="A877" s="13" t="str">
        <f aca="false">IF(AND($B877="",$D877="",$E877="",$F877=""),"",IF(OR($B877="",$D877="",$E877=""),"待补",IF($D877="公共区域","公",IF($D877="商铺","S",SUBSTITUTE($D877,"栋","")))&amp;"-"&amp;$E877&amp;"-"&amp;TEXT(MONTH($B877),"00")&amp;TEXT(DAY($B877),"00")&amp;IF(ISNUMBER($O877),IF($O877&gt;1,"-"&amp;TEXT($O877,"00"),""),"")))</f>
        <v/>
      </c>
      <c r="B877" s="14"/>
      <c r="C877" s="10"/>
      <c r="D877" s="10"/>
      <c r="E877" s="10"/>
      <c r="F877" s="16"/>
      <c r="G877" s="10"/>
      <c r="H877" s="10"/>
      <c r="I877" s="10"/>
      <c r="J877" s="10"/>
      <c r="K877" s="10"/>
      <c r="L877" s="10"/>
      <c r="M877" s="14"/>
      <c r="N877" s="17" t="str">
        <f aca="false">IF($B877="","",IF($L877="已完成",IF($M877="","",$M877-$B877),IF(设置!$B$6&lt;$B877,"",IF((设置!$B$6-$B877)&gt;=设置!$B$5,"超期"&amp;(设置!$B$6-$B877)&amp;"天","已等"&amp;(设置!$B$6-$B877)&amp;"天"))))</f>
        <v/>
      </c>
      <c r="O877" s="18" t="str">
        <f aca="false">IF(OR($D877="",$E877=""),"",COUNTIFS($D$7:$D877,$D877,$E$7:$E877,$E877))</f>
        <v/>
      </c>
      <c r="P877" s="16"/>
      <c r="Q877" s="19"/>
      <c r="R877" s="10"/>
      <c r="S877" s="16"/>
      <c r="T877" s="0" t="str">
        <f aca="false">IF(OR($D877="",单元查询!$B$3=""),"",IF($D877&lt;&gt;单元查询!$B$3,"",IF(OR(单元查询!$D$3="",$E877&amp;""=单元查询!$D$3&amp;""),IF(ISNUMBER($B877),$B877*10000,0)+ROW(),"")))</f>
        <v/>
      </c>
      <c r="U877" s="0" t="str">
        <f aca="false">IF(OR($B877="",$L877="已完成"),"",IF(ISNUMBER($B877),IF(设置!$B$6&lt;$B877,"",(设置!$B$6-$B877)*100000+ROW()),""))</f>
        <v/>
      </c>
      <c r="V877" s="0" t="str">
        <f aca="false">IF(ISNUMBER($O877),IF($O877&gt;=2,IF(COUNTIFS($D877:$D$2006,$D877,$E877:$E$2006,$E877)=1,ROW(),""),""),"")</f>
        <v/>
      </c>
    </row>
    <row r="878" customFormat="false" ht="15" hidden="false" customHeight="true" outlineLevel="0" collapsed="false">
      <c r="A878" s="13" t="str">
        <f aca="false">IF(AND($B878="",$D878="",$E878="",$F878=""),"",IF(OR($B878="",$D878="",$E878=""),"待补",IF($D878="公共区域","公",IF($D878="商铺","S",SUBSTITUTE($D878,"栋","")))&amp;"-"&amp;$E878&amp;"-"&amp;TEXT(MONTH($B878),"00")&amp;TEXT(DAY($B878),"00")&amp;IF(ISNUMBER($O878),IF($O878&gt;1,"-"&amp;TEXT($O878,"00"),""),"")))</f>
        <v/>
      </c>
      <c r="B878" s="14"/>
      <c r="C878" s="10"/>
      <c r="D878" s="10"/>
      <c r="E878" s="10"/>
      <c r="F878" s="16"/>
      <c r="G878" s="10"/>
      <c r="H878" s="10"/>
      <c r="I878" s="10"/>
      <c r="J878" s="10"/>
      <c r="K878" s="10"/>
      <c r="L878" s="10"/>
      <c r="M878" s="14"/>
      <c r="N878" s="17" t="str">
        <f aca="false">IF($B878="","",IF($L878="已完成",IF($M878="","",$M878-$B878),IF(设置!$B$6&lt;$B878,"",IF((设置!$B$6-$B878)&gt;=设置!$B$5,"超期"&amp;(设置!$B$6-$B878)&amp;"天","已等"&amp;(设置!$B$6-$B878)&amp;"天"))))</f>
        <v/>
      </c>
      <c r="O878" s="18" t="str">
        <f aca="false">IF(OR($D878="",$E878=""),"",COUNTIFS($D$7:$D878,$D878,$E$7:$E878,$E878))</f>
        <v/>
      </c>
      <c r="P878" s="16"/>
      <c r="Q878" s="19"/>
      <c r="R878" s="10"/>
      <c r="S878" s="16"/>
      <c r="T878" s="0" t="str">
        <f aca="false">IF(OR($D878="",单元查询!$B$3=""),"",IF($D878&lt;&gt;单元查询!$B$3,"",IF(OR(单元查询!$D$3="",$E878&amp;""=单元查询!$D$3&amp;""),IF(ISNUMBER($B878),$B878*10000,0)+ROW(),"")))</f>
        <v/>
      </c>
      <c r="U878" s="0" t="str">
        <f aca="false">IF(OR($B878="",$L878="已完成"),"",IF(ISNUMBER($B878),IF(设置!$B$6&lt;$B878,"",(设置!$B$6-$B878)*100000+ROW()),""))</f>
        <v/>
      </c>
      <c r="V878" s="0" t="str">
        <f aca="false">IF(ISNUMBER($O878),IF($O878&gt;=2,IF(COUNTIFS($D878:$D$2006,$D878,$E878:$E$2006,$E878)=1,ROW(),""),""),"")</f>
        <v/>
      </c>
    </row>
    <row r="879" customFormat="false" ht="15" hidden="false" customHeight="true" outlineLevel="0" collapsed="false">
      <c r="A879" s="13" t="str">
        <f aca="false">IF(AND($B879="",$D879="",$E879="",$F879=""),"",IF(OR($B879="",$D879="",$E879=""),"待补",IF($D879="公共区域","公",IF($D879="商铺","S",SUBSTITUTE($D879,"栋","")))&amp;"-"&amp;$E879&amp;"-"&amp;TEXT(MONTH($B879),"00")&amp;TEXT(DAY($B879),"00")&amp;IF(ISNUMBER($O879),IF($O879&gt;1,"-"&amp;TEXT($O879,"00"),""),"")))</f>
        <v/>
      </c>
      <c r="B879" s="14"/>
      <c r="C879" s="10"/>
      <c r="D879" s="10"/>
      <c r="E879" s="10"/>
      <c r="F879" s="16"/>
      <c r="G879" s="10"/>
      <c r="H879" s="10"/>
      <c r="I879" s="10"/>
      <c r="J879" s="10"/>
      <c r="K879" s="10"/>
      <c r="L879" s="10"/>
      <c r="M879" s="14"/>
      <c r="N879" s="17" t="str">
        <f aca="false">IF($B879="","",IF($L879="已完成",IF($M879="","",$M879-$B879),IF(设置!$B$6&lt;$B879,"",IF((设置!$B$6-$B879)&gt;=设置!$B$5,"超期"&amp;(设置!$B$6-$B879)&amp;"天","已等"&amp;(设置!$B$6-$B879)&amp;"天"))))</f>
        <v/>
      </c>
      <c r="O879" s="18" t="str">
        <f aca="false">IF(OR($D879="",$E879=""),"",COUNTIFS($D$7:$D879,$D879,$E$7:$E879,$E879))</f>
        <v/>
      </c>
      <c r="P879" s="16"/>
      <c r="Q879" s="19"/>
      <c r="R879" s="10"/>
      <c r="S879" s="16"/>
      <c r="T879" s="0" t="str">
        <f aca="false">IF(OR($D879="",单元查询!$B$3=""),"",IF($D879&lt;&gt;单元查询!$B$3,"",IF(OR(单元查询!$D$3="",$E879&amp;""=单元查询!$D$3&amp;""),IF(ISNUMBER($B879),$B879*10000,0)+ROW(),"")))</f>
        <v/>
      </c>
      <c r="U879" s="0" t="str">
        <f aca="false">IF(OR($B879="",$L879="已完成"),"",IF(ISNUMBER($B879),IF(设置!$B$6&lt;$B879,"",(设置!$B$6-$B879)*100000+ROW()),""))</f>
        <v/>
      </c>
      <c r="V879" s="0" t="str">
        <f aca="false">IF(ISNUMBER($O879),IF($O879&gt;=2,IF(COUNTIFS($D879:$D$2006,$D879,$E879:$E$2006,$E879)=1,ROW(),""),""),"")</f>
        <v/>
      </c>
    </row>
    <row r="880" customFormat="false" ht="15" hidden="false" customHeight="true" outlineLevel="0" collapsed="false">
      <c r="A880" s="13" t="str">
        <f aca="false">IF(AND($B880="",$D880="",$E880="",$F880=""),"",IF(OR($B880="",$D880="",$E880=""),"待补",IF($D880="公共区域","公",IF($D880="商铺","S",SUBSTITUTE($D880,"栋","")))&amp;"-"&amp;$E880&amp;"-"&amp;TEXT(MONTH($B880),"00")&amp;TEXT(DAY($B880),"00")&amp;IF(ISNUMBER($O880),IF($O880&gt;1,"-"&amp;TEXT($O880,"00"),""),"")))</f>
        <v/>
      </c>
      <c r="B880" s="14"/>
      <c r="C880" s="10"/>
      <c r="D880" s="10"/>
      <c r="E880" s="10"/>
      <c r="F880" s="16"/>
      <c r="G880" s="10"/>
      <c r="H880" s="10"/>
      <c r="I880" s="10"/>
      <c r="J880" s="10"/>
      <c r="K880" s="10"/>
      <c r="L880" s="10"/>
      <c r="M880" s="14"/>
      <c r="N880" s="17" t="str">
        <f aca="false">IF($B880="","",IF($L880="已完成",IF($M880="","",$M880-$B880),IF(设置!$B$6&lt;$B880,"",IF((设置!$B$6-$B880)&gt;=设置!$B$5,"超期"&amp;(设置!$B$6-$B880)&amp;"天","已等"&amp;(设置!$B$6-$B880)&amp;"天"))))</f>
        <v/>
      </c>
      <c r="O880" s="18" t="str">
        <f aca="false">IF(OR($D880="",$E880=""),"",COUNTIFS($D$7:$D880,$D880,$E$7:$E880,$E880))</f>
        <v/>
      </c>
      <c r="P880" s="16"/>
      <c r="Q880" s="19"/>
      <c r="R880" s="10"/>
      <c r="S880" s="16"/>
      <c r="T880" s="0" t="str">
        <f aca="false">IF(OR($D880="",单元查询!$B$3=""),"",IF($D880&lt;&gt;单元查询!$B$3,"",IF(OR(单元查询!$D$3="",$E880&amp;""=单元查询!$D$3&amp;""),IF(ISNUMBER($B880),$B880*10000,0)+ROW(),"")))</f>
        <v/>
      </c>
      <c r="U880" s="0" t="str">
        <f aca="false">IF(OR($B880="",$L880="已完成"),"",IF(ISNUMBER($B880),IF(设置!$B$6&lt;$B880,"",(设置!$B$6-$B880)*100000+ROW()),""))</f>
        <v/>
      </c>
      <c r="V880" s="0" t="str">
        <f aca="false">IF(ISNUMBER($O880),IF($O880&gt;=2,IF(COUNTIFS($D880:$D$2006,$D880,$E880:$E$2006,$E880)=1,ROW(),""),""),"")</f>
        <v/>
      </c>
    </row>
    <row r="881" customFormat="false" ht="15" hidden="false" customHeight="true" outlineLevel="0" collapsed="false">
      <c r="A881" s="13" t="str">
        <f aca="false">IF(AND($B881="",$D881="",$E881="",$F881=""),"",IF(OR($B881="",$D881="",$E881=""),"待补",IF($D881="公共区域","公",IF($D881="商铺","S",SUBSTITUTE($D881,"栋","")))&amp;"-"&amp;$E881&amp;"-"&amp;TEXT(MONTH($B881),"00")&amp;TEXT(DAY($B881),"00")&amp;IF(ISNUMBER($O881),IF($O881&gt;1,"-"&amp;TEXT($O881,"00"),""),"")))</f>
        <v/>
      </c>
      <c r="B881" s="14"/>
      <c r="C881" s="10"/>
      <c r="D881" s="10"/>
      <c r="E881" s="10"/>
      <c r="F881" s="16"/>
      <c r="G881" s="10"/>
      <c r="H881" s="10"/>
      <c r="I881" s="10"/>
      <c r="J881" s="10"/>
      <c r="K881" s="10"/>
      <c r="L881" s="10"/>
      <c r="M881" s="14"/>
      <c r="N881" s="17" t="str">
        <f aca="false">IF($B881="","",IF($L881="已完成",IF($M881="","",$M881-$B881),IF(设置!$B$6&lt;$B881,"",IF((设置!$B$6-$B881)&gt;=设置!$B$5,"超期"&amp;(设置!$B$6-$B881)&amp;"天","已等"&amp;(设置!$B$6-$B881)&amp;"天"))))</f>
        <v/>
      </c>
      <c r="O881" s="18" t="str">
        <f aca="false">IF(OR($D881="",$E881=""),"",COUNTIFS($D$7:$D881,$D881,$E$7:$E881,$E881))</f>
        <v/>
      </c>
      <c r="P881" s="16"/>
      <c r="Q881" s="19"/>
      <c r="R881" s="10"/>
      <c r="S881" s="16"/>
      <c r="T881" s="0" t="str">
        <f aca="false">IF(OR($D881="",单元查询!$B$3=""),"",IF($D881&lt;&gt;单元查询!$B$3,"",IF(OR(单元查询!$D$3="",$E881&amp;""=单元查询!$D$3&amp;""),IF(ISNUMBER($B881),$B881*10000,0)+ROW(),"")))</f>
        <v/>
      </c>
      <c r="U881" s="0" t="str">
        <f aca="false">IF(OR($B881="",$L881="已完成"),"",IF(ISNUMBER($B881),IF(设置!$B$6&lt;$B881,"",(设置!$B$6-$B881)*100000+ROW()),""))</f>
        <v/>
      </c>
      <c r="V881" s="0" t="str">
        <f aca="false">IF(ISNUMBER($O881),IF($O881&gt;=2,IF(COUNTIFS($D881:$D$2006,$D881,$E881:$E$2006,$E881)=1,ROW(),""),""),"")</f>
        <v/>
      </c>
    </row>
    <row r="882" customFormat="false" ht="15" hidden="false" customHeight="true" outlineLevel="0" collapsed="false">
      <c r="A882" s="13" t="str">
        <f aca="false">IF(AND($B882="",$D882="",$E882="",$F882=""),"",IF(OR($B882="",$D882="",$E882=""),"待补",IF($D882="公共区域","公",IF($D882="商铺","S",SUBSTITUTE($D882,"栋","")))&amp;"-"&amp;$E882&amp;"-"&amp;TEXT(MONTH($B882),"00")&amp;TEXT(DAY($B882),"00")&amp;IF(ISNUMBER($O882),IF($O882&gt;1,"-"&amp;TEXT($O882,"00"),""),"")))</f>
        <v/>
      </c>
      <c r="B882" s="14"/>
      <c r="C882" s="10"/>
      <c r="D882" s="10"/>
      <c r="E882" s="10"/>
      <c r="F882" s="16"/>
      <c r="G882" s="10"/>
      <c r="H882" s="10"/>
      <c r="I882" s="10"/>
      <c r="J882" s="10"/>
      <c r="K882" s="10"/>
      <c r="L882" s="10"/>
      <c r="M882" s="14"/>
      <c r="N882" s="17" t="str">
        <f aca="false">IF($B882="","",IF($L882="已完成",IF($M882="","",$M882-$B882),IF(设置!$B$6&lt;$B882,"",IF((设置!$B$6-$B882)&gt;=设置!$B$5,"超期"&amp;(设置!$B$6-$B882)&amp;"天","已等"&amp;(设置!$B$6-$B882)&amp;"天"))))</f>
        <v/>
      </c>
      <c r="O882" s="18" t="str">
        <f aca="false">IF(OR($D882="",$E882=""),"",COUNTIFS($D$7:$D882,$D882,$E$7:$E882,$E882))</f>
        <v/>
      </c>
      <c r="P882" s="16"/>
      <c r="Q882" s="19"/>
      <c r="R882" s="10"/>
      <c r="S882" s="16"/>
      <c r="T882" s="0" t="str">
        <f aca="false">IF(OR($D882="",单元查询!$B$3=""),"",IF($D882&lt;&gt;单元查询!$B$3,"",IF(OR(单元查询!$D$3="",$E882&amp;""=单元查询!$D$3&amp;""),IF(ISNUMBER($B882),$B882*10000,0)+ROW(),"")))</f>
        <v/>
      </c>
      <c r="U882" s="0" t="str">
        <f aca="false">IF(OR($B882="",$L882="已完成"),"",IF(ISNUMBER($B882),IF(设置!$B$6&lt;$B882,"",(设置!$B$6-$B882)*100000+ROW()),""))</f>
        <v/>
      </c>
      <c r="V882" s="0" t="str">
        <f aca="false">IF(ISNUMBER($O882),IF($O882&gt;=2,IF(COUNTIFS($D882:$D$2006,$D882,$E882:$E$2006,$E882)=1,ROW(),""),""),"")</f>
        <v/>
      </c>
    </row>
    <row r="883" customFormat="false" ht="15" hidden="false" customHeight="true" outlineLevel="0" collapsed="false">
      <c r="A883" s="13" t="str">
        <f aca="false">IF(AND($B883="",$D883="",$E883="",$F883=""),"",IF(OR($B883="",$D883="",$E883=""),"待补",IF($D883="公共区域","公",IF($D883="商铺","S",SUBSTITUTE($D883,"栋","")))&amp;"-"&amp;$E883&amp;"-"&amp;TEXT(MONTH($B883),"00")&amp;TEXT(DAY($B883),"00")&amp;IF(ISNUMBER($O883),IF($O883&gt;1,"-"&amp;TEXT($O883,"00"),""),"")))</f>
        <v/>
      </c>
      <c r="B883" s="14"/>
      <c r="C883" s="10"/>
      <c r="D883" s="10"/>
      <c r="E883" s="10"/>
      <c r="F883" s="16"/>
      <c r="G883" s="10"/>
      <c r="H883" s="10"/>
      <c r="I883" s="10"/>
      <c r="J883" s="10"/>
      <c r="K883" s="10"/>
      <c r="L883" s="10"/>
      <c r="M883" s="14"/>
      <c r="N883" s="17" t="str">
        <f aca="false">IF($B883="","",IF($L883="已完成",IF($M883="","",$M883-$B883),IF(设置!$B$6&lt;$B883,"",IF((设置!$B$6-$B883)&gt;=设置!$B$5,"超期"&amp;(设置!$B$6-$B883)&amp;"天","已等"&amp;(设置!$B$6-$B883)&amp;"天"))))</f>
        <v/>
      </c>
      <c r="O883" s="18" t="str">
        <f aca="false">IF(OR($D883="",$E883=""),"",COUNTIFS($D$7:$D883,$D883,$E$7:$E883,$E883))</f>
        <v/>
      </c>
      <c r="P883" s="16"/>
      <c r="Q883" s="19"/>
      <c r="R883" s="10"/>
      <c r="S883" s="16"/>
      <c r="T883" s="0" t="str">
        <f aca="false">IF(OR($D883="",单元查询!$B$3=""),"",IF($D883&lt;&gt;单元查询!$B$3,"",IF(OR(单元查询!$D$3="",$E883&amp;""=单元查询!$D$3&amp;""),IF(ISNUMBER($B883),$B883*10000,0)+ROW(),"")))</f>
        <v/>
      </c>
      <c r="U883" s="0" t="str">
        <f aca="false">IF(OR($B883="",$L883="已完成"),"",IF(ISNUMBER($B883),IF(设置!$B$6&lt;$B883,"",(设置!$B$6-$B883)*100000+ROW()),""))</f>
        <v/>
      </c>
      <c r="V883" s="0" t="str">
        <f aca="false">IF(ISNUMBER($O883),IF($O883&gt;=2,IF(COUNTIFS($D883:$D$2006,$D883,$E883:$E$2006,$E883)=1,ROW(),""),""),"")</f>
        <v/>
      </c>
    </row>
    <row r="884" customFormat="false" ht="15" hidden="false" customHeight="true" outlineLevel="0" collapsed="false">
      <c r="A884" s="13" t="str">
        <f aca="false">IF(AND($B884="",$D884="",$E884="",$F884=""),"",IF(OR($B884="",$D884="",$E884=""),"待补",IF($D884="公共区域","公",IF($D884="商铺","S",SUBSTITUTE($D884,"栋","")))&amp;"-"&amp;$E884&amp;"-"&amp;TEXT(MONTH($B884),"00")&amp;TEXT(DAY($B884),"00")&amp;IF(ISNUMBER($O884),IF($O884&gt;1,"-"&amp;TEXT($O884,"00"),""),"")))</f>
        <v/>
      </c>
      <c r="B884" s="14"/>
      <c r="C884" s="10"/>
      <c r="D884" s="10"/>
      <c r="E884" s="10"/>
      <c r="F884" s="16"/>
      <c r="G884" s="10"/>
      <c r="H884" s="10"/>
      <c r="I884" s="10"/>
      <c r="J884" s="10"/>
      <c r="K884" s="10"/>
      <c r="L884" s="10"/>
      <c r="M884" s="14"/>
      <c r="N884" s="17" t="str">
        <f aca="false">IF($B884="","",IF($L884="已完成",IF($M884="","",$M884-$B884),IF(设置!$B$6&lt;$B884,"",IF((设置!$B$6-$B884)&gt;=设置!$B$5,"超期"&amp;(设置!$B$6-$B884)&amp;"天","已等"&amp;(设置!$B$6-$B884)&amp;"天"))))</f>
        <v/>
      </c>
      <c r="O884" s="18" t="str">
        <f aca="false">IF(OR($D884="",$E884=""),"",COUNTIFS($D$7:$D884,$D884,$E$7:$E884,$E884))</f>
        <v/>
      </c>
      <c r="P884" s="16"/>
      <c r="Q884" s="19"/>
      <c r="R884" s="10"/>
      <c r="S884" s="16"/>
      <c r="T884" s="0" t="str">
        <f aca="false">IF(OR($D884="",单元查询!$B$3=""),"",IF($D884&lt;&gt;单元查询!$B$3,"",IF(OR(单元查询!$D$3="",$E884&amp;""=单元查询!$D$3&amp;""),IF(ISNUMBER($B884),$B884*10000,0)+ROW(),"")))</f>
        <v/>
      </c>
      <c r="U884" s="0" t="str">
        <f aca="false">IF(OR($B884="",$L884="已完成"),"",IF(ISNUMBER($B884),IF(设置!$B$6&lt;$B884,"",(设置!$B$6-$B884)*100000+ROW()),""))</f>
        <v/>
      </c>
      <c r="V884" s="0" t="str">
        <f aca="false">IF(ISNUMBER($O884),IF($O884&gt;=2,IF(COUNTIFS($D884:$D$2006,$D884,$E884:$E$2006,$E884)=1,ROW(),""),""),"")</f>
        <v/>
      </c>
    </row>
    <row r="885" customFormat="false" ht="15" hidden="false" customHeight="true" outlineLevel="0" collapsed="false">
      <c r="A885" s="13" t="str">
        <f aca="false">IF(AND($B885="",$D885="",$E885="",$F885=""),"",IF(OR($B885="",$D885="",$E885=""),"待补",IF($D885="公共区域","公",IF($D885="商铺","S",SUBSTITUTE($D885,"栋","")))&amp;"-"&amp;$E885&amp;"-"&amp;TEXT(MONTH($B885),"00")&amp;TEXT(DAY($B885),"00")&amp;IF(ISNUMBER($O885),IF($O885&gt;1,"-"&amp;TEXT($O885,"00"),""),"")))</f>
        <v/>
      </c>
      <c r="B885" s="14"/>
      <c r="C885" s="10"/>
      <c r="D885" s="10"/>
      <c r="E885" s="10"/>
      <c r="F885" s="16"/>
      <c r="G885" s="10"/>
      <c r="H885" s="10"/>
      <c r="I885" s="10"/>
      <c r="J885" s="10"/>
      <c r="K885" s="10"/>
      <c r="L885" s="10"/>
      <c r="M885" s="14"/>
      <c r="N885" s="17" t="str">
        <f aca="false">IF($B885="","",IF($L885="已完成",IF($M885="","",$M885-$B885),IF(设置!$B$6&lt;$B885,"",IF((设置!$B$6-$B885)&gt;=设置!$B$5,"超期"&amp;(设置!$B$6-$B885)&amp;"天","已等"&amp;(设置!$B$6-$B885)&amp;"天"))))</f>
        <v/>
      </c>
      <c r="O885" s="18" t="str">
        <f aca="false">IF(OR($D885="",$E885=""),"",COUNTIFS($D$7:$D885,$D885,$E$7:$E885,$E885))</f>
        <v/>
      </c>
      <c r="P885" s="16"/>
      <c r="Q885" s="19"/>
      <c r="R885" s="10"/>
      <c r="S885" s="16"/>
      <c r="T885" s="0" t="str">
        <f aca="false">IF(OR($D885="",单元查询!$B$3=""),"",IF($D885&lt;&gt;单元查询!$B$3,"",IF(OR(单元查询!$D$3="",$E885&amp;""=单元查询!$D$3&amp;""),IF(ISNUMBER($B885),$B885*10000,0)+ROW(),"")))</f>
        <v/>
      </c>
      <c r="U885" s="0" t="str">
        <f aca="false">IF(OR($B885="",$L885="已完成"),"",IF(ISNUMBER($B885),IF(设置!$B$6&lt;$B885,"",(设置!$B$6-$B885)*100000+ROW()),""))</f>
        <v/>
      </c>
      <c r="V885" s="0" t="str">
        <f aca="false">IF(ISNUMBER($O885),IF($O885&gt;=2,IF(COUNTIFS($D885:$D$2006,$D885,$E885:$E$2006,$E885)=1,ROW(),""),""),"")</f>
        <v/>
      </c>
    </row>
    <row r="886" customFormat="false" ht="15" hidden="false" customHeight="true" outlineLevel="0" collapsed="false">
      <c r="A886" s="13" t="str">
        <f aca="false">IF(AND($B886="",$D886="",$E886="",$F886=""),"",IF(OR($B886="",$D886="",$E886=""),"待补",IF($D886="公共区域","公",IF($D886="商铺","S",SUBSTITUTE($D886,"栋","")))&amp;"-"&amp;$E886&amp;"-"&amp;TEXT(MONTH($B886),"00")&amp;TEXT(DAY($B886),"00")&amp;IF(ISNUMBER($O886),IF($O886&gt;1,"-"&amp;TEXT($O886,"00"),""),"")))</f>
        <v/>
      </c>
      <c r="B886" s="14"/>
      <c r="C886" s="10"/>
      <c r="D886" s="10"/>
      <c r="E886" s="10"/>
      <c r="F886" s="16"/>
      <c r="G886" s="10"/>
      <c r="H886" s="10"/>
      <c r="I886" s="10"/>
      <c r="J886" s="10"/>
      <c r="K886" s="10"/>
      <c r="L886" s="10"/>
      <c r="M886" s="14"/>
      <c r="N886" s="17" t="str">
        <f aca="false">IF($B886="","",IF($L886="已完成",IF($M886="","",$M886-$B886),IF(设置!$B$6&lt;$B886,"",IF((设置!$B$6-$B886)&gt;=设置!$B$5,"超期"&amp;(设置!$B$6-$B886)&amp;"天","已等"&amp;(设置!$B$6-$B886)&amp;"天"))))</f>
        <v/>
      </c>
      <c r="O886" s="18" t="str">
        <f aca="false">IF(OR($D886="",$E886=""),"",COUNTIFS($D$7:$D886,$D886,$E$7:$E886,$E886))</f>
        <v/>
      </c>
      <c r="P886" s="16"/>
      <c r="Q886" s="19"/>
      <c r="R886" s="10"/>
      <c r="S886" s="16"/>
      <c r="T886" s="0" t="str">
        <f aca="false">IF(OR($D886="",单元查询!$B$3=""),"",IF($D886&lt;&gt;单元查询!$B$3,"",IF(OR(单元查询!$D$3="",$E886&amp;""=单元查询!$D$3&amp;""),IF(ISNUMBER($B886),$B886*10000,0)+ROW(),"")))</f>
        <v/>
      </c>
      <c r="U886" s="0" t="str">
        <f aca="false">IF(OR($B886="",$L886="已完成"),"",IF(ISNUMBER($B886),IF(设置!$B$6&lt;$B886,"",(设置!$B$6-$B886)*100000+ROW()),""))</f>
        <v/>
      </c>
      <c r="V886" s="0" t="str">
        <f aca="false">IF(ISNUMBER($O886),IF($O886&gt;=2,IF(COUNTIFS($D886:$D$2006,$D886,$E886:$E$2006,$E886)=1,ROW(),""),""),"")</f>
        <v/>
      </c>
    </row>
    <row r="887" customFormat="false" ht="15" hidden="false" customHeight="true" outlineLevel="0" collapsed="false">
      <c r="A887" s="13" t="str">
        <f aca="false">IF(AND($B887="",$D887="",$E887="",$F887=""),"",IF(OR($B887="",$D887="",$E887=""),"待补",IF($D887="公共区域","公",IF($D887="商铺","S",SUBSTITUTE($D887,"栋","")))&amp;"-"&amp;$E887&amp;"-"&amp;TEXT(MONTH($B887),"00")&amp;TEXT(DAY($B887),"00")&amp;IF(ISNUMBER($O887),IF($O887&gt;1,"-"&amp;TEXT($O887,"00"),""),"")))</f>
        <v/>
      </c>
      <c r="B887" s="14"/>
      <c r="C887" s="10"/>
      <c r="D887" s="10"/>
      <c r="E887" s="10"/>
      <c r="F887" s="16"/>
      <c r="G887" s="10"/>
      <c r="H887" s="10"/>
      <c r="I887" s="10"/>
      <c r="J887" s="10"/>
      <c r="K887" s="10"/>
      <c r="L887" s="10"/>
      <c r="M887" s="14"/>
      <c r="N887" s="17" t="str">
        <f aca="false">IF($B887="","",IF($L887="已完成",IF($M887="","",$M887-$B887),IF(设置!$B$6&lt;$B887,"",IF((设置!$B$6-$B887)&gt;=设置!$B$5,"超期"&amp;(设置!$B$6-$B887)&amp;"天","已等"&amp;(设置!$B$6-$B887)&amp;"天"))))</f>
        <v/>
      </c>
      <c r="O887" s="18" t="str">
        <f aca="false">IF(OR($D887="",$E887=""),"",COUNTIFS($D$7:$D887,$D887,$E$7:$E887,$E887))</f>
        <v/>
      </c>
      <c r="P887" s="16"/>
      <c r="Q887" s="19"/>
      <c r="R887" s="10"/>
      <c r="S887" s="16"/>
      <c r="T887" s="0" t="str">
        <f aca="false">IF(OR($D887="",单元查询!$B$3=""),"",IF($D887&lt;&gt;单元查询!$B$3,"",IF(OR(单元查询!$D$3="",$E887&amp;""=单元查询!$D$3&amp;""),IF(ISNUMBER($B887),$B887*10000,0)+ROW(),"")))</f>
        <v/>
      </c>
      <c r="U887" s="0" t="str">
        <f aca="false">IF(OR($B887="",$L887="已完成"),"",IF(ISNUMBER($B887),IF(设置!$B$6&lt;$B887,"",(设置!$B$6-$B887)*100000+ROW()),""))</f>
        <v/>
      </c>
      <c r="V887" s="0" t="str">
        <f aca="false">IF(ISNUMBER($O887),IF($O887&gt;=2,IF(COUNTIFS($D887:$D$2006,$D887,$E887:$E$2006,$E887)=1,ROW(),""),""),"")</f>
        <v/>
      </c>
    </row>
    <row r="888" customFormat="false" ht="15" hidden="false" customHeight="true" outlineLevel="0" collapsed="false">
      <c r="A888" s="13" t="str">
        <f aca="false">IF(AND($B888="",$D888="",$E888="",$F888=""),"",IF(OR($B888="",$D888="",$E888=""),"待补",IF($D888="公共区域","公",IF($D888="商铺","S",SUBSTITUTE($D888,"栋","")))&amp;"-"&amp;$E888&amp;"-"&amp;TEXT(MONTH($B888),"00")&amp;TEXT(DAY($B888),"00")&amp;IF(ISNUMBER($O888),IF($O888&gt;1,"-"&amp;TEXT($O888,"00"),""),"")))</f>
        <v/>
      </c>
      <c r="B888" s="14"/>
      <c r="C888" s="10"/>
      <c r="D888" s="10"/>
      <c r="E888" s="10"/>
      <c r="F888" s="16"/>
      <c r="G888" s="10"/>
      <c r="H888" s="10"/>
      <c r="I888" s="10"/>
      <c r="J888" s="10"/>
      <c r="K888" s="10"/>
      <c r="L888" s="10"/>
      <c r="M888" s="14"/>
      <c r="N888" s="17" t="str">
        <f aca="false">IF($B888="","",IF($L888="已完成",IF($M888="","",$M888-$B888),IF(设置!$B$6&lt;$B888,"",IF((设置!$B$6-$B888)&gt;=设置!$B$5,"超期"&amp;(设置!$B$6-$B888)&amp;"天","已等"&amp;(设置!$B$6-$B888)&amp;"天"))))</f>
        <v/>
      </c>
      <c r="O888" s="18" t="str">
        <f aca="false">IF(OR($D888="",$E888=""),"",COUNTIFS($D$7:$D888,$D888,$E$7:$E888,$E888))</f>
        <v/>
      </c>
      <c r="P888" s="16"/>
      <c r="Q888" s="19"/>
      <c r="R888" s="10"/>
      <c r="S888" s="16"/>
      <c r="T888" s="0" t="str">
        <f aca="false">IF(OR($D888="",单元查询!$B$3=""),"",IF($D888&lt;&gt;单元查询!$B$3,"",IF(OR(单元查询!$D$3="",$E888&amp;""=单元查询!$D$3&amp;""),IF(ISNUMBER($B888),$B888*10000,0)+ROW(),"")))</f>
        <v/>
      </c>
      <c r="U888" s="0" t="str">
        <f aca="false">IF(OR($B888="",$L888="已完成"),"",IF(ISNUMBER($B888),IF(设置!$B$6&lt;$B888,"",(设置!$B$6-$B888)*100000+ROW()),""))</f>
        <v/>
      </c>
      <c r="V888" s="0" t="str">
        <f aca="false">IF(ISNUMBER($O888),IF($O888&gt;=2,IF(COUNTIFS($D888:$D$2006,$D888,$E888:$E$2006,$E888)=1,ROW(),""),""),"")</f>
        <v/>
      </c>
    </row>
    <row r="889" customFormat="false" ht="15" hidden="false" customHeight="true" outlineLevel="0" collapsed="false">
      <c r="A889" s="13" t="str">
        <f aca="false">IF(AND($B889="",$D889="",$E889="",$F889=""),"",IF(OR($B889="",$D889="",$E889=""),"待补",IF($D889="公共区域","公",IF($D889="商铺","S",SUBSTITUTE($D889,"栋","")))&amp;"-"&amp;$E889&amp;"-"&amp;TEXT(MONTH($B889),"00")&amp;TEXT(DAY($B889),"00")&amp;IF(ISNUMBER($O889),IF($O889&gt;1,"-"&amp;TEXT($O889,"00"),""),"")))</f>
        <v/>
      </c>
      <c r="B889" s="14"/>
      <c r="C889" s="10"/>
      <c r="D889" s="10"/>
      <c r="E889" s="10"/>
      <c r="F889" s="16"/>
      <c r="G889" s="10"/>
      <c r="H889" s="10"/>
      <c r="I889" s="10"/>
      <c r="J889" s="10"/>
      <c r="K889" s="10"/>
      <c r="L889" s="10"/>
      <c r="M889" s="14"/>
      <c r="N889" s="17" t="str">
        <f aca="false">IF($B889="","",IF($L889="已完成",IF($M889="","",$M889-$B889),IF(设置!$B$6&lt;$B889,"",IF((设置!$B$6-$B889)&gt;=设置!$B$5,"超期"&amp;(设置!$B$6-$B889)&amp;"天","已等"&amp;(设置!$B$6-$B889)&amp;"天"))))</f>
        <v/>
      </c>
      <c r="O889" s="18" t="str">
        <f aca="false">IF(OR($D889="",$E889=""),"",COUNTIFS($D$7:$D889,$D889,$E$7:$E889,$E889))</f>
        <v/>
      </c>
      <c r="P889" s="16"/>
      <c r="Q889" s="19"/>
      <c r="R889" s="10"/>
      <c r="S889" s="16"/>
      <c r="T889" s="0" t="str">
        <f aca="false">IF(OR($D889="",单元查询!$B$3=""),"",IF($D889&lt;&gt;单元查询!$B$3,"",IF(OR(单元查询!$D$3="",$E889&amp;""=单元查询!$D$3&amp;""),IF(ISNUMBER($B889),$B889*10000,0)+ROW(),"")))</f>
        <v/>
      </c>
      <c r="U889" s="0" t="str">
        <f aca="false">IF(OR($B889="",$L889="已完成"),"",IF(ISNUMBER($B889),IF(设置!$B$6&lt;$B889,"",(设置!$B$6-$B889)*100000+ROW()),""))</f>
        <v/>
      </c>
      <c r="V889" s="0" t="str">
        <f aca="false">IF(ISNUMBER($O889),IF($O889&gt;=2,IF(COUNTIFS($D889:$D$2006,$D889,$E889:$E$2006,$E889)=1,ROW(),""),""),"")</f>
        <v/>
      </c>
    </row>
    <row r="890" customFormat="false" ht="15" hidden="false" customHeight="true" outlineLevel="0" collapsed="false">
      <c r="A890" s="13" t="str">
        <f aca="false">IF(AND($B890="",$D890="",$E890="",$F890=""),"",IF(OR($B890="",$D890="",$E890=""),"待补",IF($D890="公共区域","公",IF($D890="商铺","S",SUBSTITUTE($D890,"栋","")))&amp;"-"&amp;$E890&amp;"-"&amp;TEXT(MONTH($B890),"00")&amp;TEXT(DAY($B890),"00")&amp;IF(ISNUMBER($O890),IF($O890&gt;1,"-"&amp;TEXT($O890,"00"),""),"")))</f>
        <v/>
      </c>
      <c r="B890" s="14"/>
      <c r="C890" s="10"/>
      <c r="D890" s="10"/>
      <c r="E890" s="10"/>
      <c r="F890" s="16"/>
      <c r="G890" s="10"/>
      <c r="H890" s="10"/>
      <c r="I890" s="10"/>
      <c r="J890" s="10"/>
      <c r="K890" s="10"/>
      <c r="L890" s="10"/>
      <c r="M890" s="14"/>
      <c r="N890" s="17" t="str">
        <f aca="false">IF($B890="","",IF($L890="已完成",IF($M890="","",$M890-$B890),IF(设置!$B$6&lt;$B890,"",IF((设置!$B$6-$B890)&gt;=设置!$B$5,"超期"&amp;(设置!$B$6-$B890)&amp;"天","已等"&amp;(设置!$B$6-$B890)&amp;"天"))))</f>
        <v/>
      </c>
      <c r="O890" s="18" t="str">
        <f aca="false">IF(OR($D890="",$E890=""),"",COUNTIFS($D$7:$D890,$D890,$E$7:$E890,$E890))</f>
        <v/>
      </c>
      <c r="P890" s="16"/>
      <c r="Q890" s="19"/>
      <c r="R890" s="10"/>
      <c r="S890" s="16"/>
      <c r="T890" s="0" t="str">
        <f aca="false">IF(OR($D890="",单元查询!$B$3=""),"",IF($D890&lt;&gt;单元查询!$B$3,"",IF(OR(单元查询!$D$3="",$E890&amp;""=单元查询!$D$3&amp;""),IF(ISNUMBER($B890),$B890*10000,0)+ROW(),"")))</f>
        <v/>
      </c>
      <c r="U890" s="0" t="str">
        <f aca="false">IF(OR($B890="",$L890="已完成"),"",IF(ISNUMBER($B890),IF(设置!$B$6&lt;$B890,"",(设置!$B$6-$B890)*100000+ROW()),""))</f>
        <v/>
      </c>
      <c r="V890" s="0" t="str">
        <f aca="false">IF(ISNUMBER($O890),IF($O890&gt;=2,IF(COUNTIFS($D890:$D$2006,$D890,$E890:$E$2006,$E890)=1,ROW(),""),""),"")</f>
        <v/>
      </c>
    </row>
    <row r="891" customFormat="false" ht="15" hidden="false" customHeight="true" outlineLevel="0" collapsed="false">
      <c r="A891" s="13" t="str">
        <f aca="false">IF(AND($B891="",$D891="",$E891="",$F891=""),"",IF(OR($B891="",$D891="",$E891=""),"待补",IF($D891="公共区域","公",IF($D891="商铺","S",SUBSTITUTE($D891,"栋","")))&amp;"-"&amp;$E891&amp;"-"&amp;TEXT(MONTH($B891),"00")&amp;TEXT(DAY($B891),"00")&amp;IF(ISNUMBER($O891),IF($O891&gt;1,"-"&amp;TEXT($O891,"00"),""),"")))</f>
        <v/>
      </c>
      <c r="B891" s="14"/>
      <c r="C891" s="10"/>
      <c r="D891" s="10"/>
      <c r="E891" s="10"/>
      <c r="F891" s="16"/>
      <c r="G891" s="10"/>
      <c r="H891" s="10"/>
      <c r="I891" s="10"/>
      <c r="J891" s="10"/>
      <c r="K891" s="10"/>
      <c r="L891" s="10"/>
      <c r="M891" s="14"/>
      <c r="N891" s="17" t="str">
        <f aca="false">IF($B891="","",IF($L891="已完成",IF($M891="","",$M891-$B891),IF(设置!$B$6&lt;$B891,"",IF((设置!$B$6-$B891)&gt;=设置!$B$5,"超期"&amp;(设置!$B$6-$B891)&amp;"天","已等"&amp;(设置!$B$6-$B891)&amp;"天"))))</f>
        <v/>
      </c>
      <c r="O891" s="18" t="str">
        <f aca="false">IF(OR($D891="",$E891=""),"",COUNTIFS($D$7:$D891,$D891,$E$7:$E891,$E891))</f>
        <v/>
      </c>
      <c r="P891" s="16"/>
      <c r="Q891" s="19"/>
      <c r="R891" s="10"/>
      <c r="S891" s="16"/>
      <c r="T891" s="0" t="str">
        <f aca="false">IF(OR($D891="",单元查询!$B$3=""),"",IF($D891&lt;&gt;单元查询!$B$3,"",IF(OR(单元查询!$D$3="",$E891&amp;""=单元查询!$D$3&amp;""),IF(ISNUMBER($B891),$B891*10000,0)+ROW(),"")))</f>
        <v/>
      </c>
      <c r="U891" s="0" t="str">
        <f aca="false">IF(OR($B891="",$L891="已完成"),"",IF(ISNUMBER($B891),IF(设置!$B$6&lt;$B891,"",(设置!$B$6-$B891)*100000+ROW()),""))</f>
        <v/>
      </c>
      <c r="V891" s="0" t="str">
        <f aca="false">IF(ISNUMBER($O891),IF($O891&gt;=2,IF(COUNTIFS($D891:$D$2006,$D891,$E891:$E$2006,$E891)=1,ROW(),""),""),"")</f>
        <v/>
      </c>
    </row>
    <row r="892" customFormat="false" ht="15" hidden="false" customHeight="true" outlineLevel="0" collapsed="false">
      <c r="A892" s="13" t="str">
        <f aca="false">IF(AND($B892="",$D892="",$E892="",$F892=""),"",IF(OR($B892="",$D892="",$E892=""),"待补",IF($D892="公共区域","公",IF($D892="商铺","S",SUBSTITUTE($D892,"栋","")))&amp;"-"&amp;$E892&amp;"-"&amp;TEXT(MONTH($B892),"00")&amp;TEXT(DAY($B892),"00")&amp;IF(ISNUMBER($O892),IF($O892&gt;1,"-"&amp;TEXT($O892,"00"),""),"")))</f>
        <v/>
      </c>
      <c r="B892" s="14"/>
      <c r="C892" s="10"/>
      <c r="D892" s="10"/>
      <c r="E892" s="10"/>
      <c r="F892" s="16"/>
      <c r="G892" s="10"/>
      <c r="H892" s="10"/>
      <c r="I892" s="10"/>
      <c r="J892" s="10"/>
      <c r="K892" s="10"/>
      <c r="L892" s="10"/>
      <c r="M892" s="14"/>
      <c r="N892" s="17" t="str">
        <f aca="false">IF($B892="","",IF($L892="已完成",IF($M892="","",$M892-$B892),IF(设置!$B$6&lt;$B892,"",IF((设置!$B$6-$B892)&gt;=设置!$B$5,"超期"&amp;(设置!$B$6-$B892)&amp;"天","已等"&amp;(设置!$B$6-$B892)&amp;"天"))))</f>
        <v/>
      </c>
      <c r="O892" s="18" t="str">
        <f aca="false">IF(OR($D892="",$E892=""),"",COUNTIFS($D$7:$D892,$D892,$E$7:$E892,$E892))</f>
        <v/>
      </c>
      <c r="P892" s="16"/>
      <c r="Q892" s="19"/>
      <c r="R892" s="10"/>
      <c r="S892" s="16"/>
      <c r="T892" s="0" t="str">
        <f aca="false">IF(OR($D892="",单元查询!$B$3=""),"",IF($D892&lt;&gt;单元查询!$B$3,"",IF(OR(单元查询!$D$3="",$E892&amp;""=单元查询!$D$3&amp;""),IF(ISNUMBER($B892),$B892*10000,0)+ROW(),"")))</f>
        <v/>
      </c>
      <c r="U892" s="0" t="str">
        <f aca="false">IF(OR($B892="",$L892="已完成"),"",IF(ISNUMBER($B892),IF(设置!$B$6&lt;$B892,"",(设置!$B$6-$B892)*100000+ROW()),""))</f>
        <v/>
      </c>
      <c r="V892" s="0" t="str">
        <f aca="false">IF(ISNUMBER($O892),IF($O892&gt;=2,IF(COUNTIFS($D892:$D$2006,$D892,$E892:$E$2006,$E892)=1,ROW(),""),""),"")</f>
        <v/>
      </c>
    </row>
    <row r="893" customFormat="false" ht="15" hidden="false" customHeight="true" outlineLevel="0" collapsed="false">
      <c r="A893" s="13" t="str">
        <f aca="false">IF(AND($B893="",$D893="",$E893="",$F893=""),"",IF(OR($B893="",$D893="",$E893=""),"待补",IF($D893="公共区域","公",IF($D893="商铺","S",SUBSTITUTE($D893,"栋","")))&amp;"-"&amp;$E893&amp;"-"&amp;TEXT(MONTH($B893),"00")&amp;TEXT(DAY($B893),"00")&amp;IF(ISNUMBER($O893),IF($O893&gt;1,"-"&amp;TEXT($O893,"00"),""),"")))</f>
        <v/>
      </c>
      <c r="B893" s="14"/>
      <c r="C893" s="10"/>
      <c r="D893" s="10"/>
      <c r="E893" s="10"/>
      <c r="F893" s="16"/>
      <c r="G893" s="10"/>
      <c r="H893" s="10"/>
      <c r="I893" s="10"/>
      <c r="J893" s="10"/>
      <c r="K893" s="10"/>
      <c r="L893" s="10"/>
      <c r="M893" s="14"/>
      <c r="N893" s="17" t="str">
        <f aca="false">IF($B893="","",IF($L893="已完成",IF($M893="","",$M893-$B893),IF(设置!$B$6&lt;$B893,"",IF((设置!$B$6-$B893)&gt;=设置!$B$5,"超期"&amp;(设置!$B$6-$B893)&amp;"天","已等"&amp;(设置!$B$6-$B893)&amp;"天"))))</f>
        <v/>
      </c>
      <c r="O893" s="18" t="str">
        <f aca="false">IF(OR($D893="",$E893=""),"",COUNTIFS($D$7:$D893,$D893,$E$7:$E893,$E893))</f>
        <v/>
      </c>
      <c r="P893" s="16"/>
      <c r="Q893" s="19"/>
      <c r="R893" s="10"/>
      <c r="S893" s="16"/>
      <c r="T893" s="0" t="str">
        <f aca="false">IF(OR($D893="",单元查询!$B$3=""),"",IF($D893&lt;&gt;单元查询!$B$3,"",IF(OR(单元查询!$D$3="",$E893&amp;""=单元查询!$D$3&amp;""),IF(ISNUMBER($B893),$B893*10000,0)+ROW(),"")))</f>
        <v/>
      </c>
      <c r="U893" s="0" t="str">
        <f aca="false">IF(OR($B893="",$L893="已完成"),"",IF(ISNUMBER($B893),IF(设置!$B$6&lt;$B893,"",(设置!$B$6-$B893)*100000+ROW()),""))</f>
        <v/>
      </c>
      <c r="V893" s="0" t="str">
        <f aca="false">IF(ISNUMBER($O893),IF($O893&gt;=2,IF(COUNTIFS($D893:$D$2006,$D893,$E893:$E$2006,$E893)=1,ROW(),""),""),"")</f>
        <v/>
      </c>
    </row>
    <row r="894" customFormat="false" ht="15" hidden="false" customHeight="true" outlineLevel="0" collapsed="false">
      <c r="A894" s="13" t="str">
        <f aca="false">IF(AND($B894="",$D894="",$E894="",$F894=""),"",IF(OR($B894="",$D894="",$E894=""),"待补",IF($D894="公共区域","公",IF($D894="商铺","S",SUBSTITUTE($D894,"栋","")))&amp;"-"&amp;$E894&amp;"-"&amp;TEXT(MONTH($B894),"00")&amp;TEXT(DAY($B894),"00")&amp;IF(ISNUMBER($O894),IF($O894&gt;1,"-"&amp;TEXT($O894,"00"),""),"")))</f>
        <v/>
      </c>
      <c r="B894" s="14"/>
      <c r="C894" s="10"/>
      <c r="D894" s="10"/>
      <c r="E894" s="10"/>
      <c r="F894" s="16"/>
      <c r="G894" s="10"/>
      <c r="H894" s="10"/>
      <c r="I894" s="10"/>
      <c r="J894" s="10"/>
      <c r="K894" s="10"/>
      <c r="L894" s="10"/>
      <c r="M894" s="14"/>
      <c r="N894" s="17" t="str">
        <f aca="false">IF($B894="","",IF($L894="已完成",IF($M894="","",$M894-$B894),IF(设置!$B$6&lt;$B894,"",IF((设置!$B$6-$B894)&gt;=设置!$B$5,"超期"&amp;(设置!$B$6-$B894)&amp;"天","已等"&amp;(设置!$B$6-$B894)&amp;"天"))))</f>
        <v/>
      </c>
      <c r="O894" s="18" t="str">
        <f aca="false">IF(OR($D894="",$E894=""),"",COUNTIFS($D$7:$D894,$D894,$E$7:$E894,$E894))</f>
        <v/>
      </c>
      <c r="P894" s="16"/>
      <c r="Q894" s="19"/>
      <c r="R894" s="10"/>
      <c r="S894" s="16"/>
      <c r="T894" s="0" t="str">
        <f aca="false">IF(OR($D894="",单元查询!$B$3=""),"",IF($D894&lt;&gt;单元查询!$B$3,"",IF(OR(单元查询!$D$3="",$E894&amp;""=单元查询!$D$3&amp;""),IF(ISNUMBER($B894),$B894*10000,0)+ROW(),"")))</f>
        <v/>
      </c>
      <c r="U894" s="0" t="str">
        <f aca="false">IF(OR($B894="",$L894="已完成"),"",IF(ISNUMBER($B894),IF(设置!$B$6&lt;$B894,"",(设置!$B$6-$B894)*100000+ROW()),""))</f>
        <v/>
      </c>
      <c r="V894" s="0" t="str">
        <f aca="false">IF(ISNUMBER($O894),IF($O894&gt;=2,IF(COUNTIFS($D894:$D$2006,$D894,$E894:$E$2006,$E894)=1,ROW(),""),""),"")</f>
        <v/>
      </c>
    </row>
    <row r="895" customFormat="false" ht="15" hidden="false" customHeight="true" outlineLevel="0" collapsed="false">
      <c r="A895" s="13" t="str">
        <f aca="false">IF(AND($B895="",$D895="",$E895="",$F895=""),"",IF(OR($B895="",$D895="",$E895=""),"待补",IF($D895="公共区域","公",IF($D895="商铺","S",SUBSTITUTE($D895,"栋","")))&amp;"-"&amp;$E895&amp;"-"&amp;TEXT(MONTH($B895),"00")&amp;TEXT(DAY($B895),"00")&amp;IF(ISNUMBER($O895),IF($O895&gt;1,"-"&amp;TEXT($O895,"00"),""),"")))</f>
        <v/>
      </c>
      <c r="B895" s="14"/>
      <c r="C895" s="10"/>
      <c r="D895" s="10"/>
      <c r="E895" s="10"/>
      <c r="F895" s="16"/>
      <c r="G895" s="10"/>
      <c r="H895" s="10"/>
      <c r="I895" s="10"/>
      <c r="J895" s="10"/>
      <c r="K895" s="10"/>
      <c r="L895" s="10"/>
      <c r="M895" s="14"/>
      <c r="N895" s="17" t="str">
        <f aca="false">IF($B895="","",IF($L895="已完成",IF($M895="","",$M895-$B895),IF(设置!$B$6&lt;$B895,"",IF((设置!$B$6-$B895)&gt;=设置!$B$5,"超期"&amp;(设置!$B$6-$B895)&amp;"天","已等"&amp;(设置!$B$6-$B895)&amp;"天"))))</f>
        <v/>
      </c>
      <c r="O895" s="18" t="str">
        <f aca="false">IF(OR($D895="",$E895=""),"",COUNTIFS($D$7:$D895,$D895,$E$7:$E895,$E895))</f>
        <v/>
      </c>
      <c r="P895" s="16"/>
      <c r="Q895" s="19"/>
      <c r="R895" s="10"/>
      <c r="S895" s="16"/>
      <c r="T895" s="0" t="str">
        <f aca="false">IF(OR($D895="",单元查询!$B$3=""),"",IF($D895&lt;&gt;单元查询!$B$3,"",IF(OR(单元查询!$D$3="",$E895&amp;""=单元查询!$D$3&amp;""),IF(ISNUMBER($B895),$B895*10000,0)+ROW(),"")))</f>
        <v/>
      </c>
      <c r="U895" s="0" t="str">
        <f aca="false">IF(OR($B895="",$L895="已完成"),"",IF(ISNUMBER($B895),IF(设置!$B$6&lt;$B895,"",(设置!$B$6-$B895)*100000+ROW()),""))</f>
        <v/>
      </c>
      <c r="V895" s="0" t="str">
        <f aca="false">IF(ISNUMBER($O895),IF($O895&gt;=2,IF(COUNTIFS($D895:$D$2006,$D895,$E895:$E$2006,$E895)=1,ROW(),""),""),"")</f>
        <v/>
      </c>
    </row>
    <row r="896" customFormat="false" ht="15" hidden="false" customHeight="true" outlineLevel="0" collapsed="false">
      <c r="A896" s="13" t="str">
        <f aca="false">IF(AND($B896="",$D896="",$E896="",$F896=""),"",IF(OR($B896="",$D896="",$E896=""),"待补",IF($D896="公共区域","公",IF($D896="商铺","S",SUBSTITUTE($D896,"栋","")))&amp;"-"&amp;$E896&amp;"-"&amp;TEXT(MONTH($B896),"00")&amp;TEXT(DAY($B896),"00")&amp;IF(ISNUMBER($O896),IF($O896&gt;1,"-"&amp;TEXT($O896,"00"),""),"")))</f>
        <v/>
      </c>
      <c r="B896" s="14"/>
      <c r="C896" s="10"/>
      <c r="D896" s="10"/>
      <c r="E896" s="10"/>
      <c r="F896" s="16"/>
      <c r="G896" s="10"/>
      <c r="H896" s="10"/>
      <c r="I896" s="10"/>
      <c r="J896" s="10"/>
      <c r="K896" s="10"/>
      <c r="L896" s="10"/>
      <c r="M896" s="14"/>
      <c r="N896" s="17" t="str">
        <f aca="false">IF($B896="","",IF($L896="已完成",IF($M896="","",$M896-$B896),IF(设置!$B$6&lt;$B896,"",IF((设置!$B$6-$B896)&gt;=设置!$B$5,"超期"&amp;(设置!$B$6-$B896)&amp;"天","已等"&amp;(设置!$B$6-$B896)&amp;"天"))))</f>
        <v/>
      </c>
      <c r="O896" s="18" t="str">
        <f aca="false">IF(OR($D896="",$E896=""),"",COUNTIFS($D$7:$D896,$D896,$E$7:$E896,$E896))</f>
        <v/>
      </c>
      <c r="P896" s="16"/>
      <c r="Q896" s="19"/>
      <c r="R896" s="10"/>
      <c r="S896" s="16"/>
      <c r="T896" s="0" t="str">
        <f aca="false">IF(OR($D896="",单元查询!$B$3=""),"",IF($D896&lt;&gt;单元查询!$B$3,"",IF(OR(单元查询!$D$3="",$E896&amp;""=单元查询!$D$3&amp;""),IF(ISNUMBER($B896),$B896*10000,0)+ROW(),"")))</f>
        <v/>
      </c>
      <c r="U896" s="0" t="str">
        <f aca="false">IF(OR($B896="",$L896="已完成"),"",IF(ISNUMBER($B896),IF(设置!$B$6&lt;$B896,"",(设置!$B$6-$B896)*100000+ROW()),""))</f>
        <v/>
      </c>
      <c r="V896" s="0" t="str">
        <f aca="false">IF(ISNUMBER($O896),IF($O896&gt;=2,IF(COUNTIFS($D896:$D$2006,$D896,$E896:$E$2006,$E896)=1,ROW(),""),""),"")</f>
        <v/>
      </c>
    </row>
    <row r="897" customFormat="false" ht="15" hidden="false" customHeight="true" outlineLevel="0" collapsed="false">
      <c r="A897" s="13" t="str">
        <f aca="false">IF(AND($B897="",$D897="",$E897="",$F897=""),"",IF(OR($B897="",$D897="",$E897=""),"待补",IF($D897="公共区域","公",IF($D897="商铺","S",SUBSTITUTE($D897,"栋","")))&amp;"-"&amp;$E897&amp;"-"&amp;TEXT(MONTH($B897),"00")&amp;TEXT(DAY($B897),"00")&amp;IF(ISNUMBER($O897),IF($O897&gt;1,"-"&amp;TEXT($O897,"00"),""),"")))</f>
        <v/>
      </c>
      <c r="B897" s="14"/>
      <c r="C897" s="10"/>
      <c r="D897" s="10"/>
      <c r="E897" s="10"/>
      <c r="F897" s="16"/>
      <c r="G897" s="10"/>
      <c r="H897" s="10"/>
      <c r="I897" s="10"/>
      <c r="J897" s="10"/>
      <c r="K897" s="10"/>
      <c r="L897" s="10"/>
      <c r="M897" s="14"/>
      <c r="N897" s="17" t="str">
        <f aca="false">IF($B897="","",IF($L897="已完成",IF($M897="","",$M897-$B897),IF(设置!$B$6&lt;$B897,"",IF((设置!$B$6-$B897)&gt;=设置!$B$5,"超期"&amp;(设置!$B$6-$B897)&amp;"天","已等"&amp;(设置!$B$6-$B897)&amp;"天"))))</f>
        <v/>
      </c>
      <c r="O897" s="18" t="str">
        <f aca="false">IF(OR($D897="",$E897=""),"",COUNTIFS($D$7:$D897,$D897,$E$7:$E897,$E897))</f>
        <v/>
      </c>
      <c r="P897" s="16"/>
      <c r="Q897" s="19"/>
      <c r="R897" s="10"/>
      <c r="S897" s="16"/>
      <c r="T897" s="0" t="str">
        <f aca="false">IF(OR($D897="",单元查询!$B$3=""),"",IF($D897&lt;&gt;单元查询!$B$3,"",IF(OR(单元查询!$D$3="",$E897&amp;""=单元查询!$D$3&amp;""),IF(ISNUMBER($B897),$B897*10000,0)+ROW(),"")))</f>
        <v/>
      </c>
      <c r="U897" s="0" t="str">
        <f aca="false">IF(OR($B897="",$L897="已完成"),"",IF(ISNUMBER($B897),IF(设置!$B$6&lt;$B897,"",(设置!$B$6-$B897)*100000+ROW()),""))</f>
        <v/>
      </c>
      <c r="V897" s="0" t="str">
        <f aca="false">IF(ISNUMBER($O897),IF($O897&gt;=2,IF(COUNTIFS($D897:$D$2006,$D897,$E897:$E$2006,$E897)=1,ROW(),""),""),"")</f>
        <v/>
      </c>
    </row>
    <row r="898" customFormat="false" ht="15" hidden="false" customHeight="true" outlineLevel="0" collapsed="false">
      <c r="A898" s="13" t="str">
        <f aca="false">IF(AND($B898="",$D898="",$E898="",$F898=""),"",IF(OR($B898="",$D898="",$E898=""),"待补",IF($D898="公共区域","公",IF($D898="商铺","S",SUBSTITUTE($D898,"栋","")))&amp;"-"&amp;$E898&amp;"-"&amp;TEXT(MONTH($B898),"00")&amp;TEXT(DAY($B898),"00")&amp;IF(ISNUMBER($O898),IF($O898&gt;1,"-"&amp;TEXT($O898,"00"),""),"")))</f>
        <v/>
      </c>
      <c r="B898" s="14"/>
      <c r="C898" s="10"/>
      <c r="D898" s="10"/>
      <c r="E898" s="10"/>
      <c r="F898" s="16"/>
      <c r="G898" s="10"/>
      <c r="H898" s="10"/>
      <c r="I898" s="10"/>
      <c r="J898" s="10"/>
      <c r="K898" s="10"/>
      <c r="L898" s="10"/>
      <c r="M898" s="14"/>
      <c r="N898" s="17" t="str">
        <f aca="false">IF($B898="","",IF($L898="已完成",IF($M898="","",$M898-$B898),IF(设置!$B$6&lt;$B898,"",IF((设置!$B$6-$B898)&gt;=设置!$B$5,"超期"&amp;(设置!$B$6-$B898)&amp;"天","已等"&amp;(设置!$B$6-$B898)&amp;"天"))))</f>
        <v/>
      </c>
      <c r="O898" s="18" t="str">
        <f aca="false">IF(OR($D898="",$E898=""),"",COUNTIFS($D$7:$D898,$D898,$E$7:$E898,$E898))</f>
        <v/>
      </c>
      <c r="P898" s="16"/>
      <c r="Q898" s="19"/>
      <c r="R898" s="10"/>
      <c r="S898" s="16"/>
      <c r="T898" s="0" t="str">
        <f aca="false">IF(OR($D898="",单元查询!$B$3=""),"",IF($D898&lt;&gt;单元查询!$B$3,"",IF(OR(单元查询!$D$3="",$E898&amp;""=单元查询!$D$3&amp;""),IF(ISNUMBER($B898),$B898*10000,0)+ROW(),"")))</f>
        <v/>
      </c>
      <c r="U898" s="0" t="str">
        <f aca="false">IF(OR($B898="",$L898="已完成"),"",IF(ISNUMBER($B898),IF(设置!$B$6&lt;$B898,"",(设置!$B$6-$B898)*100000+ROW()),""))</f>
        <v/>
      </c>
      <c r="V898" s="0" t="str">
        <f aca="false">IF(ISNUMBER($O898),IF($O898&gt;=2,IF(COUNTIFS($D898:$D$2006,$D898,$E898:$E$2006,$E898)=1,ROW(),""),""),"")</f>
        <v/>
      </c>
    </row>
    <row r="899" customFormat="false" ht="15" hidden="false" customHeight="true" outlineLevel="0" collapsed="false">
      <c r="A899" s="13" t="str">
        <f aca="false">IF(AND($B899="",$D899="",$E899="",$F899=""),"",IF(OR($B899="",$D899="",$E899=""),"待补",IF($D899="公共区域","公",IF($D899="商铺","S",SUBSTITUTE($D899,"栋","")))&amp;"-"&amp;$E899&amp;"-"&amp;TEXT(MONTH($B899),"00")&amp;TEXT(DAY($B899),"00")&amp;IF(ISNUMBER($O899),IF($O899&gt;1,"-"&amp;TEXT($O899,"00"),""),"")))</f>
        <v/>
      </c>
      <c r="B899" s="14"/>
      <c r="C899" s="10"/>
      <c r="D899" s="10"/>
      <c r="E899" s="10"/>
      <c r="F899" s="16"/>
      <c r="G899" s="10"/>
      <c r="H899" s="10"/>
      <c r="I899" s="10"/>
      <c r="J899" s="10"/>
      <c r="K899" s="10"/>
      <c r="L899" s="10"/>
      <c r="M899" s="14"/>
      <c r="N899" s="17" t="str">
        <f aca="false">IF($B899="","",IF($L899="已完成",IF($M899="","",$M899-$B899),IF(设置!$B$6&lt;$B899,"",IF((设置!$B$6-$B899)&gt;=设置!$B$5,"超期"&amp;(设置!$B$6-$B899)&amp;"天","已等"&amp;(设置!$B$6-$B899)&amp;"天"))))</f>
        <v/>
      </c>
      <c r="O899" s="18" t="str">
        <f aca="false">IF(OR($D899="",$E899=""),"",COUNTIFS($D$7:$D899,$D899,$E$7:$E899,$E899))</f>
        <v/>
      </c>
      <c r="P899" s="16"/>
      <c r="Q899" s="19"/>
      <c r="R899" s="10"/>
      <c r="S899" s="16"/>
      <c r="T899" s="0" t="str">
        <f aca="false">IF(OR($D899="",单元查询!$B$3=""),"",IF($D899&lt;&gt;单元查询!$B$3,"",IF(OR(单元查询!$D$3="",$E899&amp;""=单元查询!$D$3&amp;""),IF(ISNUMBER($B899),$B899*10000,0)+ROW(),"")))</f>
        <v/>
      </c>
      <c r="U899" s="0" t="str">
        <f aca="false">IF(OR($B899="",$L899="已完成"),"",IF(ISNUMBER($B899),IF(设置!$B$6&lt;$B899,"",(设置!$B$6-$B899)*100000+ROW()),""))</f>
        <v/>
      </c>
      <c r="V899" s="0" t="str">
        <f aca="false">IF(ISNUMBER($O899),IF($O899&gt;=2,IF(COUNTIFS($D899:$D$2006,$D899,$E899:$E$2006,$E899)=1,ROW(),""),""),"")</f>
        <v/>
      </c>
    </row>
    <row r="900" customFormat="false" ht="15" hidden="false" customHeight="true" outlineLevel="0" collapsed="false">
      <c r="A900" s="13" t="str">
        <f aca="false">IF(AND($B900="",$D900="",$E900="",$F900=""),"",IF(OR($B900="",$D900="",$E900=""),"待补",IF($D900="公共区域","公",IF($D900="商铺","S",SUBSTITUTE($D900,"栋","")))&amp;"-"&amp;$E900&amp;"-"&amp;TEXT(MONTH($B900),"00")&amp;TEXT(DAY($B900),"00")&amp;IF(ISNUMBER($O900),IF($O900&gt;1,"-"&amp;TEXT($O900,"00"),""),"")))</f>
        <v/>
      </c>
      <c r="B900" s="14"/>
      <c r="C900" s="10"/>
      <c r="D900" s="10"/>
      <c r="E900" s="10"/>
      <c r="F900" s="16"/>
      <c r="G900" s="10"/>
      <c r="H900" s="10"/>
      <c r="I900" s="10"/>
      <c r="J900" s="10"/>
      <c r="K900" s="10"/>
      <c r="L900" s="10"/>
      <c r="M900" s="14"/>
      <c r="N900" s="17" t="str">
        <f aca="false">IF($B900="","",IF($L900="已完成",IF($M900="","",$M900-$B900),IF(设置!$B$6&lt;$B900,"",IF((设置!$B$6-$B900)&gt;=设置!$B$5,"超期"&amp;(设置!$B$6-$B900)&amp;"天","已等"&amp;(设置!$B$6-$B900)&amp;"天"))))</f>
        <v/>
      </c>
      <c r="O900" s="18" t="str">
        <f aca="false">IF(OR($D900="",$E900=""),"",COUNTIFS($D$7:$D900,$D900,$E$7:$E900,$E900))</f>
        <v/>
      </c>
      <c r="P900" s="16"/>
      <c r="Q900" s="19"/>
      <c r="R900" s="10"/>
      <c r="S900" s="16"/>
      <c r="T900" s="0" t="str">
        <f aca="false">IF(OR($D900="",单元查询!$B$3=""),"",IF($D900&lt;&gt;单元查询!$B$3,"",IF(OR(单元查询!$D$3="",$E900&amp;""=单元查询!$D$3&amp;""),IF(ISNUMBER($B900),$B900*10000,0)+ROW(),"")))</f>
        <v/>
      </c>
      <c r="U900" s="0" t="str">
        <f aca="false">IF(OR($B900="",$L900="已完成"),"",IF(ISNUMBER($B900),IF(设置!$B$6&lt;$B900,"",(设置!$B$6-$B900)*100000+ROW()),""))</f>
        <v/>
      </c>
      <c r="V900" s="0" t="str">
        <f aca="false">IF(ISNUMBER($O900),IF($O900&gt;=2,IF(COUNTIFS($D900:$D$2006,$D900,$E900:$E$2006,$E900)=1,ROW(),""),""),"")</f>
        <v/>
      </c>
    </row>
    <row r="901" customFormat="false" ht="15" hidden="false" customHeight="true" outlineLevel="0" collapsed="false">
      <c r="A901" s="13" t="str">
        <f aca="false">IF(AND($B901="",$D901="",$E901="",$F901=""),"",IF(OR($B901="",$D901="",$E901=""),"待补",IF($D901="公共区域","公",IF($D901="商铺","S",SUBSTITUTE($D901,"栋","")))&amp;"-"&amp;$E901&amp;"-"&amp;TEXT(MONTH($B901),"00")&amp;TEXT(DAY($B901),"00")&amp;IF(ISNUMBER($O901),IF($O901&gt;1,"-"&amp;TEXT($O901,"00"),""),"")))</f>
        <v/>
      </c>
      <c r="B901" s="14"/>
      <c r="C901" s="10"/>
      <c r="D901" s="10"/>
      <c r="E901" s="10"/>
      <c r="F901" s="16"/>
      <c r="G901" s="10"/>
      <c r="H901" s="10"/>
      <c r="I901" s="10"/>
      <c r="J901" s="10"/>
      <c r="K901" s="10"/>
      <c r="L901" s="10"/>
      <c r="M901" s="14"/>
      <c r="N901" s="17" t="str">
        <f aca="false">IF($B901="","",IF($L901="已完成",IF($M901="","",$M901-$B901),IF(设置!$B$6&lt;$B901,"",IF((设置!$B$6-$B901)&gt;=设置!$B$5,"超期"&amp;(设置!$B$6-$B901)&amp;"天","已等"&amp;(设置!$B$6-$B901)&amp;"天"))))</f>
        <v/>
      </c>
      <c r="O901" s="18" t="str">
        <f aca="false">IF(OR($D901="",$E901=""),"",COUNTIFS($D$7:$D901,$D901,$E$7:$E901,$E901))</f>
        <v/>
      </c>
      <c r="P901" s="16"/>
      <c r="Q901" s="19"/>
      <c r="R901" s="10"/>
      <c r="S901" s="16"/>
      <c r="T901" s="0" t="str">
        <f aca="false">IF(OR($D901="",单元查询!$B$3=""),"",IF($D901&lt;&gt;单元查询!$B$3,"",IF(OR(单元查询!$D$3="",$E901&amp;""=单元查询!$D$3&amp;""),IF(ISNUMBER($B901),$B901*10000,0)+ROW(),"")))</f>
        <v/>
      </c>
      <c r="U901" s="0" t="str">
        <f aca="false">IF(OR($B901="",$L901="已完成"),"",IF(ISNUMBER($B901),IF(设置!$B$6&lt;$B901,"",(设置!$B$6-$B901)*100000+ROW()),""))</f>
        <v/>
      </c>
      <c r="V901" s="0" t="str">
        <f aca="false">IF(ISNUMBER($O901),IF($O901&gt;=2,IF(COUNTIFS($D901:$D$2006,$D901,$E901:$E$2006,$E901)=1,ROW(),""),""),"")</f>
        <v/>
      </c>
    </row>
    <row r="902" customFormat="false" ht="15" hidden="false" customHeight="true" outlineLevel="0" collapsed="false">
      <c r="A902" s="13" t="str">
        <f aca="false">IF(AND($B902="",$D902="",$E902="",$F902=""),"",IF(OR($B902="",$D902="",$E902=""),"待补",IF($D902="公共区域","公",IF($D902="商铺","S",SUBSTITUTE($D902,"栋","")))&amp;"-"&amp;$E902&amp;"-"&amp;TEXT(MONTH($B902),"00")&amp;TEXT(DAY($B902),"00")&amp;IF(ISNUMBER($O902),IF($O902&gt;1,"-"&amp;TEXT($O902,"00"),""),"")))</f>
        <v/>
      </c>
      <c r="B902" s="14"/>
      <c r="C902" s="10"/>
      <c r="D902" s="10"/>
      <c r="E902" s="10"/>
      <c r="F902" s="16"/>
      <c r="G902" s="10"/>
      <c r="H902" s="10"/>
      <c r="I902" s="10"/>
      <c r="J902" s="10"/>
      <c r="K902" s="10"/>
      <c r="L902" s="10"/>
      <c r="M902" s="14"/>
      <c r="N902" s="17" t="str">
        <f aca="false">IF($B902="","",IF($L902="已完成",IF($M902="","",$M902-$B902),IF(设置!$B$6&lt;$B902,"",IF((设置!$B$6-$B902)&gt;=设置!$B$5,"超期"&amp;(设置!$B$6-$B902)&amp;"天","已等"&amp;(设置!$B$6-$B902)&amp;"天"))))</f>
        <v/>
      </c>
      <c r="O902" s="18" t="str">
        <f aca="false">IF(OR($D902="",$E902=""),"",COUNTIFS($D$7:$D902,$D902,$E$7:$E902,$E902))</f>
        <v/>
      </c>
      <c r="P902" s="16"/>
      <c r="Q902" s="19"/>
      <c r="R902" s="10"/>
      <c r="S902" s="16"/>
      <c r="T902" s="0" t="str">
        <f aca="false">IF(OR($D902="",单元查询!$B$3=""),"",IF($D902&lt;&gt;单元查询!$B$3,"",IF(OR(单元查询!$D$3="",$E902&amp;""=单元查询!$D$3&amp;""),IF(ISNUMBER($B902),$B902*10000,0)+ROW(),"")))</f>
        <v/>
      </c>
      <c r="U902" s="0" t="str">
        <f aca="false">IF(OR($B902="",$L902="已完成"),"",IF(ISNUMBER($B902),IF(设置!$B$6&lt;$B902,"",(设置!$B$6-$B902)*100000+ROW()),""))</f>
        <v/>
      </c>
      <c r="V902" s="0" t="str">
        <f aca="false">IF(ISNUMBER($O902),IF($O902&gt;=2,IF(COUNTIFS($D902:$D$2006,$D902,$E902:$E$2006,$E902)=1,ROW(),""),""),"")</f>
        <v/>
      </c>
    </row>
    <row r="903" customFormat="false" ht="15" hidden="false" customHeight="true" outlineLevel="0" collapsed="false">
      <c r="A903" s="13" t="str">
        <f aca="false">IF(AND($B903="",$D903="",$E903="",$F903=""),"",IF(OR($B903="",$D903="",$E903=""),"待补",IF($D903="公共区域","公",IF($D903="商铺","S",SUBSTITUTE($D903,"栋","")))&amp;"-"&amp;$E903&amp;"-"&amp;TEXT(MONTH($B903),"00")&amp;TEXT(DAY($B903),"00")&amp;IF(ISNUMBER($O903),IF($O903&gt;1,"-"&amp;TEXT($O903,"00"),""),"")))</f>
        <v/>
      </c>
      <c r="B903" s="14"/>
      <c r="C903" s="10"/>
      <c r="D903" s="10"/>
      <c r="E903" s="10"/>
      <c r="F903" s="16"/>
      <c r="G903" s="10"/>
      <c r="H903" s="10"/>
      <c r="I903" s="10"/>
      <c r="J903" s="10"/>
      <c r="K903" s="10"/>
      <c r="L903" s="10"/>
      <c r="M903" s="14"/>
      <c r="N903" s="17" t="str">
        <f aca="false">IF($B903="","",IF($L903="已完成",IF($M903="","",$M903-$B903),IF(设置!$B$6&lt;$B903,"",IF((设置!$B$6-$B903)&gt;=设置!$B$5,"超期"&amp;(设置!$B$6-$B903)&amp;"天","已等"&amp;(设置!$B$6-$B903)&amp;"天"))))</f>
        <v/>
      </c>
      <c r="O903" s="18" t="str">
        <f aca="false">IF(OR($D903="",$E903=""),"",COUNTIFS($D$7:$D903,$D903,$E$7:$E903,$E903))</f>
        <v/>
      </c>
      <c r="P903" s="16"/>
      <c r="Q903" s="19"/>
      <c r="R903" s="10"/>
      <c r="S903" s="16"/>
      <c r="T903" s="0" t="str">
        <f aca="false">IF(OR($D903="",单元查询!$B$3=""),"",IF($D903&lt;&gt;单元查询!$B$3,"",IF(OR(单元查询!$D$3="",$E903&amp;""=单元查询!$D$3&amp;""),IF(ISNUMBER($B903),$B903*10000,0)+ROW(),"")))</f>
        <v/>
      </c>
      <c r="U903" s="0" t="str">
        <f aca="false">IF(OR($B903="",$L903="已完成"),"",IF(ISNUMBER($B903),IF(设置!$B$6&lt;$B903,"",(设置!$B$6-$B903)*100000+ROW()),""))</f>
        <v/>
      </c>
      <c r="V903" s="0" t="str">
        <f aca="false">IF(ISNUMBER($O903),IF($O903&gt;=2,IF(COUNTIFS($D903:$D$2006,$D903,$E903:$E$2006,$E903)=1,ROW(),""),""),"")</f>
        <v/>
      </c>
    </row>
    <row r="904" customFormat="false" ht="15" hidden="false" customHeight="true" outlineLevel="0" collapsed="false">
      <c r="A904" s="13" t="str">
        <f aca="false">IF(AND($B904="",$D904="",$E904="",$F904=""),"",IF(OR($B904="",$D904="",$E904=""),"待补",IF($D904="公共区域","公",IF($D904="商铺","S",SUBSTITUTE($D904,"栋","")))&amp;"-"&amp;$E904&amp;"-"&amp;TEXT(MONTH($B904),"00")&amp;TEXT(DAY($B904),"00")&amp;IF(ISNUMBER($O904),IF($O904&gt;1,"-"&amp;TEXT($O904,"00"),""),"")))</f>
        <v/>
      </c>
      <c r="B904" s="14"/>
      <c r="C904" s="10"/>
      <c r="D904" s="10"/>
      <c r="E904" s="10"/>
      <c r="F904" s="16"/>
      <c r="G904" s="10"/>
      <c r="H904" s="10"/>
      <c r="I904" s="10"/>
      <c r="J904" s="10"/>
      <c r="K904" s="10"/>
      <c r="L904" s="10"/>
      <c r="M904" s="14"/>
      <c r="N904" s="17" t="str">
        <f aca="false">IF($B904="","",IF($L904="已完成",IF($M904="","",$M904-$B904),IF(设置!$B$6&lt;$B904,"",IF((设置!$B$6-$B904)&gt;=设置!$B$5,"超期"&amp;(设置!$B$6-$B904)&amp;"天","已等"&amp;(设置!$B$6-$B904)&amp;"天"))))</f>
        <v/>
      </c>
      <c r="O904" s="18" t="str">
        <f aca="false">IF(OR($D904="",$E904=""),"",COUNTIFS($D$7:$D904,$D904,$E$7:$E904,$E904))</f>
        <v/>
      </c>
      <c r="P904" s="16"/>
      <c r="Q904" s="19"/>
      <c r="R904" s="10"/>
      <c r="S904" s="16"/>
      <c r="T904" s="0" t="str">
        <f aca="false">IF(OR($D904="",单元查询!$B$3=""),"",IF($D904&lt;&gt;单元查询!$B$3,"",IF(OR(单元查询!$D$3="",$E904&amp;""=单元查询!$D$3&amp;""),IF(ISNUMBER($B904),$B904*10000,0)+ROW(),"")))</f>
        <v/>
      </c>
      <c r="U904" s="0" t="str">
        <f aca="false">IF(OR($B904="",$L904="已完成"),"",IF(ISNUMBER($B904),IF(设置!$B$6&lt;$B904,"",(设置!$B$6-$B904)*100000+ROW()),""))</f>
        <v/>
      </c>
      <c r="V904" s="0" t="str">
        <f aca="false">IF(ISNUMBER($O904),IF($O904&gt;=2,IF(COUNTIFS($D904:$D$2006,$D904,$E904:$E$2006,$E904)=1,ROW(),""),""),"")</f>
        <v/>
      </c>
    </row>
    <row r="905" customFormat="false" ht="15" hidden="false" customHeight="true" outlineLevel="0" collapsed="false">
      <c r="A905" s="13" t="str">
        <f aca="false">IF(AND($B905="",$D905="",$E905="",$F905=""),"",IF(OR($B905="",$D905="",$E905=""),"待补",IF($D905="公共区域","公",IF($D905="商铺","S",SUBSTITUTE($D905,"栋","")))&amp;"-"&amp;$E905&amp;"-"&amp;TEXT(MONTH($B905),"00")&amp;TEXT(DAY($B905),"00")&amp;IF(ISNUMBER($O905),IF($O905&gt;1,"-"&amp;TEXT($O905,"00"),""),"")))</f>
        <v/>
      </c>
      <c r="B905" s="14"/>
      <c r="C905" s="10"/>
      <c r="D905" s="10"/>
      <c r="E905" s="10"/>
      <c r="F905" s="16"/>
      <c r="G905" s="10"/>
      <c r="H905" s="10"/>
      <c r="I905" s="10"/>
      <c r="J905" s="10"/>
      <c r="K905" s="10"/>
      <c r="L905" s="10"/>
      <c r="M905" s="14"/>
      <c r="N905" s="17" t="str">
        <f aca="false">IF($B905="","",IF($L905="已完成",IF($M905="","",$M905-$B905),IF(设置!$B$6&lt;$B905,"",IF((设置!$B$6-$B905)&gt;=设置!$B$5,"超期"&amp;(设置!$B$6-$B905)&amp;"天","已等"&amp;(设置!$B$6-$B905)&amp;"天"))))</f>
        <v/>
      </c>
      <c r="O905" s="18" t="str">
        <f aca="false">IF(OR($D905="",$E905=""),"",COUNTIFS($D$7:$D905,$D905,$E$7:$E905,$E905))</f>
        <v/>
      </c>
      <c r="P905" s="16"/>
      <c r="Q905" s="19"/>
      <c r="R905" s="10"/>
      <c r="S905" s="16"/>
      <c r="T905" s="0" t="str">
        <f aca="false">IF(OR($D905="",单元查询!$B$3=""),"",IF($D905&lt;&gt;单元查询!$B$3,"",IF(OR(单元查询!$D$3="",$E905&amp;""=单元查询!$D$3&amp;""),IF(ISNUMBER($B905),$B905*10000,0)+ROW(),"")))</f>
        <v/>
      </c>
      <c r="U905" s="0" t="str">
        <f aca="false">IF(OR($B905="",$L905="已完成"),"",IF(ISNUMBER($B905),IF(设置!$B$6&lt;$B905,"",(设置!$B$6-$B905)*100000+ROW()),""))</f>
        <v/>
      </c>
      <c r="V905" s="0" t="str">
        <f aca="false">IF(ISNUMBER($O905),IF($O905&gt;=2,IF(COUNTIFS($D905:$D$2006,$D905,$E905:$E$2006,$E905)=1,ROW(),""),""),"")</f>
        <v/>
      </c>
    </row>
    <row r="906" customFormat="false" ht="15" hidden="false" customHeight="true" outlineLevel="0" collapsed="false">
      <c r="A906" s="13" t="str">
        <f aca="false">IF(AND($B906="",$D906="",$E906="",$F906=""),"",IF(OR($B906="",$D906="",$E906=""),"待补",IF($D906="公共区域","公",IF($D906="商铺","S",SUBSTITUTE($D906,"栋","")))&amp;"-"&amp;$E906&amp;"-"&amp;TEXT(MONTH($B906),"00")&amp;TEXT(DAY($B906),"00")&amp;IF(ISNUMBER($O906),IF($O906&gt;1,"-"&amp;TEXT($O906,"00"),""),"")))</f>
        <v/>
      </c>
      <c r="B906" s="14"/>
      <c r="C906" s="10"/>
      <c r="D906" s="10"/>
      <c r="E906" s="10"/>
      <c r="F906" s="16"/>
      <c r="G906" s="10"/>
      <c r="H906" s="10"/>
      <c r="I906" s="10"/>
      <c r="J906" s="10"/>
      <c r="K906" s="10"/>
      <c r="L906" s="10"/>
      <c r="M906" s="14"/>
      <c r="N906" s="17" t="str">
        <f aca="false">IF($B906="","",IF($L906="已完成",IF($M906="","",$M906-$B906),IF(设置!$B$6&lt;$B906,"",IF((设置!$B$6-$B906)&gt;=设置!$B$5,"超期"&amp;(设置!$B$6-$B906)&amp;"天","已等"&amp;(设置!$B$6-$B906)&amp;"天"))))</f>
        <v/>
      </c>
      <c r="O906" s="18" t="str">
        <f aca="false">IF(OR($D906="",$E906=""),"",COUNTIFS($D$7:$D906,$D906,$E$7:$E906,$E906))</f>
        <v/>
      </c>
      <c r="P906" s="16"/>
      <c r="Q906" s="19"/>
      <c r="R906" s="10"/>
      <c r="S906" s="16"/>
      <c r="T906" s="0" t="str">
        <f aca="false">IF(OR($D906="",单元查询!$B$3=""),"",IF($D906&lt;&gt;单元查询!$B$3,"",IF(OR(单元查询!$D$3="",$E906&amp;""=单元查询!$D$3&amp;""),IF(ISNUMBER($B906),$B906*10000,0)+ROW(),"")))</f>
        <v/>
      </c>
      <c r="U906" s="0" t="str">
        <f aca="false">IF(OR($B906="",$L906="已完成"),"",IF(ISNUMBER($B906),IF(设置!$B$6&lt;$B906,"",(设置!$B$6-$B906)*100000+ROW()),""))</f>
        <v/>
      </c>
      <c r="V906" s="0" t="str">
        <f aca="false">IF(ISNUMBER($O906),IF($O906&gt;=2,IF(COUNTIFS($D906:$D$2006,$D906,$E906:$E$2006,$E906)=1,ROW(),""),""),"")</f>
        <v/>
      </c>
    </row>
    <row r="907" customFormat="false" ht="15" hidden="false" customHeight="true" outlineLevel="0" collapsed="false">
      <c r="A907" s="13" t="str">
        <f aca="false">IF(AND($B907="",$D907="",$E907="",$F907=""),"",IF(OR($B907="",$D907="",$E907=""),"待补",IF($D907="公共区域","公",IF($D907="商铺","S",SUBSTITUTE($D907,"栋","")))&amp;"-"&amp;$E907&amp;"-"&amp;TEXT(MONTH($B907),"00")&amp;TEXT(DAY($B907),"00")&amp;IF(ISNUMBER($O907),IF($O907&gt;1,"-"&amp;TEXT($O907,"00"),""),"")))</f>
        <v/>
      </c>
      <c r="B907" s="14"/>
      <c r="C907" s="10"/>
      <c r="D907" s="10"/>
      <c r="E907" s="10"/>
      <c r="F907" s="16"/>
      <c r="G907" s="10"/>
      <c r="H907" s="10"/>
      <c r="I907" s="10"/>
      <c r="J907" s="10"/>
      <c r="K907" s="10"/>
      <c r="L907" s="10"/>
      <c r="M907" s="14"/>
      <c r="N907" s="17" t="str">
        <f aca="false">IF($B907="","",IF($L907="已完成",IF($M907="","",$M907-$B907),IF(设置!$B$6&lt;$B907,"",IF((设置!$B$6-$B907)&gt;=设置!$B$5,"超期"&amp;(设置!$B$6-$B907)&amp;"天","已等"&amp;(设置!$B$6-$B907)&amp;"天"))))</f>
        <v/>
      </c>
      <c r="O907" s="18" t="str">
        <f aca="false">IF(OR($D907="",$E907=""),"",COUNTIFS($D$7:$D907,$D907,$E$7:$E907,$E907))</f>
        <v/>
      </c>
      <c r="P907" s="16"/>
      <c r="Q907" s="19"/>
      <c r="R907" s="10"/>
      <c r="S907" s="16"/>
      <c r="T907" s="0" t="str">
        <f aca="false">IF(OR($D907="",单元查询!$B$3=""),"",IF($D907&lt;&gt;单元查询!$B$3,"",IF(OR(单元查询!$D$3="",$E907&amp;""=单元查询!$D$3&amp;""),IF(ISNUMBER($B907),$B907*10000,0)+ROW(),"")))</f>
        <v/>
      </c>
      <c r="U907" s="0" t="str">
        <f aca="false">IF(OR($B907="",$L907="已完成"),"",IF(ISNUMBER($B907),IF(设置!$B$6&lt;$B907,"",(设置!$B$6-$B907)*100000+ROW()),""))</f>
        <v/>
      </c>
      <c r="V907" s="0" t="str">
        <f aca="false">IF(ISNUMBER($O907),IF($O907&gt;=2,IF(COUNTIFS($D907:$D$2006,$D907,$E907:$E$2006,$E907)=1,ROW(),""),""),"")</f>
        <v/>
      </c>
    </row>
    <row r="908" customFormat="false" ht="15" hidden="false" customHeight="true" outlineLevel="0" collapsed="false">
      <c r="A908" s="13" t="str">
        <f aca="false">IF(AND($B908="",$D908="",$E908="",$F908=""),"",IF(OR($B908="",$D908="",$E908=""),"待补",IF($D908="公共区域","公",IF($D908="商铺","S",SUBSTITUTE($D908,"栋","")))&amp;"-"&amp;$E908&amp;"-"&amp;TEXT(MONTH($B908),"00")&amp;TEXT(DAY($B908),"00")&amp;IF(ISNUMBER($O908),IF($O908&gt;1,"-"&amp;TEXT($O908,"00"),""),"")))</f>
        <v/>
      </c>
      <c r="B908" s="14"/>
      <c r="C908" s="10"/>
      <c r="D908" s="10"/>
      <c r="E908" s="10"/>
      <c r="F908" s="16"/>
      <c r="G908" s="10"/>
      <c r="H908" s="10"/>
      <c r="I908" s="10"/>
      <c r="J908" s="10"/>
      <c r="K908" s="10"/>
      <c r="L908" s="10"/>
      <c r="M908" s="14"/>
      <c r="N908" s="17" t="str">
        <f aca="false">IF($B908="","",IF($L908="已完成",IF($M908="","",$M908-$B908),IF(设置!$B$6&lt;$B908,"",IF((设置!$B$6-$B908)&gt;=设置!$B$5,"超期"&amp;(设置!$B$6-$B908)&amp;"天","已等"&amp;(设置!$B$6-$B908)&amp;"天"))))</f>
        <v/>
      </c>
      <c r="O908" s="18" t="str">
        <f aca="false">IF(OR($D908="",$E908=""),"",COUNTIFS($D$7:$D908,$D908,$E$7:$E908,$E908))</f>
        <v/>
      </c>
      <c r="P908" s="16"/>
      <c r="Q908" s="19"/>
      <c r="R908" s="10"/>
      <c r="S908" s="16"/>
      <c r="T908" s="0" t="str">
        <f aca="false">IF(OR($D908="",单元查询!$B$3=""),"",IF($D908&lt;&gt;单元查询!$B$3,"",IF(OR(单元查询!$D$3="",$E908&amp;""=单元查询!$D$3&amp;""),IF(ISNUMBER($B908),$B908*10000,0)+ROW(),"")))</f>
        <v/>
      </c>
      <c r="U908" s="0" t="str">
        <f aca="false">IF(OR($B908="",$L908="已完成"),"",IF(ISNUMBER($B908),IF(设置!$B$6&lt;$B908,"",(设置!$B$6-$B908)*100000+ROW()),""))</f>
        <v/>
      </c>
      <c r="V908" s="0" t="str">
        <f aca="false">IF(ISNUMBER($O908),IF($O908&gt;=2,IF(COUNTIFS($D908:$D$2006,$D908,$E908:$E$2006,$E908)=1,ROW(),""),""),"")</f>
        <v/>
      </c>
    </row>
    <row r="909" customFormat="false" ht="15" hidden="false" customHeight="true" outlineLevel="0" collapsed="false">
      <c r="A909" s="13" t="str">
        <f aca="false">IF(AND($B909="",$D909="",$E909="",$F909=""),"",IF(OR($B909="",$D909="",$E909=""),"待补",IF($D909="公共区域","公",IF($D909="商铺","S",SUBSTITUTE($D909,"栋","")))&amp;"-"&amp;$E909&amp;"-"&amp;TEXT(MONTH($B909),"00")&amp;TEXT(DAY($B909),"00")&amp;IF(ISNUMBER($O909),IF($O909&gt;1,"-"&amp;TEXT($O909,"00"),""),"")))</f>
        <v/>
      </c>
      <c r="B909" s="14"/>
      <c r="C909" s="10"/>
      <c r="D909" s="10"/>
      <c r="E909" s="10"/>
      <c r="F909" s="16"/>
      <c r="G909" s="10"/>
      <c r="H909" s="10"/>
      <c r="I909" s="10"/>
      <c r="J909" s="10"/>
      <c r="K909" s="10"/>
      <c r="L909" s="10"/>
      <c r="M909" s="14"/>
      <c r="N909" s="17" t="str">
        <f aca="false">IF($B909="","",IF($L909="已完成",IF($M909="","",$M909-$B909),IF(设置!$B$6&lt;$B909,"",IF((设置!$B$6-$B909)&gt;=设置!$B$5,"超期"&amp;(设置!$B$6-$B909)&amp;"天","已等"&amp;(设置!$B$6-$B909)&amp;"天"))))</f>
        <v/>
      </c>
      <c r="O909" s="18" t="str">
        <f aca="false">IF(OR($D909="",$E909=""),"",COUNTIFS($D$7:$D909,$D909,$E$7:$E909,$E909))</f>
        <v/>
      </c>
      <c r="P909" s="16"/>
      <c r="Q909" s="19"/>
      <c r="R909" s="10"/>
      <c r="S909" s="16"/>
      <c r="T909" s="0" t="str">
        <f aca="false">IF(OR($D909="",单元查询!$B$3=""),"",IF($D909&lt;&gt;单元查询!$B$3,"",IF(OR(单元查询!$D$3="",$E909&amp;""=单元查询!$D$3&amp;""),IF(ISNUMBER($B909),$B909*10000,0)+ROW(),"")))</f>
        <v/>
      </c>
      <c r="U909" s="0" t="str">
        <f aca="false">IF(OR($B909="",$L909="已完成"),"",IF(ISNUMBER($B909),IF(设置!$B$6&lt;$B909,"",(设置!$B$6-$B909)*100000+ROW()),""))</f>
        <v/>
      </c>
      <c r="V909" s="0" t="str">
        <f aca="false">IF(ISNUMBER($O909),IF($O909&gt;=2,IF(COUNTIFS($D909:$D$2006,$D909,$E909:$E$2006,$E909)=1,ROW(),""),""),"")</f>
        <v/>
      </c>
    </row>
    <row r="910" customFormat="false" ht="15" hidden="false" customHeight="true" outlineLevel="0" collapsed="false">
      <c r="A910" s="13" t="str">
        <f aca="false">IF(AND($B910="",$D910="",$E910="",$F910=""),"",IF(OR($B910="",$D910="",$E910=""),"待补",IF($D910="公共区域","公",IF($D910="商铺","S",SUBSTITUTE($D910,"栋","")))&amp;"-"&amp;$E910&amp;"-"&amp;TEXT(MONTH($B910),"00")&amp;TEXT(DAY($B910),"00")&amp;IF(ISNUMBER($O910),IF($O910&gt;1,"-"&amp;TEXT($O910,"00"),""),"")))</f>
        <v/>
      </c>
      <c r="B910" s="14"/>
      <c r="C910" s="10"/>
      <c r="D910" s="10"/>
      <c r="E910" s="10"/>
      <c r="F910" s="16"/>
      <c r="G910" s="10"/>
      <c r="H910" s="10"/>
      <c r="I910" s="10"/>
      <c r="J910" s="10"/>
      <c r="K910" s="10"/>
      <c r="L910" s="10"/>
      <c r="M910" s="14"/>
      <c r="N910" s="17" t="str">
        <f aca="false">IF($B910="","",IF($L910="已完成",IF($M910="","",$M910-$B910),IF(设置!$B$6&lt;$B910,"",IF((设置!$B$6-$B910)&gt;=设置!$B$5,"超期"&amp;(设置!$B$6-$B910)&amp;"天","已等"&amp;(设置!$B$6-$B910)&amp;"天"))))</f>
        <v/>
      </c>
      <c r="O910" s="18" t="str">
        <f aca="false">IF(OR($D910="",$E910=""),"",COUNTIFS($D$7:$D910,$D910,$E$7:$E910,$E910))</f>
        <v/>
      </c>
      <c r="P910" s="16"/>
      <c r="Q910" s="19"/>
      <c r="R910" s="10"/>
      <c r="S910" s="16"/>
      <c r="T910" s="0" t="str">
        <f aca="false">IF(OR($D910="",单元查询!$B$3=""),"",IF($D910&lt;&gt;单元查询!$B$3,"",IF(OR(单元查询!$D$3="",$E910&amp;""=单元查询!$D$3&amp;""),IF(ISNUMBER($B910),$B910*10000,0)+ROW(),"")))</f>
        <v/>
      </c>
      <c r="U910" s="0" t="str">
        <f aca="false">IF(OR($B910="",$L910="已完成"),"",IF(ISNUMBER($B910),IF(设置!$B$6&lt;$B910,"",(设置!$B$6-$B910)*100000+ROW()),""))</f>
        <v/>
      </c>
      <c r="V910" s="0" t="str">
        <f aca="false">IF(ISNUMBER($O910),IF($O910&gt;=2,IF(COUNTIFS($D910:$D$2006,$D910,$E910:$E$2006,$E910)=1,ROW(),""),""),"")</f>
        <v/>
      </c>
    </row>
    <row r="911" customFormat="false" ht="15" hidden="false" customHeight="true" outlineLevel="0" collapsed="false">
      <c r="A911" s="13" t="str">
        <f aca="false">IF(AND($B911="",$D911="",$E911="",$F911=""),"",IF(OR($B911="",$D911="",$E911=""),"待补",IF($D911="公共区域","公",IF($D911="商铺","S",SUBSTITUTE($D911,"栋","")))&amp;"-"&amp;$E911&amp;"-"&amp;TEXT(MONTH($B911),"00")&amp;TEXT(DAY($B911),"00")&amp;IF(ISNUMBER($O911),IF($O911&gt;1,"-"&amp;TEXT($O911,"00"),""),"")))</f>
        <v/>
      </c>
      <c r="B911" s="14"/>
      <c r="C911" s="10"/>
      <c r="D911" s="10"/>
      <c r="E911" s="10"/>
      <c r="F911" s="16"/>
      <c r="G911" s="10"/>
      <c r="H911" s="10"/>
      <c r="I911" s="10"/>
      <c r="J911" s="10"/>
      <c r="K911" s="10"/>
      <c r="L911" s="10"/>
      <c r="M911" s="14"/>
      <c r="N911" s="17" t="str">
        <f aca="false">IF($B911="","",IF($L911="已完成",IF($M911="","",$M911-$B911),IF(设置!$B$6&lt;$B911,"",IF((设置!$B$6-$B911)&gt;=设置!$B$5,"超期"&amp;(设置!$B$6-$B911)&amp;"天","已等"&amp;(设置!$B$6-$B911)&amp;"天"))))</f>
        <v/>
      </c>
      <c r="O911" s="18" t="str">
        <f aca="false">IF(OR($D911="",$E911=""),"",COUNTIFS($D$7:$D911,$D911,$E$7:$E911,$E911))</f>
        <v/>
      </c>
      <c r="P911" s="16"/>
      <c r="Q911" s="19"/>
      <c r="R911" s="10"/>
      <c r="S911" s="16"/>
      <c r="T911" s="0" t="str">
        <f aca="false">IF(OR($D911="",单元查询!$B$3=""),"",IF($D911&lt;&gt;单元查询!$B$3,"",IF(OR(单元查询!$D$3="",$E911&amp;""=单元查询!$D$3&amp;""),IF(ISNUMBER($B911),$B911*10000,0)+ROW(),"")))</f>
        <v/>
      </c>
      <c r="U911" s="0" t="str">
        <f aca="false">IF(OR($B911="",$L911="已完成"),"",IF(ISNUMBER($B911),IF(设置!$B$6&lt;$B911,"",(设置!$B$6-$B911)*100000+ROW()),""))</f>
        <v/>
      </c>
      <c r="V911" s="0" t="str">
        <f aca="false">IF(ISNUMBER($O911),IF($O911&gt;=2,IF(COUNTIFS($D911:$D$2006,$D911,$E911:$E$2006,$E911)=1,ROW(),""),""),"")</f>
        <v/>
      </c>
    </row>
    <row r="912" customFormat="false" ht="15" hidden="false" customHeight="true" outlineLevel="0" collapsed="false">
      <c r="A912" s="13" t="str">
        <f aca="false">IF(AND($B912="",$D912="",$E912="",$F912=""),"",IF(OR($B912="",$D912="",$E912=""),"待补",IF($D912="公共区域","公",IF($D912="商铺","S",SUBSTITUTE($D912,"栋","")))&amp;"-"&amp;$E912&amp;"-"&amp;TEXT(MONTH($B912),"00")&amp;TEXT(DAY($B912),"00")&amp;IF(ISNUMBER($O912),IF($O912&gt;1,"-"&amp;TEXT($O912,"00"),""),"")))</f>
        <v/>
      </c>
      <c r="B912" s="14"/>
      <c r="C912" s="10"/>
      <c r="D912" s="10"/>
      <c r="E912" s="10"/>
      <c r="F912" s="16"/>
      <c r="G912" s="10"/>
      <c r="H912" s="10"/>
      <c r="I912" s="10"/>
      <c r="J912" s="10"/>
      <c r="K912" s="10"/>
      <c r="L912" s="10"/>
      <c r="M912" s="14"/>
      <c r="N912" s="17" t="str">
        <f aca="false">IF($B912="","",IF($L912="已完成",IF($M912="","",$M912-$B912),IF(设置!$B$6&lt;$B912,"",IF((设置!$B$6-$B912)&gt;=设置!$B$5,"超期"&amp;(设置!$B$6-$B912)&amp;"天","已等"&amp;(设置!$B$6-$B912)&amp;"天"))))</f>
        <v/>
      </c>
      <c r="O912" s="18" t="str">
        <f aca="false">IF(OR($D912="",$E912=""),"",COUNTIFS($D$7:$D912,$D912,$E$7:$E912,$E912))</f>
        <v/>
      </c>
      <c r="P912" s="16"/>
      <c r="Q912" s="19"/>
      <c r="R912" s="10"/>
      <c r="S912" s="16"/>
      <c r="T912" s="0" t="str">
        <f aca="false">IF(OR($D912="",单元查询!$B$3=""),"",IF($D912&lt;&gt;单元查询!$B$3,"",IF(OR(单元查询!$D$3="",$E912&amp;""=单元查询!$D$3&amp;""),IF(ISNUMBER($B912),$B912*10000,0)+ROW(),"")))</f>
        <v/>
      </c>
      <c r="U912" s="0" t="str">
        <f aca="false">IF(OR($B912="",$L912="已完成"),"",IF(ISNUMBER($B912),IF(设置!$B$6&lt;$B912,"",(设置!$B$6-$B912)*100000+ROW()),""))</f>
        <v/>
      </c>
      <c r="V912" s="0" t="str">
        <f aca="false">IF(ISNUMBER($O912),IF($O912&gt;=2,IF(COUNTIFS($D912:$D$2006,$D912,$E912:$E$2006,$E912)=1,ROW(),""),""),"")</f>
        <v/>
      </c>
    </row>
    <row r="913" customFormat="false" ht="15" hidden="false" customHeight="true" outlineLevel="0" collapsed="false">
      <c r="A913" s="13" t="str">
        <f aca="false">IF(AND($B913="",$D913="",$E913="",$F913=""),"",IF(OR($B913="",$D913="",$E913=""),"待补",IF($D913="公共区域","公",IF($D913="商铺","S",SUBSTITUTE($D913,"栋","")))&amp;"-"&amp;$E913&amp;"-"&amp;TEXT(MONTH($B913),"00")&amp;TEXT(DAY($B913),"00")&amp;IF(ISNUMBER($O913),IF($O913&gt;1,"-"&amp;TEXT($O913,"00"),""),"")))</f>
        <v/>
      </c>
      <c r="B913" s="14"/>
      <c r="C913" s="10"/>
      <c r="D913" s="10"/>
      <c r="E913" s="10"/>
      <c r="F913" s="16"/>
      <c r="G913" s="10"/>
      <c r="H913" s="10"/>
      <c r="I913" s="10"/>
      <c r="J913" s="10"/>
      <c r="K913" s="10"/>
      <c r="L913" s="10"/>
      <c r="M913" s="14"/>
      <c r="N913" s="17" t="str">
        <f aca="false">IF($B913="","",IF($L913="已完成",IF($M913="","",$M913-$B913),IF(设置!$B$6&lt;$B913,"",IF((设置!$B$6-$B913)&gt;=设置!$B$5,"超期"&amp;(设置!$B$6-$B913)&amp;"天","已等"&amp;(设置!$B$6-$B913)&amp;"天"))))</f>
        <v/>
      </c>
      <c r="O913" s="18" t="str">
        <f aca="false">IF(OR($D913="",$E913=""),"",COUNTIFS($D$7:$D913,$D913,$E$7:$E913,$E913))</f>
        <v/>
      </c>
      <c r="P913" s="16"/>
      <c r="Q913" s="19"/>
      <c r="R913" s="10"/>
      <c r="S913" s="16"/>
      <c r="T913" s="0" t="str">
        <f aca="false">IF(OR($D913="",单元查询!$B$3=""),"",IF($D913&lt;&gt;单元查询!$B$3,"",IF(OR(单元查询!$D$3="",$E913&amp;""=单元查询!$D$3&amp;""),IF(ISNUMBER($B913),$B913*10000,0)+ROW(),"")))</f>
        <v/>
      </c>
      <c r="U913" s="0" t="str">
        <f aca="false">IF(OR($B913="",$L913="已完成"),"",IF(ISNUMBER($B913),IF(设置!$B$6&lt;$B913,"",(设置!$B$6-$B913)*100000+ROW()),""))</f>
        <v/>
      </c>
      <c r="V913" s="0" t="str">
        <f aca="false">IF(ISNUMBER($O913),IF($O913&gt;=2,IF(COUNTIFS($D913:$D$2006,$D913,$E913:$E$2006,$E913)=1,ROW(),""),""),"")</f>
        <v/>
      </c>
    </row>
    <row r="914" customFormat="false" ht="15" hidden="false" customHeight="true" outlineLevel="0" collapsed="false">
      <c r="A914" s="13" t="str">
        <f aca="false">IF(AND($B914="",$D914="",$E914="",$F914=""),"",IF(OR($B914="",$D914="",$E914=""),"待补",IF($D914="公共区域","公",IF($D914="商铺","S",SUBSTITUTE($D914,"栋","")))&amp;"-"&amp;$E914&amp;"-"&amp;TEXT(MONTH($B914),"00")&amp;TEXT(DAY($B914),"00")&amp;IF(ISNUMBER($O914),IF($O914&gt;1,"-"&amp;TEXT($O914,"00"),""),"")))</f>
        <v/>
      </c>
      <c r="B914" s="14"/>
      <c r="C914" s="10"/>
      <c r="D914" s="10"/>
      <c r="E914" s="10"/>
      <c r="F914" s="16"/>
      <c r="G914" s="10"/>
      <c r="H914" s="10"/>
      <c r="I914" s="10"/>
      <c r="J914" s="10"/>
      <c r="K914" s="10"/>
      <c r="L914" s="10"/>
      <c r="M914" s="14"/>
      <c r="N914" s="17" t="str">
        <f aca="false">IF($B914="","",IF($L914="已完成",IF($M914="","",$M914-$B914),IF(设置!$B$6&lt;$B914,"",IF((设置!$B$6-$B914)&gt;=设置!$B$5,"超期"&amp;(设置!$B$6-$B914)&amp;"天","已等"&amp;(设置!$B$6-$B914)&amp;"天"))))</f>
        <v/>
      </c>
      <c r="O914" s="18" t="str">
        <f aca="false">IF(OR($D914="",$E914=""),"",COUNTIFS($D$7:$D914,$D914,$E$7:$E914,$E914))</f>
        <v/>
      </c>
      <c r="P914" s="16"/>
      <c r="Q914" s="19"/>
      <c r="R914" s="10"/>
      <c r="S914" s="16"/>
      <c r="T914" s="0" t="str">
        <f aca="false">IF(OR($D914="",单元查询!$B$3=""),"",IF($D914&lt;&gt;单元查询!$B$3,"",IF(OR(单元查询!$D$3="",$E914&amp;""=单元查询!$D$3&amp;""),IF(ISNUMBER($B914),$B914*10000,0)+ROW(),"")))</f>
        <v/>
      </c>
      <c r="U914" s="0" t="str">
        <f aca="false">IF(OR($B914="",$L914="已完成"),"",IF(ISNUMBER($B914),IF(设置!$B$6&lt;$B914,"",(设置!$B$6-$B914)*100000+ROW()),""))</f>
        <v/>
      </c>
      <c r="V914" s="0" t="str">
        <f aca="false">IF(ISNUMBER($O914),IF($O914&gt;=2,IF(COUNTIFS($D914:$D$2006,$D914,$E914:$E$2006,$E914)=1,ROW(),""),""),"")</f>
        <v/>
      </c>
    </row>
    <row r="915" customFormat="false" ht="15" hidden="false" customHeight="true" outlineLevel="0" collapsed="false">
      <c r="A915" s="13" t="str">
        <f aca="false">IF(AND($B915="",$D915="",$E915="",$F915=""),"",IF(OR($B915="",$D915="",$E915=""),"待补",IF($D915="公共区域","公",IF($D915="商铺","S",SUBSTITUTE($D915,"栋","")))&amp;"-"&amp;$E915&amp;"-"&amp;TEXT(MONTH($B915),"00")&amp;TEXT(DAY($B915),"00")&amp;IF(ISNUMBER($O915),IF($O915&gt;1,"-"&amp;TEXT($O915,"00"),""),"")))</f>
        <v/>
      </c>
      <c r="B915" s="14"/>
      <c r="C915" s="10"/>
      <c r="D915" s="10"/>
      <c r="E915" s="10"/>
      <c r="F915" s="16"/>
      <c r="G915" s="10"/>
      <c r="H915" s="10"/>
      <c r="I915" s="10"/>
      <c r="J915" s="10"/>
      <c r="K915" s="10"/>
      <c r="L915" s="10"/>
      <c r="M915" s="14"/>
      <c r="N915" s="17" t="str">
        <f aca="false">IF($B915="","",IF($L915="已完成",IF($M915="","",$M915-$B915),IF(设置!$B$6&lt;$B915,"",IF((设置!$B$6-$B915)&gt;=设置!$B$5,"超期"&amp;(设置!$B$6-$B915)&amp;"天","已等"&amp;(设置!$B$6-$B915)&amp;"天"))))</f>
        <v/>
      </c>
      <c r="O915" s="18" t="str">
        <f aca="false">IF(OR($D915="",$E915=""),"",COUNTIFS($D$7:$D915,$D915,$E$7:$E915,$E915))</f>
        <v/>
      </c>
      <c r="P915" s="16"/>
      <c r="Q915" s="19"/>
      <c r="R915" s="10"/>
      <c r="S915" s="16"/>
      <c r="T915" s="0" t="str">
        <f aca="false">IF(OR($D915="",单元查询!$B$3=""),"",IF($D915&lt;&gt;单元查询!$B$3,"",IF(OR(单元查询!$D$3="",$E915&amp;""=单元查询!$D$3&amp;""),IF(ISNUMBER($B915),$B915*10000,0)+ROW(),"")))</f>
        <v/>
      </c>
      <c r="U915" s="0" t="str">
        <f aca="false">IF(OR($B915="",$L915="已完成"),"",IF(ISNUMBER($B915),IF(设置!$B$6&lt;$B915,"",(设置!$B$6-$B915)*100000+ROW()),""))</f>
        <v/>
      </c>
      <c r="V915" s="0" t="str">
        <f aca="false">IF(ISNUMBER($O915),IF($O915&gt;=2,IF(COUNTIFS($D915:$D$2006,$D915,$E915:$E$2006,$E915)=1,ROW(),""),""),"")</f>
        <v/>
      </c>
    </row>
    <row r="916" customFormat="false" ht="15" hidden="false" customHeight="true" outlineLevel="0" collapsed="false">
      <c r="A916" s="13" t="str">
        <f aca="false">IF(AND($B916="",$D916="",$E916="",$F916=""),"",IF(OR($B916="",$D916="",$E916=""),"待补",IF($D916="公共区域","公",IF($D916="商铺","S",SUBSTITUTE($D916,"栋","")))&amp;"-"&amp;$E916&amp;"-"&amp;TEXT(MONTH($B916),"00")&amp;TEXT(DAY($B916),"00")&amp;IF(ISNUMBER($O916),IF($O916&gt;1,"-"&amp;TEXT($O916,"00"),""),"")))</f>
        <v/>
      </c>
      <c r="B916" s="14"/>
      <c r="C916" s="10"/>
      <c r="D916" s="10"/>
      <c r="E916" s="10"/>
      <c r="F916" s="16"/>
      <c r="G916" s="10"/>
      <c r="H916" s="10"/>
      <c r="I916" s="10"/>
      <c r="J916" s="10"/>
      <c r="K916" s="10"/>
      <c r="L916" s="10"/>
      <c r="M916" s="14"/>
      <c r="N916" s="17" t="str">
        <f aca="false">IF($B916="","",IF($L916="已完成",IF($M916="","",$M916-$B916),IF(设置!$B$6&lt;$B916,"",IF((设置!$B$6-$B916)&gt;=设置!$B$5,"超期"&amp;(设置!$B$6-$B916)&amp;"天","已等"&amp;(设置!$B$6-$B916)&amp;"天"))))</f>
        <v/>
      </c>
      <c r="O916" s="18" t="str">
        <f aca="false">IF(OR($D916="",$E916=""),"",COUNTIFS($D$7:$D916,$D916,$E$7:$E916,$E916))</f>
        <v/>
      </c>
      <c r="P916" s="16"/>
      <c r="Q916" s="19"/>
      <c r="R916" s="10"/>
      <c r="S916" s="16"/>
      <c r="T916" s="0" t="str">
        <f aca="false">IF(OR($D916="",单元查询!$B$3=""),"",IF($D916&lt;&gt;单元查询!$B$3,"",IF(OR(单元查询!$D$3="",$E916&amp;""=单元查询!$D$3&amp;""),IF(ISNUMBER($B916),$B916*10000,0)+ROW(),"")))</f>
        <v/>
      </c>
      <c r="U916" s="0" t="str">
        <f aca="false">IF(OR($B916="",$L916="已完成"),"",IF(ISNUMBER($B916),IF(设置!$B$6&lt;$B916,"",(设置!$B$6-$B916)*100000+ROW()),""))</f>
        <v/>
      </c>
      <c r="V916" s="0" t="str">
        <f aca="false">IF(ISNUMBER($O916),IF($O916&gt;=2,IF(COUNTIFS($D916:$D$2006,$D916,$E916:$E$2006,$E916)=1,ROW(),""),""),"")</f>
        <v/>
      </c>
    </row>
    <row r="917" customFormat="false" ht="15" hidden="false" customHeight="true" outlineLevel="0" collapsed="false">
      <c r="A917" s="13" t="str">
        <f aca="false">IF(AND($B917="",$D917="",$E917="",$F917=""),"",IF(OR($B917="",$D917="",$E917=""),"待补",IF($D917="公共区域","公",IF($D917="商铺","S",SUBSTITUTE($D917,"栋","")))&amp;"-"&amp;$E917&amp;"-"&amp;TEXT(MONTH($B917),"00")&amp;TEXT(DAY($B917),"00")&amp;IF(ISNUMBER($O917),IF($O917&gt;1,"-"&amp;TEXT($O917,"00"),""),"")))</f>
        <v/>
      </c>
      <c r="B917" s="14"/>
      <c r="C917" s="10"/>
      <c r="D917" s="10"/>
      <c r="E917" s="10"/>
      <c r="F917" s="16"/>
      <c r="G917" s="10"/>
      <c r="H917" s="10"/>
      <c r="I917" s="10"/>
      <c r="J917" s="10"/>
      <c r="K917" s="10"/>
      <c r="L917" s="10"/>
      <c r="M917" s="14"/>
      <c r="N917" s="17" t="str">
        <f aca="false">IF($B917="","",IF($L917="已完成",IF($M917="","",$M917-$B917),IF(设置!$B$6&lt;$B917,"",IF((设置!$B$6-$B917)&gt;=设置!$B$5,"超期"&amp;(设置!$B$6-$B917)&amp;"天","已等"&amp;(设置!$B$6-$B917)&amp;"天"))))</f>
        <v/>
      </c>
      <c r="O917" s="18" t="str">
        <f aca="false">IF(OR($D917="",$E917=""),"",COUNTIFS($D$7:$D917,$D917,$E$7:$E917,$E917))</f>
        <v/>
      </c>
      <c r="P917" s="16"/>
      <c r="Q917" s="19"/>
      <c r="R917" s="10"/>
      <c r="S917" s="16"/>
      <c r="T917" s="0" t="str">
        <f aca="false">IF(OR($D917="",单元查询!$B$3=""),"",IF($D917&lt;&gt;单元查询!$B$3,"",IF(OR(单元查询!$D$3="",$E917&amp;""=单元查询!$D$3&amp;""),IF(ISNUMBER($B917),$B917*10000,0)+ROW(),"")))</f>
        <v/>
      </c>
      <c r="U917" s="0" t="str">
        <f aca="false">IF(OR($B917="",$L917="已完成"),"",IF(ISNUMBER($B917),IF(设置!$B$6&lt;$B917,"",(设置!$B$6-$B917)*100000+ROW()),""))</f>
        <v/>
      </c>
      <c r="V917" s="0" t="str">
        <f aca="false">IF(ISNUMBER($O917),IF($O917&gt;=2,IF(COUNTIFS($D917:$D$2006,$D917,$E917:$E$2006,$E917)=1,ROW(),""),""),"")</f>
        <v/>
      </c>
    </row>
    <row r="918" customFormat="false" ht="15" hidden="false" customHeight="true" outlineLevel="0" collapsed="false">
      <c r="A918" s="13" t="str">
        <f aca="false">IF(AND($B918="",$D918="",$E918="",$F918=""),"",IF(OR($B918="",$D918="",$E918=""),"待补",IF($D918="公共区域","公",IF($D918="商铺","S",SUBSTITUTE($D918,"栋","")))&amp;"-"&amp;$E918&amp;"-"&amp;TEXT(MONTH($B918),"00")&amp;TEXT(DAY($B918),"00")&amp;IF(ISNUMBER($O918),IF($O918&gt;1,"-"&amp;TEXT($O918,"00"),""),"")))</f>
        <v/>
      </c>
      <c r="B918" s="14"/>
      <c r="C918" s="10"/>
      <c r="D918" s="10"/>
      <c r="E918" s="10"/>
      <c r="F918" s="16"/>
      <c r="G918" s="10"/>
      <c r="H918" s="10"/>
      <c r="I918" s="10"/>
      <c r="J918" s="10"/>
      <c r="K918" s="10"/>
      <c r="L918" s="10"/>
      <c r="M918" s="14"/>
      <c r="N918" s="17" t="str">
        <f aca="false">IF($B918="","",IF($L918="已完成",IF($M918="","",$M918-$B918),IF(设置!$B$6&lt;$B918,"",IF((设置!$B$6-$B918)&gt;=设置!$B$5,"超期"&amp;(设置!$B$6-$B918)&amp;"天","已等"&amp;(设置!$B$6-$B918)&amp;"天"))))</f>
        <v/>
      </c>
      <c r="O918" s="18" t="str">
        <f aca="false">IF(OR($D918="",$E918=""),"",COUNTIFS($D$7:$D918,$D918,$E$7:$E918,$E918))</f>
        <v/>
      </c>
      <c r="P918" s="16"/>
      <c r="Q918" s="19"/>
      <c r="R918" s="10"/>
      <c r="S918" s="16"/>
      <c r="T918" s="0" t="str">
        <f aca="false">IF(OR($D918="",单元查询!$B$3=""),"",IF($D918&lt;&gt;单元查询!$B$3,"",IF(OR(单元查询!$D$3="",$E918&amp;""=单元查询!$D$3&amp;""),IF(ISNUMBER($B918),$B918*10000,0)+ROW(),"")))</f>
        <v/>
      </c>
      <c r="U918" s="0" t="str">
        <f aca="false">IF(OR($B918="",$L918="已完成"),"",IF(ISNUMBER($B918),IF(设置!$B$6&lt;$B918,"",(设置!$B$6-$B918)*100000+ROW()),""))</f>
        <v/>
      </c>
      <c r="V918" s="0" t="str">
        <f aca="false">IF(ISNUMBER($O918),IF($O918&gt;=2,IF(COUNTIFS($D918:$D$2006,$D918,$E918:$E$2006,$E918)=1,ROW(),""),""),"")</f>
        <v/>
      </c>
    </row>
    <row r="919" customFormat="false" ht="15" hidden="false" customHeight="true" outlineLevel="0" collapsed="false">
      <c r="A919" s="13" t="str">
        <f aca="false">IF(AND($B919="",$D919="",$E919="",$F919=""),"",IF(OR($B919="",$D919="",$E919=""),"待补",IF($D919="公共区域","公",IF($D919="商铺","S",SUBSTITUTE($D919,"栋","")))&amp;"-"&amp;$E919&amp;"-"&amp;TEXT(MONTH($B919),"00")&amp;TEXT(DAY($B919),"00")&amp;IF(ISNUMBER($O919),IF($O919&gt;1,"-"&amp;TEXT($O919,"00"),""),"")))</f>
        <v/>
      </c>
      <c r="B919" s="14"/>
      <c r="C919" s="10"/>
      <c r="D919" s="10"/>
      <c r="E919" s="10"/>
      <c r="F919" s="16"/>
      <c r="G919" s="10"/>
      <c r="H919" s="10"/>
      <c r="I919" s="10"/>
      <c r="J919" s="10"/>
      <c r="K919" s="10"/>
      <c r="L919" s="10"/>
      <c r="M919" s="14"/>
      <c r="N919" s="17" t="str">
        <f aca="false">IF($B919="","",IF($L919="已完成",IF($M919="","",$M919-$B919),IF(设置!$B$6&lt;$B919,"",IF((设置!$B$6-$B919)&gt;=设置!$B$5,"超期"&amp;(设置!$B$6-$B919)&amp;"天","已等"&amp;(设置!$B$6-$B919)&amp;"天"))))</f>
        <v/>
      </c>
      <c r="O919" s="18" t="str">
        <f aca="false">IF(OR($D919="",$E919=""),"",COUNTIFS($D$7:$D919,$D919,$E$7:$E919,$E919))</f>
        <v/>
      </c>
      <c r="P919" s="16"/>
      <c r="Q919" s="19"/>
      <c r="R919" s="10"/>
      <c r="S919" s="16"/>
      <c r="T919" s="0" t="str">
        <f aca="false">IF(OR($D919="",单元查询!$B$3=""),"",IF($D919&lt;&gt;单元查询!$B$3,"",IF(OR(单元查询!$D$3="",$E919&amp;""=单元查询!$D$3&amp;""),IF(ISNUMBER($B919),$B919*10000,0)+ROW(),"")))</f>
        <v/>
      </c>
      <c r="U919" s="0" t="str">
        <f aca="false">IF(OR($B919="",$L919="已完成"),"",IF(ISNUMBER($B919),IF(设置!$B$6&lt;$B919,"",(设置!$B$6-$B919)*100000+ROW()),""))</f>
        <v/>
      </c>
      <c r="V919" s="0" t="str">
        <f aca="false">IF(ISNUMBER($O919),IF($O919&gt;=2,IF(COUNTIFS($D919:$D$2006,$D919,$E919:$E$2006,$E919)=1,ROW(),""),""),"")</f>
        <v/>
      </c>
    </row>
    <row r="920" customFormat="false" ht="15" hidden="false" customHeight="true" outlineLevel="0" collapsed="false">
      <c r="A920" s="13" t="str">
        <f aca="false">IF(AND($B920="",$D920="",$E920="",$F920=""),"",IF(OR($B920="",$D920="",$E920=""),"待补",IF($D920="公共区域","公",IF($D920="商铺","S",SUBSTITUTE($D920,"栋","")))&amp;"-"&amp;$E920&amp;"-"&amp;TEXT(MONTH($B920),"00")&amp;TEXT(DAY($B920),"00")&amp;IF(ISNUMBER($O920),IF($O920&gt;1,"-"&amp;TEXT($O920,"00"),""),"")))</f>
        <v/>
      </c>
      <c r="B920" s="14"/>
      <c r="C920" s="10"/>
      <c r="D920" s="10"/>
      <c r="E920" s="10"/>
      <c r="F920" s="16"/>
      <c r="G920" s="10"/>
      <c r="H920" s="10"/>
      <c r="I920" s="10"/>
      <c r="J920" s="10"/>
      <c r="K920" s="10"/>
      <c r="L920" s="10"/>
      <c r="M920" s="14"/>
      <c r="N920" s="17" t="str">
        <f aca="false">IF($B920="","",IF($L920="已完成",IF($M920="","",$M920-$B920),IF(设置!$B$6&lt;$B920,"",IF((设置!$B$6-$B920)&gt;=设置!$B$5,"超期"&amp;(设置!$B$6-$B920)&amp;"天","已等"&amp;(设置!$B$6-$B920)&amp;"天"))))</f>
        <v/>
      </c>
      <c r="O920" s="18" t="str">
        <f aca="false">IF(OR($D920="",$E920=""),"",COUNTIFS($D$7:$D920,$D920,$E$7:$E920,$E920))</f>
        <v/>
      </c>
      <c r="P920" s="16"/>
      <c r="Q920" s="19"/>
      <c r="R920" s="10"/>
      <c r="S920" s="16"/>
      <c r="T920" s="0" t="str">
        <f aca="false">IF(OR($D920="",单元查询!$B$3=""),"",IF($D920&lt;&gt;单元查询!$B$3,"",IF(OR(单元查询!$D$3="",$E920&amp;""=单元查询!$D$3&amp;""),IF(ISNUMBER($B920),$B920*10000,0)+ROW(),"")))</f>
        <v/>
      </c>
      <c r="U920" s="0" t="str">
        <f aca="false">IF(OR($B920="",$L920="已完成"),"",IF(ISNUMBER($B920),IF(设置!$B$6&lt;$B920,"",(设置!$B$6-$B920)*100000+ROW()),""))</f>
        <v/>
      </c>
      <c r="V920" s="0" t="str">
        <f aca="false">IF(ISNUMBER($O920),IF($O920&gt;=2,IF(COUNTIFS($D920:$D$2006,$D920,$E920:$E$2006,$E920)=1,ROW(),""),""),"")</f>
        <v/>
      </c>
    </row>
    <row r="921" customFormat="false" ht="15" hidden="false" customHeight="true" outlineLevel="0" collapsed="false">
      <c r="A921" s="13" t="str">
        <f aca="false">IF(AND($B921="",$D921="",$E921="",$F921=""),"",IF(OR($B921="",$D921="",$E921=""),"待补",IF($D921="公共区域","公",IF($D921="商铺","S",SUBSTITUTE($D921,"栋","")))&amp;"-"&amp;$E921&amp;"-"&amp;TEXT(MONTH($B921),"00")&amp;TEXT(DAY($B921),"00")&amp;IF(ISNUMBER($O921),IF($O921&gt;1,"-"&amp;TEXT($O921,"00"),""),"")))</f>
        <v/>
      </c>
      <c r="B921" s="14"/>
      <c r="C921" s="10"/>
      <c r="D921" s="10"/>
      <c r="E921" s="10"/>
      <c r="F921" s="16"/>
      <c r="G921" s="10"/>
      <c r="H921" s="10"/>
      <c r="I921" s="10"/>
      <c r="J921" s="10"/>
      <c r="K921" s="10"/>
      <c r="L921" s="10"/>
      <c r="M921" s="14"/>
      <c r="N921" s="17" t="str">
        <f aca="false">IF($B921="","",IF($L921="已完成",IF($M921="","",$M921-$B921),IF(设置!$B$6&lt;$B921,"",IF((设置!$B$6-$B921)&gt;=设置!$B$5,"超期"&amp;(设置!$B$6-$B921)&amp;"天","已等"&amp;(设置!$B$6-$B921)&amp;"天"))))</f>
        <v/>
      </c>
      <c r="O921" s="18" t="str">
        <f aca="false">IF(OR($D921="",$E921=""),"",COUNTIFS($D$7:$D921,$D921,$E$7:$E921,$E921))</f>
        <v/>
      </c>
      <c r="P921" s="16"/>
      <c r="Q921" s="19"/>
      <c r="R921" s="10"/>
      <c r="S921" s="16"/>
      <c r="T921" s="0" t="str">
        <f aca="false">IF(OR($D921="",单元查询!$B$3=""),"",IF($D921&lt;&gt;单元查询!$B$3,"",IF(OR(单元查询!$D$3="",$E921&amp;""=单元查询!$D$3&amp;""),IF(ISNUMBER($B921),$B921*10000,0)+ROW(),"")))</f>
        <v/>
      </c>
      <c r="U921" s="0" t="str">
        <f aca="false">IF(OR($B921="",$L921="已完成"),"",IF(ISNUMBER($B921),IF(设置!$B$6&lt;$B921,"",(设置!$B$6-$B921)*100000+ROW()),""))</f>
        <v/>
      </c>
      <c r="V921" s="0" t="str">
        <f aca="false">IF(ISNUMBER($O921),IF($O921&gt;=2,IF(COUNTIFS($D921:$D$2006,$D921,$E921:$E$2006,$E921)=1,ROW(),""),""),"")</f>
        <v/>
      </c>
    </row>
    <row r="922" customFormat="false" ht="15" hidden="false" customHeight="true" outlineLevel="0" collapsed="false">
      <c r="A922" s="13" t="str">
        <f aca="false">IF(AND($B922="",$D922="",$E922="",$F922=""),"",IF(OR($B922="",$D922="",$E922=""),"待补",IF($D922="公共区域","公",IF($D922="商铺","S",SUBSTITUTE($D922,"栋","")))&amp;"-"&amp;$E922&amp;"-"&amp;TEXT(MONTH($B922),"00")&amp;TEXT(DAY($B922),"00")&amp;IF(ISNUMBER($O922),IF($O922&gt;1,"-"&amp;TEXT($O922,"00"),""),"")))</f>
        <v/>
      </c>
      <c r="B922" s="14"/>
      <c r="C922" s="10"/>
      <c r="D922" s="10"/>
      <c r="E922" s="10"/>
      <c r="F922" s="16"/>
      <c r="G922" s="10"/>
      <c r="H922" s="10"/>
      <c r="I922" s="10"/>
      <c r="J922" s="10"/>
      <c r="K922" s="10"/>
      <c r="L922" s="10"/>
      <c r="M922" s="14"/>
      <c r="N922" s="17" t="str">
        <f aca="false">IF($B922="","",IF($L922="已完成",IF($M922="","",$M922-$B922),IF(设置!$B$6&lt;$B922,"",IF((设置!$B$6-$B922)&gt;=设置!$B$5,"超期"&amp;(设置!$B$6-$B922)&amp;"天","已等"&amp;(设置!$B$6-$B922)&amp;"天"))))</f>
        <v/>
      </c>
      <c r="O922" s="18" t="str">
        <f aca="false">IF(OR($D922="",$E922=""),"",COUNTIFS($D$7:$D922,$D922,$E$7:$E922,$E922))</f>
        <v/>
      </c>
      <c r="P922" s="16"/>
      <c r="Q922" s="19"/>
      <c r="R922" s="10"/>
      <c r="S922" s="16"/>
      <c r="T922" s="0" t="str">
        <f aca="false">IF(OR($D922="",单元查询!$B$3=""),"",IF($D922&lt;&gt;单元查询!$B$3,"",IF(OR(单元查询!$D$3="",$E922&amp;""=单元查询!$D$3&amp;""),IF(ISNUMBER($B922),$B922*10000,0)+ROW(),"")))</f>
        <v/>
      </c>
      <c r="U922" s="0" t="str">
        <f aca="false">IF(OR($B922="",$L922="已完成"),"",IF(ISNUMBER($B922),IF(设置!$B$6&lt;$B922,"",(设置!$B$6-$B922)*100000+ROW()),""))</f>
        <v/>
      </c>
      <c r="V922" s="0" t="str">
        <f aca="false">IF(ISNUMBER($O922),IF($O922&gt;=2,IF(COUNTIFS($D922:$D$2006,$D922,$E922:$E$2006,$E922)=1,ROW(),""),""),"")</f>
        <v/>
      </c>
    </row>
    <row r="923" customFormat="false" ht="15" hidden="false" customHeight="true" outlineLevel="0" collapsed="false">
      <c r="A923" s="13" t="str">
        <f aca="false">IF(AND($B923="",$D923="",$E923="",$F923=""),"",IF(OR($B923="",$D923="",$E923=""),"待补",IF($D923="公共区域","公",IF($D923="商铺","S",SUBSTITUTE($D923,"栋","")))&amp;"-"&amp;$E923&amp;"-"&amp;TEXT(MONTH($B923),"00")&amp;TEXT(DAY($B923),"00")&amp;IF(ISNUMBER($O923),IF($O923&gt;1,"-"&amp;TEXT($O923,"00"),""),"")))</f>
        <v/>
      </c>
      <c r="B923" s="14"/>
      <c r="C923" s="10"/>
      <c r="D923" s="10"/>
      <c r="E923" s="10"/>
      <c r="F923" s="16"/>
      <c r="G923" s="10"/>
      <c r="H923" s="10"/>
      <c r="I923" s="10"/>
      <c r="J923" s="10"/>
      <c r="K923" s="10"/>
      <c r="L923" s="10"/>
      <c r="M923" s="14"/>
      <c r="N923" s="17" t="str">
        <f aca="false">IF($B923="","",IF($L923="已完成",IF($M923="","",$M923-$B923),IF(设置!$B$6&lt;$B923,"",IF((设置!$B$6-$B923)&gt;=设置!$B$5,"超期"&amp;(设置!$B$6-$B923)&amp;"天","已等"&amp;(设置!$B$6-$B923)&amp;"天"))))</f>
        <v/>
      </c>
      <c r="O923" s="18" t="str">
        <f aca="false">IF(OR($D923="",$E923=""),"",COUNTIFS($D$7:$D923,$D923,$E$7:$E923,$E923))</f>
        <v/>
      </c>
      <c r="P923" s="16"/>
      <c r="Q923" s="19"/>
      <c r="R923" s="10"/>
      <c r="S923" s="16"/>
      <c r="T923" s="0" t="str">
        <f aca="false">IF(OR($D923="",单元查询!$B$3=""),"",IF($D923&lt;&gt;单元查询!$B$3,"",IF(OR(单元查询!$D$3="",$E923&amp;""=单元查询!$D$3&amp;""),IF(ISNUMBER($B923),$B923*10000,0)+ROW(),"")))</f>
        <v/>
      </c>
      <c r="U923" s="0" t="str">
        <f aca="false">IF(OR($B923="",$L923="已完成"),"",IF(ISNUMBER($B923),IF(设置!$B$6&lt;$B923,"",(设置!$B$6-$B923)*100000+ROW()),""))</f>
        <v/>
      </c>
      <c r="V923" s="0" t="str">
        <f aca="false">IF(ISNUMBER($O923),IF($O923&gt;=2,IF(COUNTIFS($D923:$D$2006,$D923,$E923:$E$2006,$E923)=1,ROW(),""),""),"")</f>
        <v/>
      </c>
    </row>
    <row r="924" customFormat="false" ht="15" hidden="false" customHeight="true" outlineLevel="0" collapsed="false">
      <c r="A924" s="13" t="str">
        <f aca="false">IF(AND($B924="",$D924="",$E924="",$F924=""),"",IF(OR($B924="",$D924="",$E924=""),"待补",IF($D924="公共区域","公",IF($D924="商铺","S",SUBSTITUTE($D924,"栋","")))&amp;"-"&amp;$E924&amp;"-"&amp;TEXT(MONTH($B924),"00")&amp;TEXT(DAY($B924),"00")&amp;IF(ISNUMBER($O924),IF($O924&gt;1,"-"&amp;TEXT($O924,"00"),""),"")))</f>
        <v/>
      </c>
      <c r="B924" s="14"/>
      <c r="C924" s="10"/>
      <c r="D924" s="10"/>
      <c r="E924" s="10"/>
      <c r="F924" s="16"/>
      <c r="G924" s="10"/>
      <c r="H924" s="10"/>
      <c r="I924" s="10"/>
      <c r="J924" s="10"/>
      <c r="K924" s="10"/>
      <c r="L924" s="10"/>
      <c r="M924" s="14"/>
      <c r="N924" s="17" t="str">
        <f aca="false">IF($B924="","",IF($L924="已完成",IF($M924="","",$M924-$B924),IF(设置!$B$6&lt;$B924,"",IF((设置!$B$6-$B924)&gt;=设置!$B$5,"超期"&amp;(设置!$B$6-$B924)&amp;"天","已等"&amp;(设置!$B$6-$B924)&amp;"天"))))</f>
        <v/>
      </c>
      <c r="O924" s="18" t="str">
        <f aca="false">IF(OR($D924="",$E924=""),"",COUNTIFS($D$7:$D924,$D924,$E$7:$E924,$E924))</f>
        <v/>
      </c>
      <c r="P924" s="16"/>
      <c r="Q924" s="19"/>
      <c r="R924" s="10"/>
      <c r="S924" s="16"/>
      <c r="T924" s="0" t="str">
        <f aca="false">IF(OR($D924="",单元查询!$B$3=""),"",IF($D924&lt;&gt;单元查询!$B$3,"",IF(OR(单元查询!$D$3="",$E924&amp;""=单元查询!$D$3&amp;""),IF(ISNUMBER($B924),$B924*10000,0)+ROW(),"")))</f>
        <v/>
      </c>
      <c r="U924" s="0" t="str">
        <f aca="false">IF(OR($B924="",$L924="已完成"),"",IF(ISNUMBER($B924),IF(设置!$B$6&lt;$B924,"",(设置!$B$6-$B924)*100000+ROW()),""))</f>
        <v/>
      </c>
      <c r="V924" s="0" t="str">
        <f aca="false">IF(ISNUMBER($O924),IF($O924&gt;=2,IF(COUNTIFS($D924:$D$2006,$D924,$E924:$E$2006,$E924)=1,ROW(),""),""),"")</f>
        <v/>
      </c>
    </row>
    <row r="925" customFormat="false" ht="15" hidden="false" customHeight="true" outlineLevel="0" collapsed="false">
      <c r="A925" s="13" t="str">
        <f aca="false">IF(AND($B925="",$D925="",$E925="",$F925=""),"",IF(OR($B925="",$D925="",$E925=""),"待补",IF($D925="公共区域","公",IF($D925="商铺","S",SUBSTITUTE($D925,"栋","")))&amp;"-"&amp;$E925&amp;"-"&amp;TEXT(MONTH($B925),"00")&amp;TEXT(DAY($B925),"00")&amp;IF(ISNUMBER($O925),IF($O925&gt;1,"-"&amp;TEXT($O925,"00"),""),"")))</f>
        <v/>
      </c>
      <c r="B925" s="14"/>
      <c r="C925" s="10"/>
      <c r="D925" s="10"/>
      <c r="E925" s="10"/>
      <c r="F925" s="16"/>
      <c r="G925" s="10"/>
      <c r="H925" s="10"/>
      <c r="I925" s="10"/>
      <c r="J925" s="10"/>
      <c r="K925" s="10"/>
      <c r="L925" s="10"/>
      <c r="M925" s="14"/>
      <c r="N925" s="17" t="str">
        <f aca="false">IF($B925="","",IF($L925="已完成",IF($M925="","",$M925-$B925),IF(设置!$B$6&lt;$B925,"",IF((设置!$B$6-$B925)&gt;=设置!$B$5,"超期"&amp;(设置!$B$6-$B925)&amp;"天","已等"&amp;(设置!$B$6-$B925)&amp;"天"))))</f>
        <v/>
      </c>
      <c r="O925" s="18" t="str">
        <f aca="false">IF(OR($D925="",$E925=""),"",COUNTIFS($D$7:$D925,$D925,$E$7:$E925,$E925))</f>
        <v/>
      </c>
      <c r="P925" s="16"/>
      <c r="Q925" s="19"/>
      <c r="R925" s="10"/>
      <c r="S925" s="16"/>
      <c r="T925" s="0" t="str">
        <f aca="false">IF(OR($D925="",单元查询!$B$3=""),"",IF($D925&lt;&gt;单元查询!$B$3,"",IF(OR(单元查询!$D$3="",$E925&amp;""=单元查询!$D$3&amp;""),IF(ISNUMBER($B925),$B925*10000,0)+ROW(),"")))</f>
        <v/>
      </c>
      <c r="U925" s="0" t="str">
        <f aca="false">IF(OR($B925="",$L925="已完成"),"",IF(ISNUMBER($B925),IF(设置!$B$6&lt;$B925,"",(设置!$B$6-$B925)*100000+ROW()),""))</f>
        <v/>
      </c>
      <c r="V925" s="0" t="str">
        <f aca="false">IF(ISNUMBER($O925),IF($O925&gt;=2,IF(COUNTIFS($D925:$D$2006,$D925,$E925:$E$2006,$E925)=1,ROW(),""),""),"")</f>
        <v/>
      </c>
    </row>
    <row r="926" customFormat="false" ht="15" hidden="false" customHeight="true" outlineLevel="0" collapsed="false">
      <c r="A926" s="13" t="str">
        <f aca="false">IF(AND($B926="",$D926="",$E926="",$F926=""),"",IF(OR($B926="",$D926="",$E926=""),"待补",IF($D926="公共区域","公",IF($D926="商铺","S",SUBSTITUTE($D926,"栋","")))&amp;"-"&amp;$E926&amp;"-"&amp;TEXT(MONTH($B926),"00")&amp;TEXT(DAY($B926),"00")&amp;IF(ISNUMBER($O926),IF($O926&gt;1,"-"&amp;TEXT($O926,"00"),""),"")))</f>
        <v/>
      </c>
      <c r="B926" s="14"/>
      <c r="C926" s="10"/>
      <c r="D926" s="10"/>
      <c r="E926" s="10"/>
      <c r="F926" s="16"/>
      <c r="G926" s="10"/>
      <c r="H926" s="10"/>
      <c r="I926" s="10"/>
      <c r="J926" s="10"/>
      <c r="K926" s="10"/>
      <c r="L926" s="10"/>
      <c r="M926" s="14"/>
      <c r="N926" s="17" t="str">
        <f aca="false">IF($B926="","",IF($L926="已完成",IF($M926="","",$M926-$B926),IF(设置!$B$6&lt;$B926,"",IF((设置!$B$6-$B926)&gt;=设置!$B$5,"超期"&amp;(设置!$B$6-$B926)&amp;"天","已等"&amp;(设置!$B$6-$B926)&amp;"天"))))</f>
        <v/>
      </c>
      <c r="O926" s="18" t="str">
        <f aca="false">IF(OR($D926="",$E926=""),"",COUNTIFS($D$7:$D926,$D926,$E$7:$E926,$E926))</f>
        <v/>
      </c>
      <c r="P926" s="16"/>
      <c r="Q926" s="19"/>
      <c r="R926" s="10"/>
      <c r="S926" s="16"/>
      <c r="T926" s="0" t="str">
        <f aca="false">IF(OR($D926="",单元查询!$B$3=""),"",IF($D926&lt;&gt;单元查询!$B$3,"",IF(OR(单元查询!$D$3="",$E926&amp;""=单元查询!$D$3&amp;""),IF(ISNUMBER($B926),$B926*10000,0)+ROW(),"")))</f>
        <v/>
      </c>
      <c r="U926" s="0" t="str">
        <f aca="false">IF(OR($B926="",$L926="已完成"),"",IF(ISNUMBER($B926),IF(设置!$B$6&lt;$B926,"",(设置!$B$6-$B926)*100000+ROW()),""))</f>
        <v/>
      </c>
      <c r="V926" s="0" t="str">
        <f aca="false">IF(ISNUMBER($O926),IF($O926&gt;=2,IF(COUNTIFS($D926:$D$2006,$D926,$E926:$E$2006,$E926)=1,ROW(),""),""),"")</f>
        <v/>
      </c>
    </row>
    <row r="927" customFormat="false" ht="15" hidden="false" customHeight="true" outlineLevel="0" collapsed="false">
      <c r="A927" s="13" t="str">
        <f aca="false">IF(AND($B927="",$D927="",$E927="",$F927=""),"",IF(OR($B927="",$D927="",$E927=""),"待补",IF($D927="公共区域","公",IF($D927="商铺","S",SUBSTITUTE($D927,"栋","")))&amp;"-"&amp;$E927&amp;"-"&amp;TEXT(MONTH($B927),"00")&amp;TEXT(DAY($B927),"00")&amp;IF(ISNUMBER($O927),IF($O927&gt;1,"-"&amp;TEXT($O927,"00"),""),"")))</f>
        <v/>
      </c>
      <c r="B927" s="14"/>
      <c r="C927" s="10"/>
      <c r="D927" s="10"/>
      <c r="E927" s="10"/>
      <c r="F927" s="16"/>
      <c r="G927" s="10"/>
      <c r="H927" s="10"/>
      <c r="I927" s="10"/>
      <c r="J927" s="10"/>
      <c r="K927" s="10"/>
      <c r="L927" s="10"/>
      <c r="M927" s="14"/>
      <c r="N927" s="17" t="str">
        <f aca="false">IF($B927="","",IF($L927="已完成",IF($M927="","",$M927-$B927),IF(设置!$B$6&lt;$B927,"",IF((设置!$B$6-$B927)&gt;=设置!$B$5,"超期"&amp;(设置!$B$6-$B927)&amp;"天","已等"&amp;(设置!$B$6-$B927)&amp;"天"))))</f>
        <v/>
      </c>
      <c r="O927" s="18" t="str">
        <f aca="false">IF(OR($D927="",$E927=""),"",COUNTIFS($D$7:$D927,$D927,$E$7:$E927,$E927))</f>
        <v/>
      </c>
      <c r="P927" s="16"/>
      <c r="Q927" s="19"/>
      <c r="R927" s="10"/>
      <c r="S927" s="16"/>
      <c r="T927" s="0" t="str">
        <f aca="false">IF(OR($D927="",单元查询!$B$3=""),"",IF($D927&lt;&gt;单元查询!$B$3,"",IF(OR(单元查询!$D$3="",$E927&amp;""=单元查询!$D$3&amp;""),IF(ISNUMBER($B927),$B927*10000,0)+ROW(),"")))</f>
        <v/>
      </c>
      <c r="U927" s="0" t="str">
        <f aca="false">IF(OR($B927="",$L927="已完成"),"",IF(ISNUMBER($B927),IF(设置!$B$6&lt;$B927,"",(设置!$B$6-$B927)*100000+ROW()),""))</f>
        <v/>
      </c>
      <c r="V927" s="0" t="str">
        <f aca="false">IF(ISNUMBER($O927),IF($O927&gt;=2,IF(COUNTIFS($D927:$D$2006,$D927,$E927:$E$2006,$E927)=1,ROW(),""),""),"")</f>
        <v/>
      </c>
    </row>
    <row r="928" customFormat="false" ht="15" hidden="false" customHeight="true" outlineLevel="0" collapsed="false">
      <c r="A928" s="13" t="str">
        <f aca="false">IF(AND($B928="",$D928="",$E928="",$F928=""),"",IF(OR($B928="",$D928="",$E928=""),"待补",IF($D928="公共区域","公",IF($D928="商铺","S",SUBSTITUTE($D928,"栋","")))&amp;"-"&amp;$E928&amp;"-"&amp;TEXT(MONTH($B928),"00")&amp;TEXT(DAY($B928),"00")&amp;IF(ISNUMBER($O928),IF($O928&gt;1,"-"&amp;TEXT($O928,"00"),""),"")))</f>
        <v/>
      </c>
      <c r="B928" s="14"/>
      <c r="C928" s="10"/>
      <c r="D928" s="10"/>
      <c r="E928" s="10"/>
      <c r="F928" s="16"/>
      <c r="G928" s="10"/>
      <c r="H928" s="10"/>
      <c r="I928" s="10"/>
      <c r="J928" s="10"/>
      <c r="K928" s="10"/>
      <c r="L928" s="10"/>
      <c r="M928" s="14"/>
      <c r="N928" s="17" t="str">
        <f aca="false">IF($B928="","",IF($L928="已完成",IF($M928="","",$M928-$B928),IF(设置!$B$6&lt;$B928,"",IF((设置!$B$6-$B928)&gt;=设置!$B$5,"超期"&amp;(设置!$B$6-$B928)&amp;"天","已等"&amp;(设置!$B$6-$B928)&amp;"天"))))</f>
        <v/>
      </c>
      <c r="O928" s="18" t="str">
        <f aca="false">IF(OR($D928="",$E928=""),"",COUNTIFS($D$7:$D928,$D928,$E$7:$E928,$E928))</f>
        <v/>
      </c>
      <c r="P928" s="16"/>
      <c r="Q928" s="19"/>
      <c r="R928" s="10"/>
      <c r="S928" s="16"/>
      <c r="T928" s="0" t="str">
        <f aca="false">IF(OR($D928="",单元查询!$B$3=""),"",IF($D928&lt;&gt;单元查询!$B$3,"",IF(OR(单元查询!$D$3="",$E928&amp;""=单元查询!$D$3&amp;""),IF(ISNUMBER($B928),$B928*10000,0)+ROW(),"")))</f>
        <v/>
      </c>
      <c r="U928" s="0" t="str">
        <f aca="false">IF(OR($B928="",$L928="已完成"),"",IF(ISNUMBER($B928),IF(设置!$B$6&lt;$B928,"",(设置!$B$6-$B928)*100000+ROW()),""))</f>
        <v/>
      </c>
      <c r="V928" s="0" t="str">
        <f aca="false">IF(ISNUMBER($O928),IF($O928&gt;=2,IF(COUNTIFS($D928:$D$2006,$D928,$E928:$E$2006,$E928)=1,ROW(),""),""),"")</f>
        <v/>
      </c>
    </row>
    <row r="929" customFormat="false" ht="15" hidden="false" customHeight="true" outlineLevel="0" collapsed="false">
      <c r="A929" s="13" t="str">
        <f aca="false">IF(AND($B929="",$D929="",$E929="",$F929=""),"",IF(OR($B929="",$D929="",$E929=""),"待补",IF($D929="公共区域","公",IF($D929="商铺","S",SUBSTITUTE($D929,"栋","")))&amp;"-"&amp;$E929&amp;"-"&amp;TEXT(MONTH($B929),"00")&amp;TEXT(DAY($B929),"00")&amp;IF(ISNUMBER($O929),IF($O929&gt;1,"-"&amp;TEXT($O929,"00"),""),"")))</f>
        <v/>
      </c>
      <c r="B929" s="14"/>
      <c r="C929" s="10"/>
      <c r="D929" s="10"/>
      <c r="E929" s="10"/>
      <c r="F929" s="16"/>
      <c r="G929" s="10"/>
      <c r="H929" s="10"/>
      <c r="I929" s="10"/>
      <c r="J929" s="10"/>
      <c r="K929" s="10"/>
      <c r="L929" s="10"/>
      <c r="M929" s="14"/>
      <c r="N929" s="17" t="str">
        <f aca="false">IF($B929="","",IF($L929="已完成",IF($M929="","",$M929-$B929),IF(设置!$B$6&lt;$B929,"",IF((设置!$B$6-$B929)&gt;=设置!$B$5,"超期"&amp;(设置!$B$6-$B929)&amp;"天","已等"&amp;(设置!$B$6-$B929)&amp;"天"))))</f>
        <v/>
      </c>
      <c r="O929" s="18" t="str">
        <f aca="false">IF(OR($D929="",$E929=""),"",COUNTIFS($D$7:$D929,$D929,$E$7:$E929,$E929))</f>
        <v/>
      </c>
      <c r="P929" s="16"/>
      <c r="Q929" s="19"/>
      <c r="R929" s="10"/>
      <c r="S929" s="16"/>
      <c r="T929" s="0" t="str">
        <f aca="false">IF(OR($D929="",单元查询!$B$3=""),"",IF($D929&lt;&gt;单元查询!$B$3,"",IF(OR(单元查询!$D$3="",$E929&amp;""=单元查询!$D$3&amp;""),IF(ISNUMBER($B929),$B929*10000,0)+ROW(),"")))</f>
        <v/>
      </c>
      <c r="U929" s="0" t="str">
        <f aca="false">IF(OR($B929="",$L929="已完成"),"",IF(ISNUMBER($B929),IF(设置!$B$6&lt;$B929,"",(设置!$B$6-$B929)*100000+ROW()),""))</f>
        <v/>
      </c>
      <c r="V929" s="0" t="str">
        <f aca="false">IF(ISNUMBER($O929),IF($O929&gt;=2,IF(COUNTIFS($D929:$D$2006,$D929,$E929:$E$2006,$E929)=1,ROW(),""),""),"")</f>
        <v/>
      </c>
    </row>
    <row r="930" customFormat="false" ht="15" hidden="false" customHeight="true" outlineLevel="0" collapsed="false">
      <c r="A930" s="13" t="str">
        <f aca="false">IF(AND($B930="",$D930="",$E930="",$F930=""),"",IF(OR($B930="",$D930="",$E930=""),"待补",IF($D930="公共区域","公",IF($D930="商铺","S",SUBSTITUTE($D930,"栋","")))&amp;"-"&amp;$E930&amp;"-"&amp;TEXT(MONTH($B930),"00")&amp;TEXT(DAY($B930),"00")&amp;IF(ISNUMBER($O930),IF($O930&gt;1,"-"&amp;TEXT($O930,"00"),""),"")))</f>
        <v/>
      </c>
      <c r="B930" s="14"/>
      <c r="C930" s="10"/>
      <c r="D930" s="10"/>
      <c r="E930" s="10"/>
      <c r="F930" s="16"/>
      <c r="G930" s="10"/>
      <c r="H930" s="10"/>
      <c r="I930" s="10"/>
      <c r="J930" s="10"/>
      <c r="K930" s="10"/>
      <c r="L930" s="10"/>
      <c r="M930" s="14"/>
      <c r="N930" s="17" t="str">
        <f aca="false">IF($B930="","",IF($L930="已完成",IF($M930="","",$M930-$B930),IF(设置!$B$6&lt;$B930,"",IF((设置!$B$6-$B930)&gt;=设置!$B$5,"超期"&amp;(设置!$B$6-$B930)&amp;"天","已等"&amp;(设置!$B$6-$B930)&amp;"天"))))</f>
        <v/>
      </c>
      <c r="O930" s="18" t="str">
        <f aca="false">IF(OR($D930="",$E930=""),"",COUNTIFS($D$7:$D930,$D930,$E$7:$E930,$E930))</f>
        <v/>
      </c>
      <c r="P930" s="16"/>
      <c r="Q930" s="19"/>
      <c r="R930" s="10"/>
      <c r="S930" s="16"/>
      <c r="T930" s="0" t="str">
        <f aca="false">IF(OR($D930="",单元查询!$B$3=""),"",IF($D930&lt;&gt;单元查询!$B$3,"",IF(OR(单元查询!$D$3="",$E930&amp;""=单元查询!$D$3&amp;""),IF(ISNUMBER($B930),$B930*10000,0)+ROW(),"")))</f>
        <v/>
      </c>
      <c r="U930" s="0" t="str">
        <f aca="false">IF(OR($B930="",$L930="已完成"),"",IF(ISNUMBER($B930),IF(设置!$B$6&lt;$B930,"",(设置!$B$6-$B930)*100000+ROW()),""))</f>
        <v/>
      </c>
      <c r="V930" s="0" t="str">
        <f aca="false">IF(ISNUMBER($O930),IF($O930&gt;=2,IF(COUNTIFS($D930:$D$2006,$D930,$E930:$E$2006,$E930)=1,ROW(),""),""),"")</f>
        <v/>
      </c>
    </row>
    <row r="931" customFormat="false" ht="15" hidden="false" customHeight="true" outlineLevel="0" collapsed="false">
      <c r="A931" s="13" t="str">
        <f aca="false">IF(AND($B931="",$D931="",$E931="",$F931=""),"",IF(OR($B931="",$D931="",$E931=""),"待补",IF($D931="公共区域","公",IF($D931="商铺","S",SUBSTITUTE($D931,"栋","")))&amp;"-"&amp;$E931&amp;"-"&amp;TEXT(MONTH($B931),"00")&amp;TEXT(DAY($B931),"00")&amp;IF(ISNUMBER($O931),IF($O931&gt;1,"-"&amp;TEXT($O931,"00"),""),"")))</f>
        <v/>
      </c>
      <c r="B931" s="14"/>
      <c r="C931" s="10"/>
      <c r="D931" s="10"/>
      <c r="E931" s="10"/>
      <c r="F931" s="16"/>
      <c r="G931" s="10"/>
      <c r="H931" s="10"/>
      <c r="I931" s="10"/>
      <c r="J931" s="10"/>
      <c r="K931" s="10"/>
      <c r="L931" s="10"/>
      <c r="M931" s="14"/>
      <c r="N931" s="17" t="str">
        <f aca="false">IF($B931="","",IF($L931="已完成",IF($M931="","",$M931-$B931),IF(设置!$B$6&lt;$B931,"",IF((设置!$B$6-$B931)&gt;=设置!$B$5,"超期"&amp;(设置!$B$6-$B931)&amp;"天","已等"&amp;(设置!$B$6-$B931)&amp;"天"))))</f>
        <v/>
      </c>
      <c r="O931" s="18" t="str">
        <f aca="false">IF(OR($D931="",$E931=""),"",COUNTIFS($D$7:$D931,$D931,$E$7:$E931,$E931))</f>
        <v/>
      </c>
      <c r="P931" s="16"/>
      <c r="Q931" s="19"/>
      <c r="R931" s="10"/>
      <c r="S931" s="16"/>
      <c r="T931" s="0" t="str">
        <f aca="false">IF(OR($D931="",单元查询!$B$3=""),"",IF($D931&lt;&gt;单元查询!$B$3,"",IF(OR(单元查询!$D$3="",$E931&amp;""=单元查询!$D$3&amp;""),IF(ISNUMBER($B931),$B931*10000,0)+ROW(),"")))</f>
        <v/>
      </c>
      <c r="U931" s="0" t="str">
        <f aca="false">IF(OR($B931="",$L931="已完成"),"",IF(ISNUMBER($B931),IF(设置!$B$6&lt;$B931,"",(设置!$B$6-$B931)*100000+ROW()),""))</f>
        <v/>
      </c>
      <c r="V931" s="0" t="str">
        <f aca="false">IF(ISNUMBER($O931),IF($O931&gt;=2,IF(COUNTIFS($D931:$D$2006,$D931,$E931:$E$2006,$E931)=1,ROW(),""),""),"")</f>
        <v/>
      </c>
    </row>
    <row r="932" customFormat="false" ht="15" hidden="false" customHeight="true" outlineLevel="0" collapsed="false">
      <c r="A932" s="13" t="str">
        <f aca="false">IF(AND($B932="",$D932="",$E932="",$F932=""),"",IF(OR($B932="",$D932="",$E932=""),"待补",IF($D932="公共区域","公",IF($D932="商铺","S",SUBSTITUTE($D932,"栋","")))&amp;"-"&amp;$E932&amp;"-"&amp;TEXT(MONTH($B932),"00")&amp;TEXT(DAY($B932),"00")&amp;IF(ISNUMBER($O932),IF($O932&gt;1,"-"&amp;TEXT($O932,"00"),""),"")))</f>
        <v/>
      </c>
      <c r="B932" s="14"/>
      <c r="C932" s="10"/>
      <c r="D932" s="10"/>
      <c r="E932" s="10"/>
      <c r="F932" s="16"/>
      <c r="G932" s="10"/>
      <c r="H932" s="10"/>
      <c r="I932" s="10"/>
      <c r="J932" s="10"/>
      <c r="K932" s="10"/>
      <c r="L932" s="10"/>
      <c r="M932" s="14"/>
      <c r="N932" s="17" t="str">
        <f aca="false">IF($B932="","",IF($L932="已完成",IF($M932="","",$M932-$B932),IF(设置!$B$6&lt;$B932,"",IF((设置!$B$6-$B932)&gt;=设置!$B$5,"超期"&amp;(设置!$B$6-$B932)&amp;"天","已等"&amp;(设置!$B$6-$B932)&amp;"天"))))</f>
        <v/>
      </c>
      <c r="O932" s="18" t="str">
        <f aca="false">IF(OR($D932="",$E932=""),"",COUNTIFS($D$7:$D932,$D932,$E$7:$E932,$E932))</f>
        <v/>
      </c>
      <c r="P932" s="16"/>
      <c r="Q932" s="19"/>
      <c r="R932" s="10"/>
      <c r="S932" s="16"/>
      <c r="T932" s="0" t="str">
        <f aca="false">IF(OR($D932="",单元查询!$B$3=""),"",IF($D932&lt;&gt;单元查询!$B$3,"",IF(OR(单元查询!$D$3="",$E932&amp;""=单元查询!$D$3&amp;""),IF(ISNUMBER($B932),$B932*10000,0)+ROW(),"")))</f>
        <v/>
      </c>
      <c r="U932" s="0" t="str">
        <f aca="false">IF(OR($B932="",$L932="已完成"),"",IF(ISNUMBER($B932),IF(设置!$B$6&lt;$B932,"",(设置!$B$6-$B932)*100000+ROW()),""))</f>
        <v/>
      </c>
      <c r="V932" s="0" t="str">
        <f aca="false">IF(ISNUMBER($O932),IF($O932&gt;=2,IF(COUNTIFS($D932:$D$2006,$D932,$E932:$E$2006,$E932)=1,ROW(),""),""),"")</f>
        <v/>
      </c>
    </row>
    <row r="933" customFormat="false" ht="15" hidden="false" customHeight="true" outlineLevel="0" collapsed="false">
      <c r="A933" s="13" t="str">
        <f aca="false">IF(AND($B933="",$D933="",$E933="",$F933=""),"",IF(OR($B933="",$D933="",$E933=""),"待补",IF($D933="公共区域","公",IF($D933="商铺","S",SUBSTITUTE($D933,"栋","")))&amp;"-"&amp;$E933&amp;"-"&amp;TEXT(MONTH($B933),"00")&amp;TEXT(DAY($B933),"00")&amp;IF(ISNUMBER($O933),IF($O933&gt;1,"-"&amp;TEXT($O933,"00"),""),"")))</f>
        <v/>
      </c>
      <c r="B933" s="14"/>
      <c r="C933" s="10"/>
      <c r="D933" s="10"/>
      <c r="E933" s="10"/>
      <c r="F933" s="16"/>
      <c r="G933" s="10"/>
      <c r="H933" s="10"/>
      <c r="I933" s="10"/>
      <c r="J933" s="10"/>
      <c r="K933" s="10"/>
      <c r="L933" s="10"/>
      <c r="M933" s="14"/>
      <c r="N933" s="17" t="str">
        <f aca="false">IF($B933="","",IF($L933="已完成",IF($M933="","",$M933-$B933),IF(设置!$B$6&lt;$B933,"",IF((设置!$B$6-$B933)&gt;=设置!$B$5,"超期"&amp;(设置!$B$6-$B933)&amp;"天","已等"&amp;(设置!$B$6-$B933)&amp;"天"))))</f>
        <v/>
      </c>
      <c r="O933" s="18" t="str">
        <f aca="false">IF(OR($D933="",$E933=""),"",COUNTIFS($D$7:$D933,$D933,$E$7:$E933,$E933))</f>
        <v/>
      </c>
      <c r="P933" s="16"/>
      <c r="Q933" s="19"/>
      <c r="R933" s="10"/>
      <c r="S933" s="16"/>
      <c r="T933" s="0" t="str">
        <f aca="false">IF(OR($D933="",单元查询!$B$3=""),"",IF($D933&lt;&gt;单元查询!$B$3,"",IF(OR(单元查询!$D$3="",$E933&amp;""=单元查询!$D$3&amp;""),IF(ISNUMBER($B933),$B933*10000,0)+ROW(),"")))</f>
        <v/>
      </c>
      <c r="U933" s="0" t="str">
        <f aca="false">IF(OR($B933="",$L933="已完成"),"",IF(ISNUMBER($B933),IF(设置!$B$6&lt;$B933,"",(设置!$B$6-$B933)*100000+ROW()),""))</f>
        <v/>
      </c>
      <c r="V933" s="0" t="str">
        <f aca="false">IF(ISNUMBER($O933),IF($O933&gt;=2,IF(COUNTIFS($D933:$D$2006,$D933,$E933:$E$2006,$E933)=1,ROW(),""),""),"")</f>
        <v/>
      </c>
    </row>
    <row r="934" customFormat="false" ht="15" hidden="false" customHeight="true" outlineLevel="0" collapsed="false">
      <c r="A934" s="13" t="str">
        <f aca="false">IF(AND($B934="",$D934="",$E934="",$F934=""),"",IF(OR($B934="",$D934="",$E934=""),"待补",IF($D934="公共区域","公",IF($D934="商铺","S",SUBSTITUTE($D934,"栋","")))&amp;"-"&amp;$E934&amp;"-"&amp;TEXT(MONTH($B934),"00")&amp;TEXT(DAY($B934),"00")&amp;IF(ISNUMBER($O934),IF($O934&gt;1,"-"&amp;TEXT($O934,"00"),""),"")))</f>
        <v/>
      </c>
      <c r="B934" s="14"/>
      <c r="C934" s="10"/>
      <c r="D934" s="10"/>
      <c r="E934" s="10"/>
      <c r="F934" s="16"/>
      <c r="G934" s="10"/>
      <c r="H934" s="10"/>
      <c r="I934" s="10"/>
      <c r="J934" s="10"/>
      <c r="K934" s="10"/>
      <c r="L934" s="10"/>
      <c r="M934" s="14"/>
      <c r="N934" s="17" t="str">
        <f aca="false">IF($B934="","",IF($L934="已完成",IF($M934="","",$M934-$B934),IF(设置!$B$6&lt;$B934,"",IF((设置!$B$6-$B934)&gt;=设置!$B$5,"超期"&amp;(设置!$B$6-$B934)&amp;"天","已等"&amp;(设置!$B$6-$B934)&amp;"天"))))</f>
        <v/>
      </c>
      <c r="O934" s="18" t="str">
        <f aca="false">IF(OR($D934="",$E934=""),"",COUNTIFS($D$7:$D934,$D934,$E$7:$E934,$E934))</f>
        <v/>
      </c>
      <c r="P934" s="16"/>
      <c r="Q934" s="19"/>
      <c r="R934" s="10"/>
      <c r="S934" s="16"/>
      <c r="T934" s="0" t="str">
        <f aca="false">IF(OR($D934="",单元查询!$B$3=""),"",IF($D934&lt;&gt;单元查询!$B$3,"",IF(OR(单元查询!$D$3="",$E934&amp;""=单元查询!$D$3&amp;""),IF(ISNUMBER($B934),$B934*10000,0)+ROW(),"")))</f>
        <v/>
      </c>
      <c r="U934" s="0" t="str">
        <f aca="false">IF(OR($B934="",$L934="已完成"),"",IF(ISNUMBER($B934),IF(设置!$B$6&lt;$B934,"",(设置!$B$6-$B934)*100000+ROW()),""))</f>
        <v/>
      </c>
      <c r="V934" s="0" t="str">
        <f aca="false">IF(ISNUMBER($O934),IF($O934&gt;=2,IF(COUNTIFS($D934:$D$2006,$D934,$E934:$E$2006,$E934)=1,ROW(),""),""),"")</f>
        <v/>
      </c>
    </row>
    <row r="935" customFormat="false" ht="15" hidden="false" customHeight="true" outlineLevel="0" collapsed="false">
      <c r="A935" s="13" t="str">
        <f aca="false">IF(AND($B935="",$D935="",$E935="",$F935=""),"",IF(OR($B935="",$D935="",$E935=""),"待补",IF($D935="公共区域","公",IF($D935="商铺","S",SUBSTITUTE($D935,"栋","")))&amp;"-"&amp;$E935&amp;"-"&amp;TEXT(MONTH($B935),"00")&amp;TEXT(DAY($B935),"00")&amp;IF(ISNUMBER($O935),IF($O935&gt;1,"-"&amp;TEXT($O935,"00"),""),"")))</f>
        <v/>
      </c>
      <c r="B935" s="14"/>
      <c r="C935" s="10"/>
      <c r="D935" s="10"/>
      <c r="E935" s="10"/>
      <c r="F935" s="16"/>
      <c r="G935" s="10"/>
      <c r="H935" s="10"/>
      <c r="I935" s="10"/>
      <c r="J935" s="10"/>
      <c r="K935" s="10"/>
      <c r="L935" s="10"/>
      <c r="M935" s="14"/>
      <c r="N935" s="17" t="str">
        <f aca="false">IF($B935="","",IF($L935="已完成",IF($M935="","",$M935-$B935),IF(设置!$B$6&lt;$B935,"",IF((设置!$B$6-$B935)&gt;=设置!$B$5,"超期"&amp;(设置!$B$6-$B935)&amp;"天","已等"&amp;(设置!$B$6-$B935)&amp;"天"))))</f>
        <v/>
      </c>
      <c r="O935" s="18" t="str">
        <f aca="false">IF(OR($D935="",$E935=""),"",COUNTIFS($D$7:$D935,$D935,$E$7:$E935,$E935))</f>
        <v/>
      </c>
      <c r="P935" s="16"/>
      <c r="Q935" s="19"/>
      <c r="R935" s="10"/>
      <c r="S935" s="16"/>
      <c r="T935" s="0" t="str">
        <f aca="false">IF(OR($D935="",单元查询!$B$3=""),"",IF($D935&lt;&gt;单元查询!$B$3,"",IF(OR(单元查询!$D$3="",$E935&amp;""=单元查询!$D$3&amp;""),IF(ISNUMBER($B935),$B935*10000,0)+ROW(),"")))</f>
        <v/>
      </c>
      <c r="U935" s="0" t="str">
        <f aca="false">IF(OR($B935="",$L935="已完成"),"",IF(ISNUMBER($B935),IF(设置!$B$6&lt;$B935,"",(设置!$B$6-$B935)*100000+ROW()),""))</f>
        <v/>
      </c>
      <c r="V935" s="0" t="str">
        <f aca="false">IF(ISNUMBER($O935),IF($O935&gt;=2,IF(COUNTIFS($D935:$D$2006,$D935,$E935:$E$2006,$E935)=1,ROW(),""),""),"")</f>
        <v/>
      </c>
    </row>
    <row r="936" customFormat="false" ht="15" hidden="false" customHeight="true" outlineLevel="0" collapsed="false">
      <c r="A936" s="13" t="str">
        <f aca="false">IF(AND($B936="",$D936="",$E936="",$F936=""),"",IF(OR($B936="",$D936="",$E936=""),"待补",IF($D936="公共区域","公",IF($D936="商铺","S",SUBSTITUTE($D936,"栋","")))&amp;"-"&amp;$E936&amp;"-"&amp;TEXT(MONTH($B936),"00")&amp;TEXT(DAY($B936),"00")&amp;IF(ISNUMBER($O936),IF($O936&gt;1,"-"&amp;TEXT($O936,"00"),""),"")))</f>
        <v/>
      </c>
      <c r="B936" s="14"/>
      <c r="C936" s="10"/>
      <c r="D936" s="10"/>
      <c r="E936" s="10"/>
      <c r="F936" s="16"/>
      <c r="G936" s="10"/>
      <c r="H936" s="10"/>
      <c r="I936" s="10"/>
      <c r="J936" s="10"/>
      <c r="K936" s="10"/>
      <c r="L936" s="10"/>
      <c r="M936" s="14"/>
      <c r="N936" s="17" t="str">
        <f aca="false">IF($B936="","",IF($L936="已完成",IF($M936="","",$M936-$B936),IF(设置!$B$6&lt;$B936,"",IF((设置!$B$6-$B936)&gt;=设置!$B$5,"超期"&amp;(设置!$B$6-$B936)&amp;"天","已等"&amp;(设置!$B$6-$B936)&amp;"天"))))</f>
        <v/>
      </c>
      <c r="O936" s="18" t="str">
        <f aca="false">IF(OR($D936="",$E936=""),"",COUNTIFS($D$7:$D936,$D936,$E$7:$E936,$E936))</f>
        <v/>
      </c>
      <c r="P936" s="16"/>
      <c r="Q936" s="19"/>
      <c r="R936" s="10"/>
      <c r="S936" s="16"/>
      <c r="T936" s="0" t="str">
        <f aca="false">IF(OR($D936="",单元查询!$B$3=""),"",IF($D936&lt;&gt;单元查询!$B$3,"",IF(OR(单元查询!$D$3="",$E936&amp;""=单元查询!$D$3&amp;""),IF(ISNUMBER($B936),$B936*10000,0)+ROW(),"")))</f>
        <v/>
      </c>
      <c r="U936" s="0" t="str">
        <f aca="false">IF(OR($B936="",$L936="已完成"),"",IF(ISNUMBER($B936),IF(设置!$B$6&lt;$B936,"",(设置!$B$6-$B936)*100000+ROW()),""))</f>
        <v/>
      </c>
      <c r="V936" s="0" t="str">
        <f aca="false">IF(ISNUMBER($O936),IF($O936&gt;=2,IF(COUNTIFS($D936:$D$2006,$D936,$E936:$E$2006,$E936)=1,ROW(),""),""),"")</f>
        <v/>
      </c>
    </row>
    <row r="937" customFormat="false" ht="15" hidden="false" customHeight="true" outlineLevel="0" collapsed="false">
      <c r="A937" s="13" t="str">
        <f aca="false">IF(AND($B937="",$D937="",$E937="",$F937=""),"",IF(OR($B937="",$D937="",$E937=""),"待补",IF($D937="公共区域","公",IF($D937="商铺","S",SUBSTITUTE($D937,"栋","")))&amp;"-"&amp;$E937&amp;"-"&amp;TEXT(MONTH($B937),"00")&amp;TEXT(DAY($B937),"00")&amp;IF(ISNUMBER($O937),IF($O937&gt;1,"-"&amp;TEXT($O937,"00"),""),"")))</f>
        <v/>
      </c>
      <c r="B937" s="14"/>
      <c r="C937" s="10"/>
      <c r="D937" s="10"/>
      <c r="E937" s="10"/>
      <c r="F937" s="16"/>
      <c r="G937" s="10"/>
      <c r="H937" s="10"/>
      <c r="I937" s="10"/>
      <c r="J937" s="10"/>
      <c r="K937" s="10"/>
      <c r="L937" s="10"/>
      <c r="M937" s="14"/>
      <c r="N937" s="17" t="str">
        <f aca="false">IF($B937="","",IF($L937="已完成",IF($M937="","",$M937-$B937),IF(设置!$B$6&lt;$B937,"",IF((设置!$B$6-$B937)&gt;=设置!$B$5,"超期"&amp;(设置!$B$6-$B937)&amp;"天","已等"&amp;(设置!$B$6-$B937)&amp;"天"))))</f>
        <v/>
      </c>
      <c r="O937" s="18" t="str">
        <f aca="false">IF(OR($D937="",$E937=""),"",COUNTIFS($D$7:$D937,$D937,$E$7:$E937,$E937))</f>
        <v/>
      </c>
      <c r="P937" s="16"/>
      <c r="Q937" s="19"/>
      <c r="R937" s="10"/>
      <c r="S937" s="16"/>
      <c r="T937" s="0" t="str">
        <f aca="false">IF(OR($D937="",单元查询!$B$3=""),"",IF($D937&lt;&gt;单元查询!$B$3,"",IF(OR(单元查询!$D$3="",$E937&amp;""=单元查询!$D$3&amp;""),IF(ISNUMBER($B937),$B937*10000,0)+ROW(),"")))</f>
        <v/>
      </c>
      <c r="U937" s="0" t="str">
        <f aca="false">IF(OR($B937="",$L937="已完成"),"",IF(ISNUMBER($B937),IF(设置!$B$6&lt;$B937,"",(设置!$B$6-$B937)*100000+ROW()),""))</f>
        <v/>
      </c>
      <c r="V937" s="0" t="str">
        <f aca="false">IF(ISNUMBER($O937),IF($O937&gt;=2,IF(COUNTIFS($D937:$D$2006,$D937,$E937:$E$2006,$E937)=1,ROW(),""),""),"")</f>
        <v/>
      </c>
    </row>
    <row r="938" customFormat="false" ht="15" hidden="false" customHeight="true" outlineLevel="0" collapsed="false">
      <c r="A938" s="13" t="str">
        <f aca="false">IF(AND($B938="",$D938="",$E938="",$F938=""),"",IF(OR($B938="",$D938="",$E938=""),"待补",IF($D938="公共区域","公",IF($D938="商铺","S",SUBSTITUTE($D938,"栋","")))&amp;"-"&amp;$E938&amp;"-"&amp;TEXT(MONTH($B938),"00")&amp;TEXT(DAY($B938),"00")&amp;IF(ISNUMBER($O938),IF($O938&gt;1,"-"&amp;TEXT($O938,"00"),""),"")))</f>
        <v/>
      </c>
      <c r="B938" s="14"/>
      <c r="C938" s="10"/>
      <c r="D938" s="10"/>
      <c r="E938" s="10"/>
      <c r="F938" s="16"/>
      <c r="G938" s="10"/>
      <c r="H938" s="10"/>
      <c r="I938" s="10"/>
      <c r="J938" s="10"/>
      <c r="K938" s="10"/>
      <c r="L938" s="10"/>
      <c r="M938" s="14"/>
      <c r="N938" s="17" t="str">
        <f aca="false">IF($B938="","",IF($L938="已完成",IF($M938="","",$M938-$B938),IF(设置!$B$6&lt;$B938,"",IF((设置!$B$6-$B938)&gt;=设置!$B$5,"超期"&amp;(设置!$B$6-$B938)&amp;"天","已等"&amp;(设置!$B$6-$B938)&amp;"天"))))</f>
        <v/>
      </c>
      <c r="O938" s="18" t="str">
        <f aca="false">IF(OR($D938="",$E938=""),"",COUNTIFS($D$7:$D938,$D938,$E$7:$E938,$E938))</f>
        <v/>
      </c>
      <c r="P938" s="16"/>
      <c r="Q938" s="19"/>
      <c r="R938" s="10"/>
      <c r="S938" s="16"/>
      <c r="T938" s="0" t="str">
        <f aca="false">IF(OR($D938="",单元查询!$B$3=""),"",IF($D938&lt;&gt;单元查询!$B$3,"",IF(OR(单元查询!$D$3="",$E938&amp;""=单元查询!$D$3&amp;""),IF(ISNUMBER($B938),$B938*10000,0)+ROW(),"")))</f>
        <v/>
      </c>
      <c r="U938" s="0" t="str">
        <f aca="false">IF(OR($B938="",$L938="已完成"),"",IF(ISNUMBER($B938),IF(设置!$B$6&lt;$B938,"",(设置!$B$6-$B938)*100000+ROW()),""))</f>
        <v/>
      </c>
      <c r="V938" s="0" t="str">
        <f aca="false">IF(ISNUMBER($O938),IF($O938&gt;=2,IF(COUNTIFS($D938:$D$2006,$D938,$E938:$E$2006,$E938)=1,ROW(),""),""),"")</f>
        <v/>
      </c>
    </row>
    <row r="939" customFormat="false" ht="15" hidden="false" customHeight="true" outlineLevel="0" collapsed="false">
      <c r="A939" s="13" t="str">
        <f aca="false">IF(AND($B939="",$D939="",$E939="",$F939=""),"",IF(OR($B939="",$D939="",$E939=""),"待补",IF($D939="公共区域","公",IF($D939="商铺","S",SUBSTITUTE($D939,"栋","")))&amp;"-"&amp;$E939&amp;"-"&amp;TEXT(MONTH($B939),"00")&amp;TEXT(DAY($B939),"00")&amp;IF(ISNUMBER($O939),IF($O939&gt;1,"-"&amp;TEXT($O939,"00"),""),"")))</f>
        <v/>
      </c>
      <c r="B939" s="14"/>
      <c r="C939" s="10"/>
      <c r="D939" s="10"/>
      <c r="E939" s="10"/>
      <c r="F939" s="16"/>
      <c r="G939" s="10"/>
      <c r="H939" s="10"/>
      <c r="I939" s="10"/>
      <c r="J939" s="10"/>
      <c r="K939" s="10"/>
      <c r="L939" s="10"/>
      <c r="M939" s="14"/>
      <c r="N939" s="17" t="str">
        <f aca="false">IF($B939="","",IF($L939="已完成",IF($M939="","",$M939-$B939),IF(设置!$B$6&lt;$B939,"",IF((设置!$B$6-$B939)&gt;=设置!$B$5,"超期"&amp;(设置!$B$6-$B939)&amp;"天","已等"&amp;(设置!$B$6-$B939)&amp;"天"))))</f>
        <v/>
      </c>
      <c r="O939" s="18" t="str">
        <f aca="false">IF(OR($D939="",$E939=""),"",COUNTIFS($D$7:$D939,$D939,$E$7:$E939,$E939))</f>
        <v/>
      </c>
      <c r="P939" s="16"/>
      <c r="Q939" s="19"/>
      <c r="R939" s="10"/>
      <c r="S939" s="16"/>
      <c r="T939" s="0" t="str">
        <f aca="false">IF(OR($D939="",单元查询!$B$3=""),"",IF($D939&lt;&gt;单元查询!$B$3,"",IF(OR(单元查询!$D$3="",$E939&amp;""=单元查询!$D$3&amp;""),IF(ISNUMBER($B939),$B939*10000,0)+ROW(),"")))</f>
        <v/>
      </c>
      <c r="U939" s="0" t="str">
        <f aca="false">IF(OR($B939="",$L939="已完成"),"",IF(ISNUMBER($B939),IF(设置!$B$6&lt;$B939,"",(设置!$B$6-$B939)*100000+ROW()),""))</f>
        <v/>
      </c>
      <c r="V939" s="0" t="str">
        <f aca="false">IF(ISNUMBER($O939),IF($O939&gt;=2,IF(COUNTIFS($D939:$D$2006,$D939,$E939:$E$2006,$E939)=1,ROW(),""),""),"")</f>
        <v/>
      </c>
    </row>
    <row r="940" customFormat="false" ht="15" hidden="false" customHeight="true" outlineLevel="0" collapsed="false">
      <c r="A940" s="13" t="str">
        <f aca="false">IF(AND($B940="",$D940="",$E940="",$F940=""),"",IF(OR($B940="",$D940="",$E940=""),"待补",IF($D940="公共区域","公",IF($D940="商铺","S",SUBSTITUTE($D940,"栋","")))&amp;"-"&amp;$E940&amp;"-"&amp;TEXT(MONTH($B940),"00")&amp;TEXT(DAY($B940),"00")&amp;IF(ISNUMBER($O940),IF($O940&gt;1,"-"&amp;TEXT($O940,"00"),""),"")))</f>
        <v/>
      </c>
      <c r="B940" s="14"/>
      <c r="C940" s="10"/>
      <c r="D940" s="10"/>
      <c r="E940" s="10"/>
      <c r="F940" s="16"/>
      <c r="G940" s="10"/>
      <c r="H940" s="10"/>
      <c r="I940" s="10"/>
      <c r="J940" s="10"/>
      <c r="K940" s="10"/>
      <c r="L940" s="10"/>
      <c r="M940" s="14"/>
      <c r="N940" s="17" t="str">
        <f aca="false">IF($B940="","",IF($L940="已完成",IF($M940="","",$M940-$B940),IF(设置!$B$6&lt;$B940,"",IF((设置!$B$6-$B940)&gt;=设置!$B$5,"超期"&amp;(设置!$B$6-$B940)&amp;"天","已等"&amp;(设置!$B$6-$B940)&amp;"天"))))</f>
        <v/>
      </c>
      <c r="O940" s="18" t="str">
        <f aca="false">IF(OR($D940="",$E940=""),"",COUNTIFS($D$7:$D940,$D940,$E$7:$E940,$E940))</f>
        <v/>
      </c>
      <c r="P940" s="16"/>
      <c r="Q940" s="19"/>
      <c r="R940" s="10"/>
      <c r="S940" s="16"/>
      <c r="T940" s="0" t="str">
        <f aca="false">IF(OR($D940="",单元查询!$B$3=""),"",IF($D940&lt;&gt;单元查询!$B$3,"",IF(OR(单元查询!$D$3="",$E940&amp;""=单元查询!$D$3&amp;""),IF(ISNUMBER($B940),$B940*10000,0)+ROW(),"")))</f>
        <v/>
      </c>
      <c r="U940" s="0" t="str">
        <f aca="false">IF(OR($B940="",$L940="已完成"),"",IF(ISNUMBER($B940),IF(设置!$B$6&lt;$B940,"",(设置!$B$6-$B940)*100000+ROW()),""))</f>
        <v/>
      </c>
      <c r="V940" s="0" t="str">
        <f aca="false">IF(ISNUMBER($O940),IF($O940&gt;=2,IF(COUNTIFS($D940:$D$2006,$D940,$E940:$E$2006,$E940)=1,ROW(),""),""),"")</f>
        <v/>
      </c>
    </row>
    <row r="941" customFormat="false" ht="15" hidden="false" customHeight="true" outlineLevel="0" collapsed="false">
      <c r="A941" s="13" t="str">
        <f aca="false">IF(AND($B941="",$D941="",$E941="",$F941=""),"",IF(OR($B941="",$D941="",$E941=""),"待补",IF($D941="公共区域","公",IF($D941="商铺","S",SUBSTITUTE($D941,"栋","")))&amp;"-"&amp;$E941&amp;"-"&amp;TEXT(MONTH($B941),"00")&amp;TEXT(DAY($B941),"00")&amp;IF(ISNUMBER($O941),IF($O941&gt;1,"-"&amp;TEXT($O941,"00"),""),"")))</f>
        <v/>
      </c>
      <c r="B941" s="14"/>
      <c r="C941" s="10"/>
      <c r="D941" s="10"/>
      <c r="E941" s="10"/>
      <c r="F941" s="16"/>
      <c r="G941" s="10"/>
      <c r="H941" s="10"/>
      <c r="I941" s="10"/>
      <c r="J941" s="10"/>
      <c r="K941" s="10"/>
      <c r="L941" s="10"/>
      <c r="M941" s="14"/>
      <c r="N941" s="17" t="str">
        <f aca="false">IF($B941="","",IF($L941="已完成",IF($M941="","",$M941-$B941),IF(设置!$B$6&lt;$B941,"",IF((设置!$B$6-$B941)&gt;=设置!$B$5,"超期"&amp;(设置!$B$6-$B941)&amp;"天","已等"&amp;(设置!$B$6-$B941)&amp;"天"))))</f>
        <v/>
      </c>
      <c r="O941" s="18" t="str">
        <f aca="false">IF(OR($D941="",$E941=""),"",COUNTIFS($D$7:$D941,$D941,$E$7:$E941,$E941))</f>
        <v/>
      </c>
      <c r="P941" s="16"/>
      <c r="Q941" s="19"/>
      <c r="R941" s="10"/>
      <c r="S941" s="16"/>
      <c r="T941" s="0" t="str">
        <f aca="false">IF(OR($D941="",单元查询!$B$3=""),"",IF($D941&lt;&gt;单元查询!$B$3,"",IF(OR(单元查询!$D$3="",$E941&amp;""=单元查询!$D$3&amp;""),IF(ISNUMBER($B941),$B941*10000,0)+ROW(),"")))</f>
        <v/>
      </c>
      <c r="U941" s="0" t="str">
        <f aca="false">IF(OR($B941="",$L941="已完成"),"",IF(ISNUMBER($B941),IF(设置!$B$6&lt;$B941,"",(设置!$B$6-$B941)*100000+ROW()),""))</f>
        <v/>
      </c>
      <c r="V941" s="0" t="str">
        <f aca="false">IF(ISNUMBER($O941),IF($O941&gt;=2,IF(COUNTIFS($D941:$D$2006,$D941,$E941:$E$2006,$E941)=1,ROW(),""),""),"")</f>
        <v/>
      </c>
    </row>
    <row r="942" customFormat="false" ht="15" hidden="false" customHeight="true" outlineLevel="0" collapsed="false">
      <c r="A942" s="13" t="str">
        <f aca="false">IF(AND($B942="",$D942="",$E942="",$F942=""),"",IF(OR($B942="",$D942="",$E942=""),"待补",IF($D942="公共区域","公",IF($D942="商铺","S",SUBSTITUTE($D942,"栋","")))&amp;"-"&amp;$E942&amp;"-"&amp;TEXT(MONTH($B942),"00")&amp;TEXT(DAY($B942),"00")&amp;IF(ISNUMBER($O942),IF($O942&gt;1,"-"&amp;TEXT($O942,"00"),""),"")))</f>
        <v/>
      </c>
      <c r="B942" s="14"/>
      <c r="C942" s="10"/>
      <c r="D942" s="10"/>
      <c r="E942" s="10"/>
      <c r="F942" s="16"/>
      <c r="G942" s="10"/>
      <c r="H942" s="10"/>
      <c r="I942" s="10"/>
      <c r="J942" s="10"/>
      <c r="K942" s="10"/>
      <c r="L942" s="10"/>
      <c r="M942" s="14"/>
      <c r="N942" s="17" t="str">
        <f aca="false">IF($B942="","",IF($L942="已完成",IF($M942="","",$M942-$B942),IF(设置!$B$6&lt;$B942,"",IF((设置!$B$6-$B942)&gt;=设置!$B$5,"超期"&amp;(设置!$B$6-$B942)&amp;"天","已等"&amp;(设置!$B$6-$B942)&amp;"天"))))</f>
        <v/>
      </c>
      <c r="O942" s="18" t="str">
        <f aca="false">IF(OR($D942="",$E942=""),"",COUNTIFS($D$7:$D942,$D942,$E$7:$E942,$E942))</f>
        <v/>
      </c>
      <c r="P942" s="16"/>
      <c r="Q942" s="19"/>
      <c r="R942" s="10"/>
      <c r="S942" s="16"/>
      <c r="T942" s="0" t="str">
        <f aca="false">IF(OR($D942="",单元查询!$B$3=""),"",IF($D942&lt;&gt;单元查询!$B$3,"",IF(OR(单元查询!$D$3="",$E942&amp;""=单元查询!$D$3&amp;""),IF(ISNUMBER($B942),$B942*10000,0)+ROW(),"")))</f>
        <v/>
      </c>
      <c r="U942" s="0" t="str">
        <f aca="false">IF(OR($B942="",$L942="已完成"),"",IF(ISNUMBER($B942),IF(设置!$B$6&lt;$B942,"",(设置!$B$6-$B942)*100000+ROW()),""))</f>
        <v/>
      </c>
      <c r="V942" s="0" t="str">
        <f aca="false">IF(ISNUMBER($O942),IF($O942&gt;=2,IF(COUNTIFS($D942:$D$2006,$D942,$E942:$E$2006,$E942)=1,ROW(),""),""),"")</f>
        <v/>
      </c>
    </row>
    <row r="943" customFormat="false" ht="15" hidden="false" customHeight="true" outlineLevel="0" collapsed="false">
      <c r="A943" s="13" t="str">
        <f aca="false">IF(AND($B943="",$D943="",$E943="",$F943=""),"",IF(OR($B943="",$D943="",$E943=""),"待补",IF($D943="公共区域","公",IF($D943="商铺","S",SUBSTITUTE($D943,"栋","")))&amp;"-"&amp;$E943&amp;"-"&amp;TEXT(MONTH($B943),"00")&amp;TEXT(DAY($B943),"00")&amp;IF(ISNUMBER($O943),IF($O943&gt;1,"-"&amp;TEXT($O943,"00"),""),"")))</f>
        <v/>
      </c>
      <c r="B943" s="14"/>
      <c r="C943" s="10"/>
      <c r="D943" s="10"/>
      <c r="E943" s="10"/>
      <c r="F943" s="16"/>
      <c r="G943" s="10"/>
      <c r="H943" s="10"/>
      <c r="I943" s="10"/>
      <c r="J943" s="10"/>
      <c r="K943" s="10"/>
      <c r="L943" s="10"/>
      <c r="M943" s="14"/>
      <c r="N943" s="17" t="str">
        <f aca="false">IF($B943="","",IF($L943="已完成",IF($M943="","",$M943-$B943),IF(设置!$B$6&lt;$B943,"",IF((设置!$B$6-$B943)&gt;=设置!$B$5,"超期"&amp;(设置!$B$6-$B943)&amp;"天","已等"&amp;(设置!$B$6-$B943)&amp;"天"))))</f>
        <v/>
      </c>
      <c r="O943" s="18" t="str">
        <f aca="false">IF(OR($D943="",$E943=""),"",COUNTIFS($D$7:$D943,$D943,$E$7:$E943,$E943))</f>
        <v/>
      </c>
      <c r="P943" s="16"/>
      <c r="Q943" s="19"/>
      <c r="R943" s="10"/>
      <c r="S943" s="16"/>
      <c r="T943" s="0" t="str">
        <f aca="false">IF(OR($D943="",单元查询!$B$3=""),"",IF($D943&lt;&gt;单元查询!$B$3,"",IF(OR(单元查询!$D$3="",$E943&amp;""=单元查询!$D$3&amp;""),IF(ISNUMBER($B943),$B943*10000,0)+ROW(),"")))</f>
        <v/>
      </c>
      <c r="U943" s="0" t="str">
        <f aca="false">IF(OR($B943="",$L943="已完成"),"",IF(ISNUMBER($B943),IF(设置!$B$6&lt;$B943,"",(设置!$B$6-$B943)*100000+ROW()),""))</f>
        <v/>
      </c>
      <c r="V943" s="0" t="str">
        <f aca="false">IF(ISNUMBER($O943),IF($O943&gt;=2,IF(COUNTIFS($D943:$D$2006,$D943,$E943:$E$2006,$E943)=1,ROW(),""),""),"")</f>
        <v/>
      </c>
    </row>
    <row r="944" customFormat="false" ht="15" hidden="false" customHeight="true" outlineLevel="0" collapsed="false">
      <c r="A944" s="13" t="str">
        <f aca="false">IF(AND($B944="",$D944="",$E944="",$F944=""),"",IF(OR($B944="",$D944="",$E944=""),"待补",IF($D944="公共区域","公",IF($D944="商铺","S",SUBSTITUTE($D944,"栋","")))&amp;"-"&amp;$E944&amp;"-"&amp;TEXT(MONTH($B944),"00")&amp;TEXT(DAY($B944),"00")&amp;IF(ISNUMBER($O944),IF($O944&gt;1,"-"&amp;TEXT($O944,"00"),""),"")))</f>
        <v/>
      </c>
      <c r="B944" s="14"/>
      <c r="C944" s="10"/>
      <c r="D944" s="10"/>
      <c r="E944" s="10"/>
      <c r="F944" s="16"/>
      <c r="G944" s="10"/>
      <c r="H944" s="10"/>
      <c r="I944" s="10"/>
      <c r="J944" s="10"/>
      <c r="K944" s="10"/>
      <c r="L944" s="10"/>
      <c r="M944" s="14"/>
      <c r="N944" s="17" t="str">
        <f aca="false">IF($B944="","",IF($L944="已完成",IF($M944="","",$M944-$B944),IF(设置!$B$6&lt;$B944,"",IF((设置!$B$6-$B944)&gt;=设置!$B$5,"超期"&amp;(设置!$B$6-$B944)&amp;"天","已等"&amp;(设置!$B$6-$B944)&amp;"天"))))</f>
        <v/>
      </c>
      <c r="O944" s="18" t="str">
        <f aca="false">IF(OR($D944="",$E944=""),"",COUNTIFS($D$7:$D944,$D944,$E$7:$E944,$E944))</f>
        <v/>
      </c>
      <c r="P944" s="16"/>
      <c r="Q944" s="19"/>
      <c r="R944" s="10"/>
      <c r="S944" s="16"/>
      <c r="T944" s="0" t="str">
        <f aca="false">IF(OR($D944="",单元查询!$B$3=""),"",IF($D944&lt;&gt;单元查询!$B$3,"",IF(OR(单元查询!$D$3="",$E944&amp;""=单元查询!$D$3&amp;""),IF(ISNUMBER($B944),$B944*10000,0)+ROW(),"")))</f>
        <v/>
      </c>
      <c r="U944" s="0" t="str">
        <f aca="false">IF(OR($B944="",$L944="已完成"),"",IF(ISNUMBER($B944),IF(设置!$B$6&lt;$B944,"",(设置!$B$6-$B944)*100000+ROW()),""))</f>
        <v/>
      </c>
      <c r="V944" s="0" t="str">
        <f aca="false">IF(ISNUMBER($O944),IF($O944&gt;=2,IF(COUNTIFS($D944:$D$2006,$D944,$E944:$E$2006,$E944)=1,ROW(),""),""),"")</f>
        <v/>
      </c>
    </row>
    <row r="945" customFormat="false" ht="15" hidden="false" customHeight="true" outlineLevel="0" collapsed="false">
      <c r="A945" s="13" t="str">
        <f aca="false">IF(AND($B945="",$D945="",$E945="",$F945=""),"",IF(OR($B945="",$D945="",$E945=""),"待补",IF($D945="公共区域","公",IF($D945="商铺","S",SUBSTITUTE($D945,"栋","")))&amp;"-"&amp;$E945&amp;"-"&amp;TEXT(MONTH($B945),"00")&amp;TEXT(DAY($B945),"00")&amp;IF(ISNUMBER($O945),IF($O945&gt;1,"-"&amp;TEXT($O945,"00"),""),"")))</f>
        <v/>
      </c>
      <c r="B945" s="14"/>
      <c r="C945" s="10"/>
      <c r="D945" s="10"/>
      <c r="E945" s="10"/>
      <c r="F945" s="16"/>
      <c r="G945" s="10"/>
      <c r="H945" s="10"/>
      <c r="I945" s="10"/>
      <c r="J945" s="10"/>
      <c r="K945" s="10"/>
      <c r="L945" s="10"/>
      <c r="M945" s="14"/>
      <c r="N945" s="17" t="str">
        <f aca="false">IF($B945="","",IF($L945="已完成",IF($M945="","",$M945-$B945),IF(设置!$B$6&lt;$B945,"",IF((设置!$B$6-$B945)&gt;=设置!$B$5,"超期"&amp;(设置!$B$6-$B945)&amp;"天","已等"&amp;(设置!$B$6-$B945)&amp;"天"))))</f>
        <v/>
      </c>
      <c r="O945" s="18" t="str">
        <f aca="false">IF(OR($D945="",$E945=""),"",COUNTIFS($D$7:$D945,$D945,$E$7:$E945,$E945))</f>
        <v/>
      </c>
      <c r="P945" s="16"/>
      <c r="Q945" s="19"/>
      <c r="R945" s="10"/>
      <c r="S945" s="16"/>
      <c r="T945" s="0" t="str">
        <f aca="false">IF(OR($D945="",单元查询!$B$3=""),"",IF($D945&lt;&gt;单元查询!$B$3,"",IF(OR(单元查询!$D$3="",$E945&amp;""=单元查询!$D$3&amp;""),IF(ISNUMBER($B945),$B945*10000,0)+ROW(),"")))</f>
        <v/>
      </c>
      <c r="U945" s="0" t="str">
        <f aca="false">IF(OR($B945="",$L945="已完成"),"",IF(ISNUMBER($B945),IF(设置!$B$6&lt;$B945,"",(设置!$B$6-$B945)*100000+ROW()),""))</f>
        <v/>
      </c>
      <c r="V945" s="0" t="str">
        <f aca="false">IF(ISNUMBER($O945),IF($O945&gt;=2,IF(COUNTIFS($D945:$D$2006,$D945,$E945:$E$2006,$E945)=1,ROW(),""),""),"")</f>
        <v/>
      </c>
    </row>
    <row r="946" customFormat="false" ht="15" hidden="false" customHeight="true" outlineLevel="0" collapsed="false">
      <c r="A946" s="13" t="str">
        <f aca="false">IF(AND($B946="",$D946="",$E946="",$F946=""),"",IF(OR($B946="",$D946="",$E946=""),"待补",IF($D946="公共区域","公",IF($D946="商铺","S",SUBSTITUTE($D946,"栋","")))&amp;"-"&amp;$E946&amp;"-"&amp;TEXT(MONTH($B946),"00")&amp;TEXT(DAY($B946),"00")&amp;IF(ISNUMBER($O946),IF($O946&gt;1,"-"&amp;TEXT($O946,"00"),""),"")))</f>
        <v/>
      </c>
      <c r="B946" s="14"/>
      <c r="C946" s="10"/>
      <c r="D946" s="10"/>
      <c r="E946" s="10"/>
      <c r="F946" s="16"/>
      <c r="G946" s="10"/>
      <c r="H946" s="10"/>
      <c r="I946" s="10"/>
      <c r="J946" s="10"/>
      <c r="K946" s="10"/>
      <c r="L946" s="10"/>
      <c r="M946" s="14"/>
      <c r="N946" s="17" t="str">
        <f aca="false">IF($B946="","",IF($L946="已完成",IF($M946="","",$M946-$B946),IF(设置!$B$6&lt;$B946,"",IF((设置!$B$6-$B946)&gt;=设置!$B$5,"超期"&amp;(设置!$B$6-$B946)&amp;"天","已等"&amp;(设置!$B$6-$B946)&amp;"天"))))</f>
        <v/>
      </c>
      <c r="O946" s="18" t="str">
        <f aca="false">IF(OR($D946="",$E946=""),"",COUNTIFS($D$7:$D946,$D946,$E$7:$E946,$E946))</f>
        <v/>
      </c>
      <c r="P946" s="16"/>
      <c r="Q946" s="19"/>
      <c r="R946" s="10"/>
      <c r="S946" s="16"/>
      <c r="T946" s="0" t="str">
        <f aca="false">IF(OR($D946="",单元查询!$B$3=""),"",IF($D946&lt;&gt;单元查询!$B$3,"",IF(OR(单元查询!$D$3="",$E946&amp;""=单元查询!$D$3&amp;""),IF(ISNUMBER($B946),$B946*10000,0)+ROW(),"")))</f>
        <v/>
      </c>
      <c r="U946" s="0" t="str">
        <f aca="false">IF(OR($B946="",$L946="已完成"),"",IF(ISNUMBER($B946),IF(设置!$B$6&lt;$B946,"",(设置!$B$6-$B946)*100000+ROW()),""))</f>
        <v/>
      </c>
      <c r="V946" s="0" t="str">
        <f aca="false">IF(ISNUMBER($O946),IF($O946&gt;=2,IF(COUNTIFS($D946:$D$2006,$D946,$E946:$E$2006,$E946)=1,ROW(),""),""),"")</f>
        <v/>
      </c>
    </row>
    <row r="947" customFormat="false" ht="15" hidden="false" customHeight="true" outlineLevel="0" collapsed="false">
      <c r="A947" s="13" t="str">
        <f aca="false">IF(AND($B947="",$D947="",$E947="",$F947=""),"",IF(OR($B947="",$D947="",$E947=""),"待补",IF($D947="公共区域","公",IF($D947="商铺","S",SUBSTITUTE($D947,"栋","")))&amp;"-"&amp;$E947&amp;"-"&amp;TEXT(MONTH($B947),"00")&amp;TEXT(DAY($B947),"00")&amp;IF(ISNUMBER($O947),IF($O947&gt;1,"-"&amp;TEXT($O947,"00"),""),"")))</f>
        <v/>
      </c>
      <c r="B947" s="14"/>
      <c r="C947" s="10"/>
      <c r="D947" s="10"/>
      <c r="E947" s="10"/>
      <c r="F947" s="16"/>
      <c r="G947" s="10"/>
      <c r="H947" s="10"/>
      <c r="I947" s="10"/>
      <c r="J947" s="10"/>
      <c r="K947" s="10"/>
      <c r="L947" s="10"/>
      <c r="M947" s="14"/>
      <c r="N947" s="17" t="str">
        <f aca="false">IF($B947="","",IF($L947="已完成",IF($M947="","",$M947-$B947),IF(设置!$B$6&lt;$B947,"",IF((设置!$B$6-$B947)&gt;=设置!$B$5,"超期"&amp;(设置!$B$6-$B947)&amp;"天","已等"&amp;(设置!$B$6-$B947)&amp;"天"))))</f>
        <v/>
      </c>
      <c r="O947" s="18" t="str">
        <f aca="false">IF(OR($D947="",$E947=""),"",COUNTIFS($D$7:$D947,$D947,$E$7:$E947,$E947))</f>
        <v/>
      </c>
      <c r="P947" s="16"/>
      <c r="Q947" s="19"/>
      <c r="R947" s="10"/>
      <c r="S947" s="16"/>
      <c r="T947" s="0" t="str">
        <f aca="false">IF(OR($D947="",单元查询!$B$3=""),"",IF($D947&lt;&gt;单元查询!$B$3,"",IF(OR(单元查询!$D$3="",$E947&amp;""=单元查询!$D$3&amp;""),IF(ISNUMBER($B947),$B947*10000,0)+ROW(),"")))</f>
        <v/>
      </c>
      <c r="U947" s="0" t="str">
        <f aca="false">IF(OR($B947="",$L947="已完成"),"",IF(ISNUMBER($B947),IF(设置!$B$6&lt;$B947,"",(设置!$B$6-$B947)*100000+ROW()),""))</f>
        <v/>
      </c>
      <c r="V947" s="0" t="str">
        <f aca="false">IF(ISNUMBER($O947),IF($O947&gt;=2,IF(COUNTIFS($D947:$D$2006,$D947,$E947:$E$2006,$E947)=1,ROW(),""),""),"")</f>
        <v/>
      </c>
    </row>
    <row r="948" customFormat="false" ht="15" hidden="false" customHeight="true" outlineLevel="0" collapsed="false">
      <c r="A948" s="13" t="str">
        <f aca="false">IF(AND($B948="",$D948="",$E948="",$F948=""),"",IF(OR($B948="",$D948="",$E948=""),"待补",IF($D948="公共区域","公",IF($D948="商铺","S",SUBSTITUTE($D948,"栋","")))&amp;"-"&amp;$E948&amp;"-"&amp;TEXT(MONTH($B948),"00")&amp;TEXT(DAY($B948),"00")&amp;IF(ISNUMBER($O948),IF($O948&gt;1,"-"&amp;TEXT($O948,"00"),""),"")))</f>
        <v/>
      </c>
      <c r="B948" s="14"/>
      <c r="C948" s="10"/>
      <c r="D948" s="10"/>
      <c r="E948" s="10"/>
      <c r="F948" s="16"/>
      <c r="G948" s="10"/>
      <c r="H948" s="10"/>
      <c r="I948" s="10"/>
      <c r="J948" s="10"/>
      <c r="K948" s="10"/>
      <c r="L948" s="10"/>
      <c r="M948" s="14"/>
      <c r="N948" s="17" t="str">
        <f aca="false">IF($B948="","",IF($L948="已完成",IF($M948="","",$M948-$B948),IF(设置!$B$6&lt;$B948,"",IF((设置!$B$6-$B948)&gt;=设置!$B$5,"超期"&amp;(设置!$B$6-$B948)&amp;"天","已等"&amp;(设置!$B$6-$B948)&amp;"天"))))</f>
        <v/>
      </c>
      <c r="O948" s="18" t="str">
        <f aca="false">IF(OR($D948="",$E948=""),"",COUNTIFS($D$7:$D948,$D948,$E$7:$E948,$E948))</f>
        <v/>
      </c>
      <c r="P948" s="16"/>
      <c r="Q948" s="19"/>
      <c r="R948" s="10"/>
      <c r="S948" s="16"/>
      <c r="T948" s="0" t="str">
        <f aca="false">IF(OR($D948="",单元查询!$B$3=""),"",IF($D948&lt;&gt;单元查询!$B$3,"",IF(OR(单元查询!$D$3="",$E948&amp;""=单元查询!$D$3&amp;""),IF(ISNUMBER($B948),$B948*10000,0)+ROW(),"")))</f>
        <v/>
      </c>
      <c r="U948" s="0" t="str">
        <f aca="false">IF(OR($B948="",$L948="已完成"),"",IF(ISNUMBER($B948),IF(设置!$B$6&lt;$B948,"",(设置!$B$6-$B948)*100000+ROW()),""))</f>
        <v/>
      </c>
      <c r="V948" s="0" t="str">
        <f aca="false">IF(ISNUMBER($O948),IF($O948&gt;=2,IF(COUNTIFS($D948:$D$2006,$D948,$E948:$E$2006,$E948)=1,ROW(),""),""),"")</f>
        <v/>
      </c>
    </row>
    <row r="949" customFormat="false" ht="15" hidden="false" customHeight="true" outlineLevel="0" collapsed="false">
      <c r="A949" s="13" t="str">
        <f aca="false">IF(AND($B949="",$D949="",$E949="",$F949=""),"",IF(OR($B949="",$D949="",$E949=""),"待补",IF($D949="公共区域","公",IF($D949="商铺","S",SUBSTITUTE($D949,"栋","")))&amp;"-"&amp;$E949&amp;"-"&amp;TEXT(MONTH($B949),"00")&amp;TEXT(DAY($B949),"00")&amp;IF(ISNUMBER($O949),IF($O949&gt;1,"-"&amp;TEXT($O949,"00"),""),"")))</f>
        <v/>
      </c>
      <c r="B949" s="14"/>
      <c r="C949" s="10"/>
      <c r="D949" s="10"/>
      <c r="E949" s="10"/>
      <c r="F949" s="16"/>
      <c r="G949" s="10"/>
      <c r="H949" s="10"/>
      <c r="I949" s="10"/>
      <c r="J949" s="10"/>
      <c r="K949" s="10"/>
      <c r="L949" s="10"/>
      <c r="M949" s="14"/>
      <c r="N949" s="17" t="str">
        <f aca="false">IF($B949="","",IF($L949="已完成",IF($M949="","",$M949-$B949),IF(设置!$B$6&lt;$B949,"",IF((设置!$B$6-$B949)&gt;=设置!$B$5,"超期"&amp;(设置!$B$6-$B949)&amp;"天","已等"&amp;(设置!$B$6-$B949)&amp;"天"))))</f>
        <v/>
      </c>
      <c r="O949" s="18" t="str">
        <f aca="false">IF(OR($D949="",$E949=""),"",COUNTIFS($D$7:$D949,$D949,$E$7:$E949,$E949))</f>
        <v/>
      </c>
      <c r="P949" s="16"/>
      <c r="Q949" s="19"/>
      <c r="R949" s="10"/>
      <c r="S949" s="16"/>
      <c r="T949" s="0" t="str">
        <f aca="false">IF(OR($D949="",单元查询!$B$3=""),"",IF($D949&lt;&gt;单元查询!$B$3,"",IF(OR(单元查询!$D$3="",$E949&amp;""=单元查询!$D$3&amp;""),IF(ISNUMBER($B949),$B949*10000,0)+ROW(),"")))</f>
        <v/>
      </c>
      <c r="U949" s="0" t="str">
        <f aca="false">IF(OR($B949="",$L949="已完成"),"",IF(ISNUMBER($B949),IF(设置!$B$6&lt;$B949,"",(设置!$B$6-$B949)*100000+ROW()),""))</f>
        <v/>
      </c>
      <c r="V949" s="0" t="str">
        <f aca="false">IF(ISNUMBER($O949),IF($O949&gt;=2,IF(COUNTIFS($D949:$D$2006,$D949,$E949:$E$2006,$E949)=1,ROW(),""),""),"")</f>
        <v/>
      </c>
    </row>
    <row r="950" customFormat="false" ht="15" hidden="false" customHeight="true" outlineLevel="0" collapsed="false">
      <c r="A950" s="13" t="str">
        <f aca="false">IF(AND($B950="",$D950="",$E950="",$F950=""),"",IF(OR($B950="",$D950="",$E950=""),"待补",IF($D950="公共区域","公",IF($D950="商铺","S",SUBSTITUTE($D950,"栋","")))&amp;"-"&amp;$E950&amp;"-"&amp;TEXT(MONTH($B950),"00")&amp;TEXT(DAY($B950),"00")&amp;IF(ISNUMBER($O950),IF($O950&gt;1,"-"&amp;TEXT($O950,"00"),""),"")))</f>
        <v/>
      </c>
      <c r="B950" s="14"/>
      <c r="C950" s="10"/>
      <c r="D950" s="10"/>
      <c r="E950" s="10"/>
      <c r="F950" s="16"/>
      <c r="G950" s="10"/>
      <c r="H950" s="10"/>
      <c r="I950" s="10"/>
      <c r="J950" s="10"/>
      <c r="K950" s="10"/>
      <c r="L950" s="10"/>
      <c r="M950" s="14"/>
      <c r="N950" s="17" t="str">
        <f aca="false">IF($B950="","",IF($L950="已完成",IF($M950="","",$M950-$B950),IF(设置!$B$6&lt;$B950,"",IF((设置!$B$6-$B950)&gt;=设置!$B$5,"超期"&amp;(设置!$B$6-$B950)&amp;"天","已等"&amp;(设置!$B$6-$B950)&amp;"天"))))</f>
        <v/>
      </c>
      <c r="O950" s="18" t="str">
        <f aca="false">IF(OR($D950="",$E950=""),"",COUNTIFS($D$7:$D950,$D950,$E$7:$E950,$E950))</f>
        <v/>
      </c>
      <c r="P950" s="16"/>
      <c r="Q950" s="19"/>
      <c r="R950" s="10"/>
      <c r="S950" s="16"/>
      <c r="T950" s="0" t="str">
        <f aca="false">IF(OR($D950="",单元查询!$B$3=""),"",IF($D950&lt;&gt;单元查询!$B$3,"",IF(OR(单元查询!$D$3="",$E950&amp;""=单元查询!$D$3&amp;""),IF(ISNUMBER($B950),$B950*10000,0)+ROW(),"")))</f>
        <v/>
      </c>
      <c r="U950" s="0" t="str">
        <f aca="false">IF(OR($B950="",$L950="已完成"),"",IF(ISNUMBER($B950),IF(设置!$B$6&lt;$B950,"",(设置!$B$6-$B950)*100000+ROW()),""))</f>
        <v/>
      </c>
      <c r="V950" s="0" t="str">
        <f aca="false">IF(ISNUMBER($O950),IF($O950&gt;=2,IF(COUNTIFS($D950:$D$2006,$D950,$E950:$E$2006,$E950)=1,ROW(),""),""),"")</f>
        <v/>
      </c>
    </row>
    <row r="951" customFormat="false" ht="15" hidden="false" customHeight="true" outlineLevel="0" collapsed="false">
      <c r="A951" s="13" t="str">
        <f aca="false">IF(AND($B951="",$D951="",$E951="",$F951=""),"",IF(OR($B951="",$D951="",$E951=""),"待补",IF($D951="公共区域","公",IF($D951="商铺","S",SUBSTITUTE($D951,"栋","")))&amp;"-"&amp;$E951&amp;"-"&amp;TEXT(MONTH($B951),"00")&amp;TEXT(DAY($B951),"00")&amp;IF(ISNUMBER($O951),IF($O951&gt;1,"-"&amp;TEXT($O951,"00"),""),"")))</f>
        <v/>
      </c>
      <c r="B951" s="14"/>
      <c r="C951" s="10"/>
      <c r="D951" s="10"/>
      <c r="E951" s="10"/>
      <c r="F951" s="16"/>
      <c r="G951" s="10"/>
      <c r="H951" s="10"/>
      <c r="I951" s="10"/>
      <c r="J951" s="10"/>
      <c r="K951" s="10"/>
      <c r="L951" s="10"/>
      <c r="M951" s="14"/>
      <c r="N951" s="17" t="str">
        <f aca="false">IF($B951="","",IF($L951="已完成",IF($M951="","",$M951-$B951),IF(设置!$B$6&lt;$B951,"",IF((设置!$B$6-$B951)&gt;=设置!$B$5,"超期"&amp;(设置!$B$6-$B951)&amp;"天","已等"&amp;(设置!$B$6-$B951)&amp;"天"))))</f>
        <v/>
      </c>
      <c r="O951" s="18" t="str">
        <f aca="false">IF(OR($D951="",$E951=""),"",COUNTIFS($D$7:$D951,$D951,$E$7:$E951,$E951))</f>
        <v/>
      </c>
      <c r="P951" s="16"/>
      <c r="Q951" s="19"/>
      <c r="R951" s="10"/>
      <c r="S951" s="16"/>
      <c r="T951" s="0" t="str">
        <f aca="false">IF(OR($D951="",单元查询!$B$3=""),"",IF($D951&lt;&gt;单元查询!$B$3,"",IF(OR(单元查询!$D$3="",$E951&amp;""=单元查询!$D$3&amp;""),IF(ISNUMBER($B951),$B951*10000,0)+ROW(),"")))</f>
        <v/>
      </c>
      <c r="U951" s="0" t="str">
        <f aca="false">IF(OR($B951="",$L951="已完成"),"",IF(ISNUMBER($B951),IF(设置!$B$6&lt;$B951,"",(设置!$B$6-$B951)*100000+ROW()),""))</f>
        <v/>
      </c>
      <c r="V951" s="0" t="str">
        <f aca="false">IF(ISNUMBER($O951),IF($O951&gt;=2,IF(COUNTIFS($D951:$D$2006,$D951,$E951:$E$2006,$E951)=1,ROW(),""),""),"")</f>
        <v/>
      </c>
    </row>
    <row r="952" customFormat="false" ht="15" hidden="false" customHeight="true" outlineLevel="0" collapsed="false">
      <c r="A952" s="13" t="str">
        <f aca="false">IF(AND($B952="",$D952="",$E952="",$F952=""),"",IF(OR($B952="",$D952="",$E952=""),"待补",IF($D952="公共区域","公",IF($D952="商铺","S",SUBSTITUTE($D952,"栋","")))&amp;"-"&amp;$E952&amp;"-"&amp;TEXT(MONTH($B952),"00")&amp;TEXT(DAY($B952),"00")&amp;IF(ISNUMBER($O952),IF($O952&gt;1,"-"&amp;TEXT($O952,"00"),""),"")))</f>
        <v/>
      </c>
      <c r="B952" s="14"/>
      <c r="C952" s="10"/>
      <c r="D952" s="10"/>
      <c r="E952" s="10"/>
      <c r="F952" s="16"/>
      <c r="G952" s="10"/>
      <c r="H952" s="10"/>
      <c r="I952" s="10"/>
      <c r="J952" s="10"/>
      <c r="K952" s="10"/>
      <c r="L952" s="10"/>
      <c r="M952" s="14"/>
      <c r="N952" s="17" t="str">
        <f aca="false">IF($B952="","",IF($L952="已完成",IF($M952="","",$M952-$B952),IF(设置!$B$6&lt;$B952,"",IF((设置!$B$6-$B952)&gt;=设置!$B$5,"超期"&amp;(设置!$B$6-$B952)&amp;"天","已等"&amp;(设置!$B$6-$B952)&amp;"天"))))</f>
        <v/>
      </c>
      <c r="O952" s="18" t="str">
        <f aca="false">IF(OR($D952="",$E952=""),"",COUNTIFS($D$7:$D952,$D952,$E$7:$E952,$E952))</f>
        <v/>
      </c>
      <c r="P952" s="16"/>
      <c r="Q952" s="19"/>
      <c r="R952" s="10"/>
      <c r="S952" s="16"/>
      <c r="T952" s="0" t="str">
        <f aca="false">IF(OR($D952="",单元查询!$B$3=""),"",IF($D952&lt;&gt;单元查询!$B$3,"",IF(OR(单元查询!$D$3="",$E952&amp;""=单元查询!$D$3&amp;""),IF(ISNUMBER($B952),$B952*10000,0)+ROW(),"")))</f>
        <v/>
      </c>
      <c r="U952" s="0" t="str">
        <f aca="false">IF(OR($B952="",$L952="已完成"),"",IF(ISNUMBER($B952),IF(设置!$B$6&lt;$B952,"",(设置!$B$6-$B952)*100000+ROW()),""))</f>
        <v/>
      </c>
      <c r="V952" s="0" t="str">
        <f aca="false">IF(ISNUMBER($O952),IF($O952&gt;=2,IF(COUNTIFS($D952:$D$2006,$D952,$E952:$E$2006,$E952)=1,ROW(),""),""),"")</f>
        <v/>
      </c>
    </row>
    <row r="953" customFormat="false" ht="15" hidden="false" customHeight="true" outlineLevel="0" collapsed="false">
      <c r="A953" s="13" t="str">
        <f aca="false">IF(AND($B953="",$D953="",$E953="",$F953=""),"",IF(OR($B953="",$D953="",$E953=""),"待补",IF($D953="公共区域","公",IF($D953="商铺","S",SUBSTITUTE($D953,"栋","")))&amp;"-"&amp;$E953&amp;"-"&amp;TEXT(MONTH($B953),"00")&amp;TEXT(DAY($B953),"00")&amp;IF(ISNUMBER($O953),IF($O953&gt;1,"-"&amp;TEXT($O953,"00"),""),"")))</f>
        <v/>
      </c>
      <c r="B953" s="14"/>
      <c r="C953" s="10"/>
      <c r="D953" s="10"/>
      <c r="E953" s="10"/>
      <c r="F953" s="16"/>
      <c r="G953" s="10"/>
      <c r="H953" s="10"/>
      <c r="I953" s="10"/>
      <c r="J953" s="10"/>
      <c r="K953" s="10"/>
      <c r="L953" s="10"/>
      <c r="M953" s="14"/>
      <c r="N953" s="17" t="str">
        <f aca="false">IF($B953="","",IF($L953="已完成",IF($M953="","",$M953-$B953),IF(设置!$B$6&lt;$B953,"",IF((设置!$B$6-$B953)&gt;=设置!$B$5,"超期"&amp;(设置!$B$6-$B953)&amp;"天","已等"&amp;(设置!$B$6-$B953)&amp;"天"))))</f>
        <v/>
      </c>
      <c r="O953" s="18" t="str">
        <f aca="false">IF(OR($D953="",$E953=""),"",COUNTIFS($D$7:$D953,$D953,$E$7:$E953,$E953))</f>
        <v/>
      </c>
      <c r="P953" s="16"/>
      <c r="Q953" s="19"/>
      <c r="R953" s="10"/>
      <c r="S953" s="16"/>
      <c r="T953" s="0" t="str">
        <f aca="false">IF(OR($D953="",单元查询!$B$3=""),"",IF($D953&lt;&gt;单元查询!$B$3,"",IF(OR(单元查询!$D$3="",$E953&amp;""=单元查询!$D$3&amp;""),IF(ISNUMBER($B953),$B953*10000,0)+ROW(),"")))</f>
        <v/>
      </c>
      <c r="U953" s="0" t="str">
        <f aca="false">IF(OR($B953="",$L953="已完成"),"",IF(ISNUMBER($B953),IF(设置!$B$6&lt;$B953,"",(设置!$B$6-$B953)*100000+ROW()),""))</f>
        <v/>
      </c>
      <c r="V953" s="0" t="str">
        <f aca="false">IF(ISNUMBER($O953),IF($O953&gt;=2,IF(COUNTIFS($D953:$D$2006,$D953,$E953:$E$2006,$E953)=1,ROW(),""),""),"")</f>
        <v/>
      </c>
    </row>
    <row r="954" customFormat="false" ht="15" hidden="false" customHeight="true" outlineLevel="0" collapsed="false">
      <c r="A954" s="13" t="str">
        <f aca="false">IF(AND($B954="",$D954="",$E954="",$F954=""),"",IF(OR($B954="",$D954="",$E954=""),"待补",IF($D954="公共区域","公",IF($D954="商铺","S",SUBSTITUTE($D954,"栋","")))&amp;"-"&amp;$E954&amp;"-"&amp;TEXT(MONTH($B954),"00")&amp;TEXT(DAY($B954),"00")&amp;IF(ISNUMBER($O954),IF($O954&gt;1,"-"&amp;TEXT($O954,"00"),""),"")))</f>
        <v/>
      </c>
      <c r="B954" s="14"/>
      <c r="C954" s="10"/>
      <c r="D954" s="10"/>
      <c r="E954" s="10"/>
      <c r="F954" s="16"/>
      <c r="G954" s="10"/>
      <c r="H954" s="10"/>
      <c r="I954" s="10"/>
      <c r="J954" s="10"/>
      <c r="K954" s="10"/>
      <c r="L954" s="10"/>
      <c r="M954" s="14"/>
      <c r="N954" s="17" t="str">
        <f aca="false">IF($B954="","",IF($L954="已完成",IF($M954="","",$M954-$B954),IF(设置!$B$6&lt;$B954,"",IF((设置!$B$6-$B954)&gt;=设置!$B$5,"超期"&amp;(设置!$B$6-$B954)&amp;"天","已等"&amp;(设置!$B$6-$B954)&amp;"天"))))</f>
        <v/>
      </c>
      <c r="O954" s="18" t="str">
        <f aca="false">IF(OR($D954="",$E954=""),"",COUNTIFS($D$7:$D954,$D954,$E$7:$E954,$E954))</f>
        <v/>
      </c>
      <c r="P954" s="16"/>
      <c r="Q954" s="19"/>
      <c r="R954" s="10"/>
      <c r="S954" s="16"/>
      <c r="T954" s="0" t="str">
        <f aca="false">IF(OR($D954="",单元查询!$B$3=""),"",IF($D954&lt;&gt;单元查询!$B$3,"",IF(OR(单元查询!$D$3="",$E954&amp;""=单元查询!$D$3&amp;""),IF(ISNUMBER($B954),$B954*10000,0)+ROW(),"")))</f>
        <v/>
      </c>
      <c r="U954" s="0" t="str">
        <f aca="false">IF(OR($B954="",$L954="已完成"),"",IF(ISNUMBER($B954),IF(设置!$B$6&lt;$B954,"",(设置!$B$6-$B954)*100000+ROW()),""))</f>
        <v/>
      </c>
      <c r="V954" s="0" t="str">
        <f aca="false">IF(ISNUMBER($O954),IF($O954&gt;=2,IF(COUNTIFS($D954:$D$2006,$D954,$E954:$E$2006,$E954)=1,ROW(),""),""),"")</f>
        <v/>
      </c>
    </row>
    <row r="955" customFormat="false" ht="15" hidden="false" customHeight="true" outlineLevel="0" collapsed="false">
      <c r="A955" s="13" t="str">
        <f aca="false">IF(AND($B955="",$D955="",$E955="",$F955=""),"",IF(OR($B955="",$D955="",$E955=""),"待补",IF($D955="公共区域","公",IF($D955="商铺","S",SUBSTITUTE($D955,"栋","")))&amp;"-"&amp;$E955&amp;"-"&amp;TEXT(MONTH($B955),"00")&amp;TEXT(DAY($B955),"00")&amp;IF(ISNUMBER($O955),IF($O955&gt;1,"-"&amp;TEXT($O955,"00"),""),"")))</f>
        <v/>
      </c>
      <c r="B955" s="14"/>
      <c r="C955" s="10"/>
      <c r="D955" s="10"/>
      <c r="E955" s="10"/>
      <c r="F955" s="16"/>
      <c r="G955" s="10"/>
      <c r="H955" s="10"/>
      <c r="I955" s="10"/>
      <c r="J955" s="10"/>
      <c r="K955" s="10"/>
      <c r="L955" s="10"/>
      <c r="M955" s="14"/>
      <c r="N955" s="17" t="str">
        <f aca="false">IF($B955="","",IF($L955="已完成",IF($M955="","",$M955-$B955),IF(设置!$B$6&lt;$B955,"",IF((设置!$B$6-$B955)&gt;=设置!$B$5,"超期"&amp;(设置!$B$6-$B955)&amp;"天","已等"&amp;(设置!$B$6-$B955)&amp;"天"))))</f>
        <v/>
      </c>
      <c r="O955" s="18" t="str">
        <f aca="false">IF(OR($D955="",$E955=""),"",COUNTIFS($D$7:$D955,$D955,$E$7:$E955,$E955))</f>
        <v/>
      </c>
      <c r="P955" s="16"/>
      <c r="Q955" s="19"/>
      <c r="R955" s="10"/>
      <c r="S955" s="16"/>
      <c r="T955" s="0" t="str">
        <f aca="false">IF(OR($D955="",单元查询!$B$3=""),"",IF($D955&lt;&gt;单元查询!$B$3,"",IF(OR(单元查询!$D$3="",$E955&amp;""=单元查询!$D$3&amp;""),IF(ISNUMBER($B955),$B955*10000,0)+ROW(),"")))</f>
        <v/>
      </c>
      <c r="U955" s="0" t="str">
        <f aca="false">IF(OR($B955="",$L955="已完成"),"",IF(ISNUMBER($B955),IF(设置!$B$6&lt;$B955,"",(设置!$B$6-$B955)*100000+ROW()),""))</f>
        <v/>
      </c>
      <c r="V955" s="0" t="str">
        <f aca="false">IF(ISNUMBER($O955),IF($O955&gt;=2,IF(COUNTIFS($D955:$D$2006,$D955,$E955:$E$2006,$E955)=1,ROW(),""),""),"")</f>
        <v/>
      </c>
    </row>
    <row r="956" customFormat="false" ht="15" hidden="false" customHeight="true" outlineLevel="0" collapsed="false">
      <c r="A956" s="13" t="str">
        <f aca="false">IF(AND($B956="",$D956="",$E956="",$F956=""),"",IF(OR($B956="",$D956="",$E956=""),"待补",IF($D956="公共区域","公",IF($D956="商铺","S",SUBSTITUTE($D956,"栋","")))&amp;"-"&amp;$E956&amp;"-"&amp;TEXT(MONTH($B956),"00")&amp;TEXT(DAY($B956),"00")&amp;IF(ISNUMBER($O956),IF($O956&gt;1,"-"&amp;TEXT($O956,"00"),""),"")))</f>
        <v/>
      </c>
      <c r="B956" s="14"/>
      <c r="C956" s="10"/>
      <c r="D956" s="10"/>
      <c r="E956" s="10"/>
      <c r="F956" s="16"/>
      <c r="G956" s="10"/>
      <c r="H956" s="10"/>
      <c r="I956" s="10"/>
      <c r="J956" s="10"/>
      <c r="K956" s="10"/>
      <c r="L956" s="10"/>
      <c r="M956" s="14"/>
      <c r="N956" s="17" t="str">
        <f aca="false">IF($B956="","",IF($L956="已完成",IF($M956="","",$M956-$B956),IF(设置!$B$6&lt;$B956,"",IF((设置!$B$6-$B956)&gt;=设置!$B$5,"超期"&amp;(设置!$B$6-$B956)&amp;"天","已等"&amp;(设置!$B$6-$B956)&amp;"天"))))</f>
        <v/>
      </c>
      <c r="O956" s="18" t="str">
        <f aca="false">IF(OR($D956="",$E956=""),"",COUNTIFS($D$7:$D956,$D956,$E$7:$E956,$E956))</f>
        <v/>
      </c>
      <c r="P956" s="16"/>
      <c r="Q956" s="19"/>
      <c r="R956" s="10"/>
      <c r="S956" s="16"/>
      <c r="T956" s="0" t="str">
        <f aca="false">IF(OR($D956="",单元查询!$B$3=""),"",IF($D956&lt;&gt;单元查询!$B$3,"",IF(OR(单元查询!$D$3="",$E956&amp;""=单元查询!$D$3&amp;""),IF(ISNUMBER($B956),$B956*10000,0)+ROW(),"")))</f>
        <v/>
      </c>
      <c r="U956" s="0" t="str">
        <f aca="false">IF(OR($B956="",$L956="已完成"),"",IF(ISNUMBER($B956),IF(设置!$B$6&lt;$B956,"",(设置!$B$6-$B956)*100000+ROW()),""))</f>
        <v/>
      </c>
      <c r="V956" s="0" t="str">
        <f aca="false">IF(ISNUMBER($O956),IF($O956&gt;=2,IF(COUNTIFS($D956:$D$2006,$D956,$E956:$E$2006,$E956)=1,ROW(),""),""),"")</f>
        <v/>
      </c>
    </row>
    <row r="957" customFormat="false" ht="15" hidden="false" customHeight="true" outlineLevel="0" collapsed="false">
      <c r="A957" s="13" t="str">
        <f aca="false">IF(AND($B957="",$D957="",$E957="",$F957=""),"",IF(OR($B957="",$D957="",$E957=""),"待补",IF($D957="公共区域","公",IF($D957="商铺","S",SUBSTITUTE($D957,"栋","")))&amp;"-"&amp;$E957&amp;"-"&amp;TEXT(MONTH($B957),"00")&amp;TEXT(DAY($B957),"00")&amp;IF(ISNUMBER($O957),IF($O957&gt;1,"-"&amp;TEXT($O957,"00"),""),"")))</f>
        <v/>
      </c>
      <c r="B957" s="14"/>
      <c r="C957" s="10"/>
      <c r="D957" s="10"/>
      <c r="E957" s="10"/>
      <c r="F957" s="16"/>
      <c r="G957" s="10"/>
      <c r="H957" s="10"/>
      <c r="I957" s="10"/>
      <c r="J957" s="10"/>
      <c r="K957" s="10"/>
      <c r="L957" s="10"/>
      <c r="M957" s="14"/>
      <c r="N957" s="17" t="str">
        <f aca="false">IF($B957="","",IF($L957="已完成",IF($M957="","",$M957-$B957),IF(设置!$B$6&lt;$B957,"",IF((设置!$B$6-$B957)&gt;=设置!$B$5,"超期"&amp;(设置!$B$6-$B957)&amp;"天","已等"&amp;(设置!$B$6-$B957)&amp;"天"))))</f>
        <v/>
      </c>
      <c r="O957" s="18" t="str">
        <f aca="false">IF(OR($D957="",$E957=""),"",COUNTIFS($D$7:$D957,$D957,$E$7:$E957,$E957))</f>
        <v/>
      </c>
      <c r="P957" s="16"/>
      <c r="Q957" s="19"/>
      <c r="R957" s="10"/>
      <c r="S957" s="16"/>
      <c r="T957" s="0" t="str">
        <f aca="false">IF(OR($D957="",单元查询!$B$3=""),"",IF($D957&lt;&gt;单元查询!$B$3,"",IF(OR(单元查询!$D$3="",$E957&amp;""=单元查询!$D$3&amp;""),IF(ISNUMBER($B957),$B957*10000,0)+ROW(),"")))</f>
        <v/>
      </c>
      <c r="U957" s="0" t="str">
        <f aca="false">IF(OR($B957="",$L957="已完成"),"",IF(ISNUMBER($B957),IF(设置!$B$6&lt;$B957,"",(设置!$B$6-$B957)*100000+ROW()),""))</f>
        <v/>
      </c>
      <c r="V957" s="0" t="str">
        <f aca="false">IF(ISNUMBER($O957),IF($O957&gt;=2,IF(COUNTIFS($D957:$D$2006,$D957,$E957:$E$2006,$E957)=1,ROW(),""),""),"")</f>
        <v/>
      </c>
    </row>
    <row r="958" customFormat="false" ht="15" hidden="false" customHeight="true" outlineLevel="0" collapsed="false">
      <c r="A958" s="13" t="str">
        <f aca="false">IF(AND($B958="",$D958="",$E958="",$F958=""),"",IF(OR($B958="",$D958="",$E958=""),"待补",IF($D958="公共区域","公",IF($D958="商铺","S",SUBSTITUTE($D958,"栋","")))&amp;"-"&amp;$E958&amp;"-"&amp;TEXT(MONTH($B958),"00")&amp;TEXT(DAY($B958),"00")&amp;IF(ISNUMBER($O958),IF($O958&gt;1,"-"&amp;TEXT($O958,"00"),""),"")))</f>
        <v/>
      </c>
      <c r="B958" s="14"/>
      <c r="C958" s="10"/>
      <c r="D958" s="10"/>
      <c r="E958" s="10"/>
      <c r="F958" s="16"/>
      <c r="G958" s="10"/>
      <c r="H958" s="10"/>
      <c r="I958" s="10"/>
      <c r="J958" s="10"/>
      <c r="K958" s="10"/>
      <c r="L958" s="10"/>
      <c r="M958" s="14"/>
      <c r="N958" s="17" t="str">
        <f aca="false">IF($B958="","",IF($L958="已完成",IF($M958="","",$M958-$B958),IF(设置!$B$6&lt;$B958,"",IF((设置!$B$6-$B958)&gt;=设置!$B$5,"超期"&amp;(设置!$B$6-$B958)&amp;"天","已等"&amp;(设置!$B$6-$B958)&amp;"天"))))</f>
        <v/>
      </c>
      <c r="O958" s="18" t="str">
        <f aca="false">IF(OR($D958="",$E958=""),"",COUNTIFS($D$7:$D958,$D958,$E$7:$E958,$E958))</f>
        <v/>
      </c>
      <c r="P958" s="16"/>
      <c r="Q958" s="19"/>
      <c r="R958" s="10"/>
      <c r="S958" s="16"/>
      <c r="T958" s="0" t="str">
        <f aca="false">IF(OR($D958="",单元查询!$B$3=""),"",IF($D958&lt;&gt;单元查询!$B$3,"",IF(OR(单元查询!$D$3="",$E958&amp;""=单元查询!$D$3&amp;""),IF(ISNUMBER($B958),$B958*10000,0)+ROW(),"")))</f>
        <v/>
      </c>
      <c r="U958" s="0" t="str">
        <f aca="false">IF(OR($B958="",$L958="已完成"),"",IF(ISNUMBER($B958),IF(设置!$B$6&lt;$B958,"",(设置!$B$6-$B958)*100000+ROW()),""))</f>
        <v/>
      </c>
      <c r="V958" s="0" t="str">
        <f aca="false">IF(ISNUMBER($O958),IF($O958&gt;=2,IF(COUNTIFS($D958:$D$2006,$D958,$E958:$E$2006,$E958)=1,ROW(),""),""),"")</f>
        <v/>
      </c>
    </row>
    <row r="959" customFormat="false" ht="15" hidden="false" customHeight="true" outlineLevel="0" collapsed="false">
      <c r="A959" s="13" t="str">
        <f aca="false">IF(AND($B959="",$D959="",$E959="",$F959=""),"",IF(OR($B959="",$D959="",$E959=""),"待补",IF($D959="公共区域","公",IF($D959="商铺","S",SUBSTITUTE($D959,"栋","")))&amp;"-"&amp;$E959&amp;"-"&amp;TEXT(MONTH($B959),"00")&amp;TEXT(DAY($B959),"00")&amp;IF(ISNUMBER($O959),IF($O959&gt;1,"-"&amp;TEXT($O959,"00"),""),"")))</f>
        <v/>
      </c>
      <c r="B959" s="14"/>
      <c r="C959" s="10"/>
      <c r="D959" s="10"/>
      <c r="E959" s="10"/>
      <c r="F959" s="16"/>
      <c r="G959" s="10"/>
      <c r="H959" s="10"/>
      <c r="I959" s="10"/>
      <c r="J959" s="10"/>
      <c r="K959" s="10"/>
      <c r="L959" s="10"/>
      <c r="M959" s="14"/>
      <c r="N959" s="17" t="str">
        <f aca="false">IF($B959="","",IF($L959="已完成",IF($M959="","",$M959-$B959),IF(设置!$B$6&lt;$B959,"",IF((设置!$B$6-$B959)&gt;=设置!$B$5,"超期"&amp;(设置!$B$6-$B959)&amp;"天","已等"&amp;(设置!$B$6-$B959)&amp;"天"))))</f>
        <v/>
      </c>
      <c r="O959" s="18" t="str">
        <f aca="false">IF(OR($D959="",$E959=""),"",COUNTIFS($D$7:$D959,$D959,$E$7:$E959,$E959))</f>
        <v/>
      </c>
      <c r="P959" s="16"/>
      <c r="Q959" s="19"/>
      <c r="R959" s="10"/>
      <c r="S959" s="16"/>
      <c r="T959" s="0" t="str">
        <f aca="false">IF(OR($D959="",单元查询!$B$3=""),"",IF($D959&lt;&gt;单元查询!$B$3,"",IF(OR(单元查询!$D$3="",$E959&amp;""=单元查询!$D$3&amp;""),IF(ISNUMBER($B959),$B959*10000,0)+ROW(),"")))</f>
        <v/>
      </c>
      <c r="U959" s="0" t="str">
        <f aca="false">IF(OR($B959="",$L959="已完成"),"",IF(ISNUMBER($B959),IF(设置!$B$6&lt;$B959,"",(设置!$B$6-$B959)*100000+ROW()),""))</f>
        <v/>
      </c>
      <c r="V959" s="0" t="str">
        <f aca="false">IF(ISNUMBER($O959),IF($O959&gt;=2,IF(COUNTIFS($D959:$D$2006,$D959,$E959:$E$2006,$E959)=1,ROW(),""),""),"")</f>
        <v/>
      </c>
    </row>
    <row r="960" customFormat="false" ht="15" hidden="false" customHeight="true" outlineLevel="0" collapsed="false">
      <c r="A960" s="13" t="str">
        <f aca="false">IF(AND($B960="",$D960="",$E960="",$F960=""),"",IF(OR($B960="",$D960="",$E960=""),"待补",IF($D960="公共区域","公",IF($D960="商铺","S",SUBSTITUTE($D960,"栋","")))&amp;"-"&amp;$E960&amp;"-"&amp;TEXT(MONTH($B960),"00")&amp;TEXT(DAY($B960),"00")&amp;IF(ISNUMBER($O960),IF($O960&gt;1,"-"&amp;TEXT($O960,"00"),""),"")))</f>
        <v/>
      </c>
      <c r="B960" s="14"/>
      <c r="C960" s="10"/>
      <c r="D960" s="10"/>
      <c r="E960" s="10"/>
      <c r="F960" s="16"/>
      <c r="G960" s="10"/>
      <c r="H960" s="10"/>
      <c r="I960" s="10"/>
      <c r="J960" s="10"/>
      <c r="K960" s="10"/>
      <c r="L960" s="10"/>
      <c r="M960" s="14"/>
      <c r="N960" s="17" t="str">
        <f aca="false">IF($B960="","",IF($L960="已完成",IF($M960="","",$M960-$B960),IF(设置!$B$6&lt;$B960,"",IF((设置!$B$6-$B960)&gt;=设置!$B$5,"超期"&amp;(设置!$B$6-$B960)&amp;"天","已等"&amp;(设置!$B$6-$B960)&amp;"天"))))</f>
        <v/>
      </c>
      <c r="O960" s="18" t="str">
        <f aca="false">IF(OR($D960="",$E960=""),"",COUNTIFS($D$7:$D960,$D960,$E$7:$E960,$E960))</f>
        <v/>
      </c>
      <c r="P960" s="16"/>
      <c r="Q960" s="19"/>
      <c r="R960" s="10"/>
      <c r="S960" s="16"/>
      <c r="T960" s="0" t="str">
        <f aca="false">IF(OR($D960="",单元查询!$B$3=""),"",IF($D960&lt;&gt;单元查询!$B$3,"",IF(OR(单元查询!$D$3="",$E960&amp;""=单元查询!$D$3&amp;""),IF(ISNUMBER($B960),$B960*10000,0)+ROW(),"")))</f>
        <v/>
      </c>
      <c r="U960" s="0" t="str">
        <f aca="false">IF(OR($B960="",$L960="已完成"),"",IF(ISNUMBER($B960),IF(设置!$B$6&lt;$B960,"",(设置!$B$6-$B960)*100000+ROW()),""))</f>
        <v/>
      </c>
      <c r="V960" s="0" t="str">
        <f aca="false">IF(ISNUMBER($O960),IF($O960&gt;=2,IF(COUNTIFS($D960:$D$2006,$D960,$E960:$E$2006,$E960)=1,ROW(),""),""),"")</f>
        <v/>
      </c>
    </row>
    <row r="961" customFormat="false" ht="15" hidden="false" customHeight="true" outlineLevel="0" collapsed="false">
      <c r="A961" s="13" t="str">
        <f aca="false">IF(AND($B961="",$D961="",$E961="",$F961=""),"",IF(OR($B961="",$D961="",$E961=""),"待补",IF($D961="公共区域","公",IF($D961="商铺","S",SUBSTITUTE($D961,"栋","")))&amp;"-"&amp;$E961&amp;"-"&amp;TEXT(MONTH($B961),"00")&amp;TEXT(DAY($B961),"00")&amp;IF(ISNUMBER($O961),IF($O961&gt;1,"-"&amp;TEXT($O961,"00"),""),"")))</f>
        <v/>
      </c>
      <c r="B961" s="14"/>
      <c r="C961" s="10"/>
      <c r="D961" s="10"/>
      <c r="E961" s="10"/>
      <c r="F961" s="16"/>
      <c r="G961" s="10"/>
      <c r="H961" s="10"/>
      <c r="I961" s="10"/>
      <c r="J961" s="10"/>
      <c r="K961" s="10"/>
      <c r="L961" s="10"/>
      <c r="M961" s="14"/>
      <c r="N961" s="17" t="str">
        <f aca="false">IF($B961="","",IF($L961="已完成",IF($M961="","",$M961-$B961),IF(设置!$B$6&lt;$B961,"",IF((设置!$B$6-$B961)&gt;=设置!$B$5,"超期"&amp;(设置!$B$6-$B961)&amp;"天","已等"&amp;(设置!$B$6-$B961)&amp;"天"))))</f>
        <v/>
      </c>
      <c r="O961" s="18" t="str">
        <f aca="false">IF(OR($D961="",$E961=""),"",COUNTIFS($D$7:$D961,$D961,$E$7:$E961,$E961))</f>
        <v/>
      </c>
      <c r="P961" s="16"/>
      <c r="Q961" s="19"/>
      <c r="R961" s="10"/>
      <c r="S961" s="16"/>
      <c r="T961" s="0" t="str">
        <f aca="false">IF(OR($D961="",单元查询!$B$3=""),"",IF($D961&lt;&gt;单元查询!$B$3,"",IF(OR(单元查询!$D$3="",$E961&amp;""=单元查询!$D$3&amp;""),IF(ISNUMBER($B961),$B961*10000,0)+ROW(),"")))</f>
        <v/>
      </c>
      <c r="U961" s="0" t="str">
        <f aca="false">IF(OR($B961="",$L961="已完成"),"",IF(ISNUMBER($B961),IF(设置!$B$6&lt;$B961,"",(设置!$B$6-$B961)*100000+ROW()),""))</f>
        <v/>
      </c>
      <c r="V961" s="0" t="str">
        <f aca="false">IF(ISNUMBER($O961),IF($O961&gt;=2,IF(COUNTIFS($D961:$D$2006,$D961,$E961:$E$2006,$E961)=1,ROW(),""),""),"")</f>
        <v/>
      </c>
    </row>
    <row r="962" customFormat="false" ht="15" hidden="false" customHeight="true" outlineLevel="0" collapsed="false">
      <c r="A962" s="13" t="str">
        <f aca="false">IF(AND($B962="",$D962="",$E962="",$F962=""),"",IF(OR($B962="",$D962="",$E962=""),"待补",IF($D962="公共区域","公",IF($D962="商铺","S",SUBSTITUTE($D962,"栋","")))&amp;"-"&amp;$E962&amp;"-"&amp;TEXT(MONTH($B962),"00")&amp;TEXT(DAY($B962),"00")&amp;IF(ISNUMBER($O962),IF($O962&gt;1,"-"&amp;TEXT($O962,"00"),""),"")))</f>
        <v/>
      </c>
      <c r="B962" s="14"/>
      <c r="C962" s="10"/>
      <c r="D962" s="10"/>
      <c r="E962" s="10"/>
      <c r="F962" s="16"/>
      <c r="G962" s="10"/>
      <c r="H962" s="10"/>
      <c r="I962" s="10"/>
      <c r="J962" s="10"/>
      <c r="K962" s="10"/>
      <c r="L962" s="10"/>
      <c r="M962" s="14"/>
      <c r="N962" s="17" t="str">
        <f aca="false">IF($B962="","",IF($L962="已完成",IF($M962="","",$M962-$B962),IF(设置!$B$6&lt;$B962,"",IF((设置!$B$6-$B962)&gt;=设置!$B$5,"超期"&amp;(设置!$B$6-$B962)&amp;"天","已等"&amp;(设置!$B$6-$B962)&amp;"天"))))</f>
        <v/>
      </c>
      <c r="O962" s="18" t="str">
        <f aca="false">IF(OR($D962="",$E962=""),"",COUNTIFS($D$7:$D962,$D962,$E$7:$E962,$E962))</f>
        <v/>
      </c>
      <c r="P962" s="16"/>
      <c r="Q962" s="19"/>
      <c r="R962" s="10"/>
      <c r="S962" s="16"/>
      <c r="T962" s="0" t="str">
        <f aca="false">IF(OR($D962="",单元查询!$B$3=""),"",IF($D962&lt;&gt;单元查询!$B$3,"",IF(OR(单元查询!$D$3="",$E962&amp;""=单元查询!$D$3&amp;""),IF(ISNUMBER($B962),$B962*10000,0)+ROW(),"")))</f>
        <v/>
      </c>
      <c r="U962" s="0" t="str">
        <f aca="false">IF(OR($B962="",$L962="已完成"),"",IF(ISNUMBER($B962),IF(设置!$B$6&lt;$B962,"",(设置!$B$6-$B962)*100000+ROW()),""))</f>
        <v/>
      </c>
      <c r="V962" s="0" t="str">
        <f aca="false">IF(ISNUMBER($O962),IF($O962&gt;=2,IF(COUNTIFS($D962:$D$2006,$D962,$E962:$E$2006,$E962)=1,ROW(),""),""),"")</f>
        <v/>
      </c>
    </row>
    <row r="963" customFormat="false" ht="15" hidden="false" customHeight="true" outlineLevel="0" collapsed="false">
      <c r="A963" s="13" t="str">
        <f aca="false">IF(AND($B963="",$D963="",$E963="",$F963=""),"",IF(OR($B963="",$D963="",$E963=""),"待补",IF($D963="公共区域","公",IF($D963="商铺","S",SUBSTITUTE($D963,"栋","")))&amp;"-"&amp;$E963&amp;"-"&amp;TEXT(MONTH($B963),"00")&amp;TEXT(DAY($B963),"00")&amp;IF(ISNUMBER($O963),IF($O963&gt;1,"-"&amp;TEXT($O963,"00"),""),"")))</f>
        <v/>
      </c>
      <c r="B963" s="14"/>
      <c r="C963" s="10"/>
      <c r="D963" s="10"/>
      <c r="E963" s="10"/>
      <c r="F963" s="16"/>
      <c r="G963" s="10"/>
      <c r="H963" s="10"/>
      <c r="I963" s="10"/>
      <c r="J963" s="10"/>
      <c r="K963" s="10"/>
      <c r="L963" s="10"/>
      <c r="M963" s="14"/>
      <c r="N963" s="17" t="str">
        <f aca="false">IF($B963="","",IF($L963="已完成",IF($M963="","",$M963-$B963),IF(设置!$B$6&lt;$B963,"",IF((设置!$B$6-$B963)&gt;=设置!$B$5,"超期"&amp;(设置!$B$6-$B963)&amp;"天","已等"&amp;(设置!$B$6-$B963)&amp;"天"))))</f>
        <v/>
      </c>
      <c r="O963" s="18" t="str">
        <f aca="false">IF(OR($D963="",$E963=""),"",COUNTIFS($D$7:$D963,$D963,$E$7:$E963,$E963))</f>
        <v/>
      </c>
      <c r="P963" s="16"/>
      <c r="Q963" s="19"/>
      <c r="R963" s="10"/>
      <c r="S963" s="16"/>
      <c r="T963" s="0" t="str">
        <f aca="false">IF(OR($D963="",单元查询!$B$3=""),"",IF($D963&lt;&gt;单元查询!$B$3,"",IF(OR(单元查询!$D$3="",$E963&amp;""=单元查询!$D$3&amp;""),IF(ISNUMBER($B963),$B963*10000,0)+ROW(),"")))</f>
        <v/>
      </c>
      <c r="U963" s="0" t="str">
        <f aca="false">IF(OR($B963="",$L963="已完成"),"",IF(ISNUMBER($B963),IF(设置!$B$6&lt;$B963,"",(设置!$B$6-$B963)*100000+ROW()),""))</f>
        <v/>
      </c>
      <c r="V963" s="0" t="str">
        <f aca="false">IF(ISNUMBER($O963),IF($O963&gt;=2,IF(COUNTIFS($D963:$D$2006,$D963,$E963:$E$2006,$E963)=1,ROW(),""),""),"")</f>
        <v/>
      </c>
    </row>
    <row r="964" customFormat="false" ht="15" hidden="false" customHeight="true" outlineLevel="0" collapsed="false">
      <c r="A964" s="13" t="str">
        <f aca="false">IF(AND($B964="",$D964="",$E964="",$F964=""),"",IF(OR($B964="",$D964="",$E964=""),"待补",IF($D964="公共区域","公",IF($D964="商铺","S",SUBSTITUTE($D964,"栋","")))&amp;"-"&amp;$E964&amp;"-"&amp;TEXT(MONTH($B964),"00")&amp;TEXT(DAY($B964),"00")&amp;IF(ISNUMBER($O964),IF($O964&gt;1,"-"&amp;TEXT($O964,"00"),""),"")))</f>
        <v/>
      </c>
      <c r="B964" s="14"/>
      <c r="C964" s="10"/>
      <c r="D964" s="10"/>
      <c r="E964" s="10"/>
      <c r="F964" s="16"/>
      <c r="G964" s="10"/>
      <c r="H964" s="10"/>
      <c r="I964" s="10"/>
      <c r="J964" s="10"/>
      <c r="K964" s="10"/>
      <c r="L964" s="10"/>
      <c r="M964" s="14"/>
      <c r="N964" s="17" t="str">
        <f aca="false">IF($B964="","",IF($L964="已完成",IF($M964="","",$M964-$B964),IF(设置!$B$6&lt;$B964,"",IF((设置!$B$6-$B964)&gt;=设置!$B$5,"超期"&amp;(设置!$B$6-$B964)&amp;"天","已等"&amp;(设置!$B$6-$B964)&amp;"天"))))</f>
        <v/>
      </c>
      <c r="O964" s="18" t="str">
        <f aca="false">IF(OR($D964="",$E964=""),"",COUNTIFS($D$7:$D964,$D964,$E$7:$E964,$E964))</f>
        <v/>
      </c>
      <c r="P964" s="16"/>
      <c r="Q964" s="19"/>
      <c r="R964" s="10"/>
      <c r="S964" s="16"/>
      <c r="T964" s="0" t="str">
        <f aca="false">IF(OR($D964="",单元查询!$B$3=""),"",IF($D964&lt;&gt;单元查询!$B$3,"",IF(OR(单元查询!$D$3="",$E964&amp;""=单元查询!$D$3&amp;""),IF(ISNUMBER($B964),$B964*10000,0)+ROW(),"")))</f>
        <v/>
      </c>
      <c r="U964" s="0" t="str">
        <f aca="false">IF(OR($B964="",$L964="已完成"),"",IF(ISNUMBER($B964),IF(设置!$B$6&lt;$B964,"",(设置!$B$6-$B964)*100000+ROW()),""))</f>
        <v/>
      </c>
      <c r="V964" s="0" t="str">
        <f aca="false">IF(ISNUMBER($O964),IF($O964&gt;=2,IF(COUNTIFS($D964:$D$2006,$D964,$E964:$E$2006,$E964)=1,ROW(),""),""),"")</f>
        <v/>
      </c>
    </row>
    <row r="965" customFormat="false" ht="15" hidden="false" customHeight="true" outlineLevel="0" collapsed="false">
      <c r="A965" s="13" t="str">
        <f aca="false">IF(AND($B965="",$D965="",$E965="",$F965=""),"",IF(OR($B965="",$D965="",$E965=""),"待补",IF($D965="公共区域","公",IF($D965="商铺","S",SUBSTITUTE($D965,"栋","")))&amp;"-"&amp;$E965&amp;"-"&amp;TEXT(MONTH($B965),"00")&amp;TEXT(DAY($B965),"00")&amp;IF(ISNUMBER($O965),IF($O965&gt;1,"-"&amp;TEXT($O965,"00"),""),"")))</f>
        <v/>
      </c>
      <c r="B965" s="14"/>
      <c r="C965" s="10"/>
      <c r="D965" s="10"/>
      <c r="E965" s="10"/>
      <c r="F965" s="16"/>
      <c r="G965" s="10"/>
      <c r="H965" s="10"/>
      <c r="I965" s="10"/>
      <c r="J965" s="10"/>
      <c r="K965" s="10"/>
      <c r="L965" s="10"/>
      <c r="M965" s="14"/>
      <c r="N965" s="17" t="str">
        <f aca="false">IF($B965="","",IF($L965="已完成",IF($M965="","",$M965-$B965),IF(设置!$B$6&lt;$B965,"",IF((设置!$B$6-$B965)&gt;=设置!$B$5,"超期"&amp;(设置!$B$6-$B965)&amp;"天","已等"&amp;(设置!$B$6-$B965)&amp;"天"))))</f>
        <v/>
      </c>
      <c r="O965" s="18" t="str">
        <f aca="false">IF(OR($D965="",$E965=""),"",COUNTIFS($D$7:$D965,$D965,$E$7:$E965,$E965))</f>
        <v/>
      </c>
      <c r="P965" s="16"/>
      <c r="Q965" s="19"/>
      <c r="R965" s="10"/>
      <c r="S965" s="16"/>
      <c r="T965" s="0" t="str">
        <f aca="false">IF(OR($D965="",单元查询!$B$3=""),"",IF($D965&lt;&gt;单元查询!$B$3,"",IF(OR(单元查询!$D$3="",$E965&amp;""=单元查询!$D$3&amp;""),IF(ISNUMBER($B965),$B965*10000,0)+ROW(),"")))</f>
        <v/>
      </c>
      <c r="U965" s="0" t="str">
        <f aca="false">IF(OR($B965="",$L965="已完成"),"",IF(ISNUMBER($B965),IF(设置!$B$6&lt;$B965,"",(设置!$B$6-$B965)*100000+ROW()),""))</f>
        <v/>
      </c>
      <c r="V965" s="0" t="str">
        <f aca="false">IF(ISNUMBER($O965),IF($O965&gt;=2,IF(COUNTIFS($D965:$D$2006,$D965,$E965:$E$2006,$E965)=1,ROW(),""),""),"")</f>
        <v/>
      </c>
    </row>
    <row r="966" customFormat="false" ht="15" hidden="false" customHeight="true" outlineLevel="0" collapsed="false">
      <c r="A966" s="13" t="str">
        <f aca="false">IF(AND($B966="",$D966="",$E966="",$F966=""),"",IF(OR($B966="",$D966="",$E966=""),"待补",IF($D966="公共区域","公",IF($D966="商铺","S",SUBSTITUTE($D966,"栋","")))&amp;"-"&amp;$E966&amp;"-"&amp;TEXT(MONTH($B966),"00")&amp;TEXT(DAY($B966),"00")&amp;IF(ISNUMBER($O966),IF($O966&gt;1,"-"&amp;TEXT($O966,"00"),""),"")))</f>
        <v/>
      </c>
      <c r="B966" s="14"/>
      <c r="C966" s="10"/>
      <c r="D966" s="10"/>
      <c r="E966" s="10"/>
      <c r="F966" s="16"/>
      <c r="G966" s="10"/>
      <c r="H966" s="10"/>
      <c r="I966" s="10"/>
      <c r="J966" s="10"/>
      <c r="K966" s="10"/>
      <c r="L966" s="10"/>
      <c r="M966" s="14"/>
      <c r="N966" s="17" t="str">
        <f aca="false">IF($B966="","",IF($L966="已完成",IF($M966="","",$M966-$B966),IF(设置!$B$6&lt;$B966,"",IF((设置!$B$6-$B966)&gt;=设置!$B$5,"超期"&amp;(设置!$B$6-$B966)&amp;"天","已等"&amp;(设置!$B$6-$B966)&amp;"天"))))</f>
        <v/>
      </c>
      <c r="O966" s="18" t="str">
        <f aca="false">IF(OR($D966="",$E966=""),"",COUNTIFS($D$7:$D966,$D966,$E$7:$E966,$E966))</f>
        <v/>
      </c>
      <c r="P966" s="16"/>
      <c r="Q966" s="19"/>
      <c r="R966" s="10"/>
      <c r="S966" s="16"/>
      <c r="T966" s="0" t="str">
        <f aca="false">IF(OR($D966="",单元查询!$B$3=""),"",IF($D966&lt;&gt;单元查询!$B$3,"",IF(OR(单元查询!$D$3="",$E966&amp;""=单元查询!$D$3&amp;""),IF(ISNUMBER($B966),$B966*10000,0)+ROW(),"")))</f>
        <v/>
      </c>
      <c r="U966" s="0" t="str">
        <f aca="false">IF(OR($B966="",$L966="已完成"),"",IF(ISNUMBER($B966),IF(设置!$B$6&lt;$B966,"",(设置!$B$6-$B966)*100000+ROW()),""))</f>
        <v/>
      </c>
      <c r="V966" s="0" t="str">
        <f aca="false">IF(ISNUMBER($O966),IF($O966&gt;=2,IF(COUNTIFS($D966:$D$2006,$D966,$E966:$E$2006,$E966)=1,ROW(),""),""),"")</f>
        <v/>
      </c>
    </row>
    <row r="967" customFormat="false" ht="15" hidden="false" customHeight="true" outlineLevel="0" collapsed="false">
      <c r="A967" s="13" t="str">
        <f aca="false">IF(AND($B967="",$D967="",$E967="",$F967=""),"",IF(OR($B967="",$D967="",$E967=""),"待补",IF($D967="公共区域","公",IF($D967="商铺","S",SUBSTITUTE($D967,"栋","")))&amp;"-"&amp;$E967&amp;"-"&amp;TEXT(MONTH($B967),"00")&amp;TEXT(DAY($B967),"00")&amp;IF(ISNUMBER($O967),IF($O967&gt;1,"-"&amp;TEXT($O967,"00"),""),"")))</f>
        <v/>
      </c>
      <c r="B967" s="14"/>
      <c r="C967" s="10"/>
      <c r="D967" s="10"/>
      <c r="E967" s="10"/>
      <c r="F967" s="16"/>
      <c r="G967" s="10"/>
      <c r="H967" s="10"/>
      <c r="I967" s="10"/>
      <c r="J967" s="10"/>
      <c r="K967" s="10"/>
      <c r="L967" s="10"/>
      <c r="M967" s="14"/>
      <c r="N967" s="17" t="str">
        <f aca="false">IF($B967="","",IF($L967="已完成",IF($M967="","",$M967-$B967),IF(设置!$B$6&lt;$B967,"",IF((设置!$B$6-$B967)&gt;=设置!$B$5,"超期"&amp;(设置!$B$6-$B967)&amp;"天","已等"&amp;(设置!$B$6-$B967)&amp;"天"))))</f>
        <v/>
      </c>
      <c r="O967" s="18" t="str">
        <f aca="false">IF(OR($D967="",$E967=""),"",COUNTIFS($D$7:$D967,$D967,$E$7:$E967,$E967))</f>
        <v/>
      </c>
      <c r="P967" s="16"/>
      <c r="Q967" s="19"/>
      <c r="R967" s="10"/>
      <c r="S967" s="16"/>
      <c r="T967" s="0" t="str">
        <f aca="false">IF(OR($D967="",单元查询!$B$3=""),"",IF($D967&lt;&gt;单元查询!$B$3,"",IF(OR(单元查询!$D$3="",$E967&amp;""=单元查询!$D$3&amp;""),IF(ISNUMBER($B967),$B967*10000,0)+ROW(),"")))</f>
        <v/>
      </c>
      <c r="U967" s="0" t="str">
        <f aca="false">IF(OR($B967="",$L967="已完成"),"",IF(ISNUMBER($B967),IF(设置!$B$6&lt;$B967,"",(设置!$B$6-$B967)*100000+ROW()),""))</f>
        <v/>
      </c>
      <c r="V967" s="0" t="str">
        <f aca="false">IF(ISNUMBER($O967),IF($O967&gt;=2,IF(COUNTIFS($D967:$D$2006,$D967,$E967:$E$2006,$E967)=1,ROW(),""),""),"")</f>
        <v/>
      </c>
    </row>
    <row r="968" customFormat="false" ht="15" hidden="false" customHeight="true" outlineLevel="0" collapsed="false">
      <c r="A968" s="13" t="str">
        <f aca="false">IF(AND($B968="",$D968="",$E968="",$F968=""),"",IF(OR($B968="",$D968="",$E968=""),"待补",IF($D968="公共区域","公",IF($D968="商铺","S",SUBSTITUTE($D968,"栋","")))&amp;"-"&amp;$E968&amp;"-"&amp;TEXT(MONTH($B968),"00")&amp;TEXT(DAY($B968),"00")&amp;IF(ISNUMBER($O968),IF($O968&gt;1,"-"&amp;TEXT($O968,"00"),""),"")))</f>
        <v/>
      </c>
      <c r="B968" s="14"/>
      <c r="C968" s="10"/>
      <c r="D968" s="10"/>
      <c r="E968" s="10"/>
      <c r="F968" s="16"/>
      <c r="G968" s="10"/>
      <c r="H968" s="10"/>
      <c r="I968" s="10"/>
      <c r="J968" s="10"/>
      <c r="K968" s="10"/>
      <c r="L968" s="10"/>
      <c r="M968" s="14"/>
      <c r="N968" s="17" t="str">
        <f aca="false">IF($B968="","",IF($L968="已完成",IF($M968="","",$M968-$B968),IF(设置!$B$6&lt;$B968,"",IF((设置!$B$6-$B968)&gt;=设置!$B$5,"超期"&amp;(设置!$B$6-$B968)&amp;"天","已等"&amp;(设置!$B$6-$B968)&amp;"天"))))</f>
        <v/>
      </c>
      <c r="O968" s="18" t="str">
        <f aca="false">IF(OR($D968="",$E968=""),"",COUNTIFS($D$7:$D968,$D968,$E$7:$E968,$E968))</f>
        <v/>
      </c>
      <c r="P968" s="16"/>
      <c r="Q968" s="19"/>
      <c r="R968" s="10"/>
      <c r="S968" s="16"/>
      <c r="T968" s="0" t="str">
        <f aca="false">IF(OR($D968="",单元查询!$B$3=""),"",IF($D968&lt;&gt;单元查询!$B$3,"",IF(OR(单元查询!$D$3="",$E968&amp;""=单元查询!$D$3&amp;""),IF(ISNUMBER($B968),$B968*10000,0)+ROW(),"")))</f>
        <v/>
      </c>
      <c r="U968" s="0" t="str">
        <f aca="false">IF(OR($B968="",$L968="已完成"),"",IF(ISNUMBER($B968),IF(设置!$B$6&lt;$B968,"",(设置!$B$6-$B968)*100000+ROW()),""))</f>
        <v/>
      </c>
      <c r="V968" s="0" t="str">
        <f aca="false">IF(ISNUMBER($O968),IF($O968&gt;=2,IF(COUNTIFS($D968:$D$2006,$D968,$E968:$E$2006,$E968)=1,ROW(),""),""),"")</f>
        <v/>
      </c>
    </row>
    <row r="969" customFormat="false" ht="15" hidden="false" customHeight="true" outlineLevel="0" collapsed="false">
      <c r="A969" s="13" t="str">
        <f aca="false">IF(AND($B969="",$D969="",$E969="",$F969=""),"",IF(OR($B969="",$D969="",$E969=""),"待补",IF($D969="公共区域","公",IF($D969="商铺","S",SUBSTITUTE($D969,"栋","")))&amp;"-"&amp;$E969&amp;"-"&amp;TEXT(MONTH($B969),"00")&amp;TEXT(DAY($B969),"00")&amp;IF(ISNUMBER($O969),IF($O969&gt;1,"-"&amp;TEXT($O969,"00"),""),"")))</f>
        <v/>
      </c>
      <c r="B969" s="14"/>
      <c r="C969" s="10"/>
      <c r="D969" s="10"/>
      <c r="E969" s="10"/>
      <c r="F969" s="16"/>
      <c r="G969" s="10"/>
      <c r="H969" s="10"/>
      <c r="I969" s="10"/>
      <c r="J969" s="10"/>
      <c r="K969" s="10"/>
      <c r="L969" s="10"/>
      <c r="M969" s="14"/>
      <c r="N969" s="17" t="str">
        <f aca="false">IF($B969="","",IF($L969="已完成",IF($M969="","",$M969-$B969),IF(设置!$B$6&lt;$B969,"",IF((设置!$B$6-$B969)&gt;=设置!$B$5,"超期"&amp;(设置!$B$6-$B969)&amp;"天","已等"&amp;(设置!$B$6-$B969)&amp;"天"))))</f>
        <v/>
      </c>
      <c r="O969" s="18" t="str">
        <f aca="false">IF(OR($D969="",$E969=""),"",COUNTIFS($D$7:$D969,$D969,$E$7:$E969,$E969))</f>
        <v/>
      </c>
      <c r="P969" s="16"/>
      <c r="Q969" s="19"/>
      <c r="R969" s="10"/>
      <c r="S969" s="16"/>
      <c r="T969" s="0" t="str">
        <f aca="false">IF(OR($D969="",单元查询!$B$3=""),"",IF($D969&lt;&gt;单元查询!$B$3,"",IF(OR(单元查询!$D$3="",$E969&amp;""=单元查询!$D$3&amp;""),IF(ISNUMBER($B969),$B969*10000,0)+ROW(),"")))</f>
        <v/>
      </c>
      <c r="U969" s="0" t="str">
        <f aca="false">IF(OR($B969="",$L969="已完成"),"",IF(ISNUMBER($B969),IF(设置!$B$6&lt;$B969,"",(设置!$B$6-$B969)*100000+ROW()),""))</f>
        <v/>
      </c>
      <c r="V969" s="0" t="str">
        <f aca="false">IF(ISNUMBER($O969),IF($O969&gt;=2,IF(COUNTIFS($D969:$D$2006,$D969,$E969:$E$2006,$E969)=1,ROW(),""),""),"")</f>
        <v/>
      </c>
    </row>
    <row r="970" customFormat="false" ht="15" hidden="false" customHeight="true" outlineLevel="0" collapsed="false">
      <c r="A970" s="13" t="str">
        <f aca="false">IF(AND($B970="",$D970="",$E970="",$F970=""),"",IF(OR($B970="",$D970="",$E970=""),"待补",IF($D970="公共区域","公",IF($D970="商铺","S",SUBSTITUTE($D970,"栋","")))&amp;"-"&amp;$E970&amp;"-"&amp;TEXT(MONTH($B970),"00")&amp;TEXT(DAY($B970),"00")&amp;IF(ISNUMBER($O970),IF($O970&gt;1,"-"&amp;TEXT($O970,"00"),""),"")))</f>
        <v/>
      </c>
      <c r="B970" s="14"/>
      <c r="C970" s="10"/>
      <c r="D970" s="10"/>
      <c r="E970" s="10"/>
      <c r="F970" s="16"/>
      <c r="G970" s="10"/>
      <c r="H970" s="10"/>
      <c r="I970" s="10"/>
      <c r="J970" s="10"/>
      <c r="K970" s="10"/>
      <c r="L970" s="10"/>
      <c r="M970" s="14"/>
      <c r="N970" s="17" t="str">
        <f aca="false">IF($B970="","",IF($L970="已完成",IF($M970="","",$M970-$B970),IF(设置!$B$6&lt;$B970,"",IF((设置!$B$6-$B970)&gt;=设置!$B$5,"超期"&amp;(设置!$B$6-$B970)&amp;"天","已等"&amp;(设置!$B$6-$B970)&amp;"天"))))</f>
        <v/>
      </c>
      <c r="O970" s="18" t="str">
        <f aca="false">IF(OR($D970="",$E970=""),"",COUNTIFS($D$7:$D970,$D970,$E$7:$E970,$E970))</f>
        <v/>
      </c>
      <c r="P970" s="16"/>
      <c r="Q970" s="19"/>
      <c r="R970" s="10"/>
      <c r="S970" s="16"/>
      <c r="T970" s="0" t="str">
        <f aca="false">IF(OR($D970="",单元查询!$B$3=""),"",IF($D970&lt;&gt;单元查询!$B$3,"",IF(OR(单元查询!$D$3="",$E970&amp;""=单元查询!$D$3&amp;""),IF(ISNUMBER($B970),$B970*10000,0)+ROW(),"")))</f>
        <v/>
      </c>
      <c r="U970" s="0" t="str">
        <f aca="false">IF(OR($B970="",$L970="已完成"),"",IF(ISNUMBER($B970),IF(设置!$B$6&lt;$B970,"",(设置!$B$6-$B970)*100000+ROW()),""))</f>
        <v/>
      </c>
      <c r="V970" s="0" t="str">
        <f aca="false">IF(ISNUMBER($O970),IF($O970&gt;=2,IF(COUNTIFS($D970:$D$2006,$D970,$E970:$E$2006,$E970)=1,ROW(),""),""),"")</f>
        <v/>
      </c>
    </row>
    <row r="971" customFormat="false" ht="15" hidden="false" customHeight="true" outlineLevel="0" collapsed="false">
      <c r="A971" s="13" t="str">
        <f aca="false">IF(AND($B971="",$D971="",$E971="",$F971=""),"",IF(OR($B971="",$D971="",$E971=""),"待补",IF($D971="公共区域","公",IF($D971="商铺","S",SUBSTITUTE($D971,"栋","")))&amp;"-"&amp;$E971&amp;"-"&amp;TEXT(MONTH($B971),"00")&amp;TEXT(DAY($B971),"00")&amp;IF(ISNUMBER($O971),IF($O971&gt;1,"-"&amp;TEXT($O971,"00"),""),"")))</f>
        <v/>
      </c>
      <c r="B971" s="14"/>
      <c r="C971" s="10"/>
      <c r="D971" s="10"/>
      <c r="E971" s="10"/>
      <c r="F971" s="16"/>
      <c r="G971" s="10"/>
      <c r="H971" s="10"/>
      <c r="I971" s="10"/>
      <c r="J971" s="10"/>
      <c r="K971" s="10"/>
      <c r="L971" s="10"/>
      <c r="M971" s="14"/>
      <c r="N971" s="17" t="str">
        <f aca="false">IF($B971="","",IF($L971="已完成",IF($M971="","",$M971-$B971),IF(设置!$B$6&lt;$B971,"",IF((设置!$B$6-$B971)&gt;=设置!$B$5,"超期"&amp;(设置!$B$6-$B971)&amp;"天","已等"&amp;(设置!$B$6-$B971)&amp;"天"))))</f>
        <v/>
      </c>
      <c r="O971" s="18" t="str">
        <f aca="false">IF(OR($D971="",$E971=""),"",COUNTIFS($D$7:$D971,$D971,$E$7:$E971,$E971))</f>
        <v/>
      </c>
      <c r="P971" s="16"/>
      <c r="Q971" s="19"/>
      <c r="R971" s="10"/>
      <c r="S971" s="16"/>
      <c r="T971" s="0" t="str">
        <f aca="false">IF(OR($D971="",单元查询!$B$3=""),"",IF($D971&lt;&gt;单元查询!$B$3,"",IF(OR(单元查询!$D$3="",$E971&amp;""=单元查询!$D$3&amp;""),IF(ISNUMBER($B971),$B971*10000,0)+ROW(),"")))</f>
        <v/>
      </c>
      <c r="U971" s="0" t="str">
        <f aca="false">IF(OR($B971="",$L971="已完成"),"",IF(ISNUMBER($B971),IF(设置!$B$6&lt;$B971,"",(设置!$B$6-$B971)*100000+ROW()),""))</f>
        <v/>
      </c>
      <c r="V971" s="0" t="str">
        <f aca="false">IF(ISNUMBER($O971),IF($O971&gt;=2,IF(COUNTIFS($D971:$D$2006,$D971,$E971:$E$2006,$E971)=1,ROW(),""),""),"")</f>
        <v/>
      </c>
    </row>
    <row r="972" customFormat="false" ht="15" hidden="false" customHeight="true" outlineLevel="0" collapsed="false">
      <c r="A972" s="13" t="str">
        <f aca="false">IF(AND($B972="",$D972="",$E972="",$F972=""),"",IF(OR($B972="",$D972="",$E972=""),"待补",IF($D972="公共区域","公",IF($D972="商铺","S",SUBSTITUTE($D972,"栋","")))&amp;"-"&amp;$E972&amp;"-"&amp;TEXT(MONTH($B972),"00")&amp;TEXT(DAY($B972),"00")&amp;IF(ISNUMBER($O972),IF($O972&gt;1,"-"&amp;TEXT($O972,"00"),""),"")))</f>
        <v/>
      </c>
      <c r="B972" s="14"/>
      <c r="C972" s="10"/>
      <c r="D972" s="10"/>
      <c r="E972" s="10"/>
      <c r="F972" s="16"/>
      <c r="G972" s="10"/>
      <c r="H972" s="10"/>
      <c r="I972" s="10"/>
      <c r="J972" s="10"/>
      <c r="K972" s="10"/>
      <c r="L972" s="10"/>
      <c r="M972" s="14"/>
      <c r="N972" s="17" t="str">
        <f aca="false">IF($B972="","",IF($L972="已完成",IF($M972="","",$M972-$B972),IF(设置!$B$6&lt;$B972,"",IF((设置!$B$6-$B972)&gt;=设置!$B$5,"超期"&amp;(设置!$B$6-$B972)&amp;"天","已等"&amp;(设置!$B$6-$B972)&amp;"天"))))</f>
        <v/>
      </c>
      <c r="O972" s="18" t="str">
        <f aca="false">IF(OR($D972="",$E972=""),"",COUNTIFS($D$7:$D972,$D972,$E$7:$E972,$E972))</f>
        <v/>
      </c>
      <c r="P972" s="16"/>
      <c r="Q972" s="19"/>
      <c r="R972" s="10"/>
      <c r="S972" s="16"/>
      <c r="T972" s="0" t="str">
        <f aca="false">IF(OR($D972="",单元查询!$B$3=""),"",IF($D972&lt;&gt;单元查询!$B$3,"",IF(OR(单元查询!$D$3="",$E972&amp;""=单元查询!$D$3&amp;""),IF(ISNUMBER($B972),$B972*10000,0)+ROW(),"")))</f>
        <v/>
      </c>
      <c r="U972" s="0" t="str">
        <f aca="false">IF(OR($B972="",$L972="已完成"),"",IF(ISNUMBER($B972),IF(设置!$B$6&lt;$B972,"",(设置!$B$6-$B972)*100000+ROW()),""))</f>
        <v/>
      </c>
      <c r="V972" s="0" t="str">
        <f aca="false">IF(ISNUMBER($O972),IF($O972&gt;=2,IF(COUNTIFS($D972:$D$2006,$D972,$E972:$E$2006,$E972)=1,ROW(),""),""),"")</f>
        <v/>
      </c>
    </row>
    <row r="973" customFormat="false" ht="15" hidden="false" customHeight="true" outlineLevel="0" collapsed="false">
      <c r="A973" s="13" t="str">
        <f aca="false">IF(AND($B973="",$D973="",$E973="",$F973=""),"",IF(OR($B973="",$D973="",$E973=""),"待补",IF($D973="公共区域","公",IF($D973="商铺","S",SUBSTITUTE($D973,"栋","")))&amp;"-"&amp;$E973&amp;"-"&amp;TEXT(MONTH($B973),"00")&amp;TEXT(DAY($B973),"00")&amp;IF(ISNUMBER($O973),IF($O973&gt;1,"-"&amp;TEXT($O973,"00"),""),"")))</f>
        <v/>
      </c>
      <c r="B973" s="14"/>
      <c r="C973" s="10"/>
      <c r="D973" s="10"/>
      <c r="E973" s="10"/>
      <c r="F973" s="16"/>
      <c r="G973" s="10"/>
      <c r="H973" s="10"/>
      <c r="I973" s="10"/>
      <c r="J973" s="10"/>
      <c r="K973" s="10"/>
      <c r="L973" s="10"/>
      <c r="M973" s="14"/>
      <c r="N973" s="17" t="str">
        <f aca="false">IF($B973="","",IF($L973="已完成",IF($M973="","",$M973-$B973),IF(设置!$B$6&lt;$B973,"",IF((设置!$B$6-$B973)&gt;=设置!$B$5,"超期"&amp;(设置!$B$6-$B973)&amp;"天","已等"&amp;(设置!$B$6-$B973)&amp;"天"))))</f>
        <v/>
      </c>
      <c r="O973" s="18" t="str">
        <f aca="false">IF(OR($D973="",$E973=""),"",COUNTIFS($D$7:$D973,$D973,$E$7:$E973,$E973))</f>
        <v/>
      </c>
      <c r="P973" s="16"/>
      <c r="Q973" s="19"/>
      <c r="R973" s="10"/>
      <c r="S973" s="16"/>
      <c r="T973" s="0" t="str">
        <f aca="false">IF(OR($D973="",单元查询!$B$3=""),"",IF($D973&lt;&gt;单元查询!$B$3,"",IF(OR(单元查询!$D$3="",$E973&amp;""=单元查询!$D$3&amp;""),IF(ISNUMBER($B973),$B973*10000,0)+ROW(),"")))</f>
        <v/>
      </c>
      <c r="U973" s="0" t="str">
        <f aca="false">IF(OR($B973="",$L973="已完成"),"",IF(ISNUMBER($B973),IF(设置!$B$6&lt;$B973,"",(设置!$B$6-$B973)*100000+ROW()),""))</f>
        <v/>
      </c>
      <c r="V973" s="0" t="str">
        <f aca="false">IF(ISNUMBER($O973),IF($O973&gt;=2,IF(COUNTIFS($D973:$D$2006,$D973,$E973:$E$2006,$E973)=1,ROW(),""),""),"")</f>
        <v/>
      </c>
    </row>
    <row r="974" customFormat="false" ht="15" hidden="false" customHeight="true" outlineLevel="0" collapsed="false">
      <c r="A974" s="13" t="str">
        <f aca="false">IF(AND($B974="",$D974="",$E974="",$F974=""),"",IF(OR($B974="",$D974="",$E974=""),"待补",IF($D974="公共区域","公",IF($D974="商铺","S",SUBSTITUTE($D974,"栋","")))&amp;"-"&amp;$E974&amp;"-"&amp;TEXT(MONTH($B974),"00")&amp;TEXT(DAY($B974),"00")&amp;IF(ISNUMBER($O974),IF($O974&gt;1,"-"&amp;TEXT($O974,"00"),""),"")))</f>
        <v/>
      </c>
      <c r="B974" s="14"/>
      <c r="C974" s="10"/>
      <c r="D974" s="10"/>
      <c r="E974" s="10"/>
      <c r="F974" s="16"/>
      <c r="G974" s="10"/>
      <c r="H974" s="10"/>
      <c r="I974" s="10"/>
      <c r="J974" s="10"/>
      <c r="K974" s="10"/>
      <c r="L974" s="10"/>
      <c r="M974" s="14"/>
      <c r="N974" s="17" t="str">
        <f aca="false">IF($B974="","",IF($L974="已完成",IF($M974="","",$M974-$B974),IF(设置!$B$6&lt;$B974,"",IF((设置!$B$6-$B974)&gt;=设置!$B$5,"超期"&amp;(设置!$B$6-$B974)&amp;"天","已等"&amp;(设置!$B$6-$B974)&amp;"天"))))</f>
        <v/>
      </c>
      <c r="O974" s="18" t="str">
        <f aca="false">IF(OR($D974="",$E974=""),"",COUNTIFS($D$7:$D974,$D974,$E$7:$E974,$E974))</f>
        <v/>
      </c>
      <c r="P974" s="16"/>
      <c r="Q974" s="19"/>
      <c r="R974" s="10"/>
      <c r="S974" s="16"/>
      <c r="T974" s="0" t="str">
        <f aca="false">IF(OR($D974="",单元查询!$B$3=""),"",IF($D974&lt;&gt;单元查询!$B$3,"",IF(OR(单元查询!$D$3="",$E974&amp;""=单元查询!$D$3&amp;""),IF(ISNUMBER($B974),$B974*10000,0)+ROW(),"")))</f>
        <v/>
      </c>
      <c r="U974" s="0" t="str">
        <f aca="false">IF(OR($B974="",$L974="已完成"),"",IF(ISNUMBER($B974),IF(设置!$B$6&lt;$B974,"",(设置!$B$6-$B974)*100000+ROW()),""))</f>
        <v/>
      </c>
      <c r="V974" s="0" t="str">
        <f aca="false">IF(ISNUMBER($O974),IF($O974&gt;=2,IF(COUNTIFS($D974:$D$2006,$D974,$E974:$E$2006,$E974)=1,ROW(),""),""),"")</f>
        <v/>
      </c>
    </row>
    <row r="975" customFormat="false" ht="15" hidden="false" customHeight="true" outlineLevel="0" collapsed="false">
      <c r="A975" s="13" t="str">
        <f aca="false">IF(AND($B975="",$D975="",$E975="",$F975=""),"",IF(OR($B975="",$D975="",$E975=""),"待补",IF($D975="公共区域","公",IF($D975="商铺","S",SUBSTITUTE($D975,"栋","")))&amp;"-"&amp;$E975&amp;"-"&amp;TEXT(MONTH($B975),"00")&amp;TEXT(DAY($B975),"00")&amp;IF(ISNUMBER($O975),IF($O975&gt;1,"-"&amp;TEXT($O975,"00"),""),"")))</f>
        <v/>
      </c>
      <c r="B975" s="14"/>
      <c r="C975" s="10"/>
      <c r="D975" s="10"/>
      <c r="E975" s="10"/>
      <c r="F975" s="16"/>
      <c r="G975" s="10"/>
      <c r="H975" s="10"/>
      <c r="I975" s="10"/>
      <c r="J975" s="10"/>
      <c r="K975" s="10"/>
      <c r="L975" s="10"/>
      <c r="M975" s="14"/>
      <c r="N975" s="17" t="str">
        <f aca="false">IF($B975="","",IF($L975="已完成",IF($M975="","",$M975-$B975),IF(设置!$B$6&lt;$B975,"",IF((设置!$B$6-$B975)&gt;=设置!$B$5,"超期"&amp;(设置!$B$6-$B975)&amp;"天","已等"&amp;(设置!$B$6-$B975)&amp;"天"))))</f>
        <v/>
      </c>
      <c r="O975" s="18" t="str">
        <f aca="false">IF(OR($D975="",$E975=""),"",COUNTIFS($D$7:$D975,$D975,$E$7:$E975,$E975))</f>
        <v/>
      </c>
      <c r="P975" s="16"/>
      <c r="Q975" s="19"/>
      <c r="R975" s="10"/>
      <c r="S975" s="16"/>
      <c r="T975" s="0" t="str">
        <f aca="false">IF(OR($D975="",单元查询!$B$3=""),"",IF($D975&lt;&gt;单元查询!$B$3,"",IF(OR(单元查询!$D$3="",$E975&amp;""=单元查询!$D$3&amp;""),IF(ISNUMBER($B975),$B975*10000,0)+ROW(),"")))</f>
        <v/>
      </c>
      <c r="U975" s="0" t="str">
        <f aca="false">IF(OR($B975="",$L975="已完成"),"",IF(ISNUMBER($B975),IF(设置!$B$6&lt;$B975,"",(设置!$B$6-$B975)*100000+ROW()),""))</f>
        <v/>
      </c>
      <c r="V975" s="0" t="str">
        <f aca="false">IF(ISNUMBER($O975),IF($O975&gt;=2,IF(COUNTIFS($D975:$D$2006,$D975,$E975:$E$2006,$E975)=1,ROW(),""),""),"")</f>
        <v/>
      </c>
    </row>
    <row r="976" customFormat="false" ht="15" hidden="false" customHeight="true" outlineLevel="0" collapsed="false">
      <c r="A976" s="13" t="str">
        <f aca="false">IF(AND($B976="",$D976="",$E976="",$F976=""),"",IF(OR($B976="",$D976="",$E976=""),"待补",IF($D976="公共区域","公",IF($D976="商铺","S",SUBSTITUTE($D976,"栋","")))&amp;"-"&amp;$E976&amp;"-"&amp;TEXT(MONTH($B976),"00")&amp;TEXT(DAY($B976),"00")&amp;IF(ISNUMBER($O976),IF($O976&gt;1,"-"&amp;TEXT($O976,"00"),""),"")))</f>
        <v/>
      </c>
      <c r="B976" s="14"/>
      <c r="C976" s="10"/>
      <c r="D976" s="10"/>
      <c r="E976" s="10"/>
      <c r="F976" s="16"/>
      <c r="G976" s="10"/>
      <c r="H976" s="10"/>
      <c r="I976" s="10"/>
      <c r="J976" s="10"/>
      <c r="K976" s="10"/>
      <c r="L976" s="10"/>
      <c r="M976" s="14"/>
      <c r="N976" s="17" t="str">
        <f aca="false">IF($B976="","",IF($L976="已完成",IF($M976="","",$M976-$B976),IF(设置!$B$6&lt;$B976,"",IF((设置!$B$6-$B976)&gt;=设置!$B$5,"超期"&amp;(设置!$B$6-$B976)&amp;"天","已等"&amp;(设置!$B$6-$B976)&amp;"天"))))</f>
        <v/>
      </c>
      <c r="O976" s="18" t="str">
        <f aca="false">IF(OR($D976="",$E976=""),"",COUNTIFS($D$7:$D976,$D976,$E$7:$E976,$E976))</f>
        <v/>
      </c>
      <c r="P976" s="16"/>
      <c r="Q976" s="19"/>
      <c r="R976" s="10"/>
      <c r="S976" s="16"/>
      <c r="T976" s="0" t="str">
        <f aca="false">IF(OR($D976="",单元查询!$B$3=""),"",IF($D976&lt;&gt;单元查询!$B$3,"",IF(OR(单元查询!$D$3="",$E976&amp;""=单元查询!$D$3&amp;""),IF(ISNUMBER($B976),$B976*10000,0)+ROW(),"")))</f>
        <v/>
      </c>
      <c r="U976" s="0" t="str">
        <f aca="false">IF(OR($B976="",$L976="已完成"),"",IF(ISNUMBER($B976),IF(设置!$B$6&lt;$B976,"",(设置!$B$6-$B976)*100000+ROW()),""))</f>
        <v/>
      </c>
      <c r="V976" s="0" t="str">
        <f aca="false">IF(ISNUMBER($O976),IF($O976&gt;=2,IF(COUNTIFS($D976:$D$2006,$D976,$E976:$E$2006,$E976)=1,ROW(),""),""),"")</f>
        <v/>
      </c>
    </row>
    <row r="977" customFormat="false" ht="15" hidden="false" customHeight="true" outlineLevel="0" collapsed="false">
      <c r="A977" s="13" t="str">
        <f aca="false">IF(AND($B977="",$D977="",$E977="",$F977=""),"",IF(OR($B977="",$D977="",$E977=""),"待补",IF($D977="公共区域","公",IF($D977="商铺","S",SUBSTITUTE($D977,"栋","")))&amp;"-"&amp;$E977&amp;"-"&amp;TEXT(MONTH($B977),"00")&amp;TEXT(DAY($B977),"00")&amp;IF(ISNUMBER($O977),IF($O977&gt;1,"-"&amp;TEXT($O977,"00"),""),"")))</f>
        <v/>
      </c>
      <c r="B977" s="14"/>
      <c r="C977" s="10"/>
      <c r="D977" s="10"/>
      <c r="E977" s="10"/>
      <c r="F977" s="16"/>
      <c r="G977" s="10"/>
      <c r="H977" s="10"/>
      <c r="I977" s="10"/>
      <c r="J977" s="10"/>
      <c r="K977" s="10"/>
      <c r="L977" s="10"/>
      <c r="M977" s="14"/>
      <c r="N977" s="17" t="str">
        <f aca="false">IF($B977="","",IF($L977="已完成",IF($M977="","",$M977-$B977),IF(设置!$B$6&lt;$B977,"",IF((设置!$B$6-$B977)&gt;=设置!$B$5,"超期"&amp;(设置!$B$6-$B977)&amp;"天","已等"&amp;(设置!$B$6-$B977)&amp;"天"))))</f>
        <v/>
      </c>
      <c r="O977" s="18" t="str">
        <f aca="false">IF(OR($D977="",$E977=""),"",COUNTIFS($D$7:$D977,$D977,$E$7:$E977,$E977))</f>
        <v/>
      </c>
      <c r="P977" s="16"/>
      <c r="Q977" s="19"/>
      <c r="R977" s="10"/>
      <c r="S977" s="16"/>
      <c r="T977" s="0" t="str">
        <f aca="false">IF(OR($D977="",单元查询!$B$3=""),"",IF($D977&lt;&gt;单元查询!$B$3,"",IF(OR(单元查询!$D$3="",$E977&amp;""=单元查询!$D$3&amp;""),IF(ISNUMBER($B977),$B977*10000,0)+ROW(),"")))</f>
        <v/>
      </c>
      <c r="U977" s="0" t="str">
        <f aca="false">IF(OR($B977="",$L977="已完成"),"",IF(ISNUMBER($B977),IF(设置!$B$6&lt;$B977,"",(设置!$B$6-$B977)*100000+ROW()),""))</f>
        <v/>
      </c>
      <c r="V977" s="0" t="str">
        <f aca="false">IF(ISNUMBER($O977),IF($O977&gt;=2,IF(COUNTIFS($D977:$D$2006,$D977,$E977:$E$2006,$E977)=1,ROW(),""),""),"")</f>
        <v/>
      </c>
    </row>
    <row r="978" customFormat="false" ht="15" hidden="false" customHeight="true" outlineLevel="0" collapsed="false">
      <c r="A978" s="13" t="str">
        <f aca="false">IF(AND($B978="",$D978="",$E978="",$F978=""),"",IF(OR($B978="",$D978="",$E978=""),"待补",IF($D978="公共区域","公",IF($D978="商铺","S",SUBSTITUTE($D978,"栋","")))&amp;"-"&amp;$E978&amp;"-"&amp;TEXT(MONTH($B978),"00")&amp;TEXT(DAY($B978),"00")&amp;IF(ISNUMBER($O978),IF($O978&gt;1,"-"&amp;TEXT($O978,"00"),""),"")))</f>
        <v/>
      </c>
      <c r="B978" s="14"/>
      <c r="C978" s="10"/>
      <c r="D978" s="10"/>
      <c r="E978" s="10"/>
      <c r="F978" s="16"/>
      <c r="G978" s="10"/>
      <c r="H978" s="10"/>
      <c r="I978" s="10"/>
      <c r="J978" s="10"/>
      <c r="K978" s="10"/>
      <c r="L978" s="10"/>
      <c r="M978" s="14"/>
      <c r="N978" s="17" t="str">
        <f aca="false">IF($B978="","",IF($L978="已完成",IF($M978="","",$M978-$B978),IF(设置!$B$6&lt;$B978,"",IF((设置!$B$6-$B978)&gt;=设置!$B$5,"超期"&amp;(设置!$B$6-$B978)&amp;"天","已等"&amp;(设置!$B$6-$B978)&amp;"天"))))</f>
        <v/>
      </c>
      <c r="O978" s="18" t="str">
        <f aca="false">IF(OR($D978="",$E978=""),"",COUNTIFS($D$7:$D978,$D978,$E$7:$E978,$E978))</f>
        <v/>
      </c>
      <c r="P978" s="16"/>
      <c r="Q978" s="19"/>
      <c r="R978" s="10"/>
      <c r="S978" s="16"/>
      <c r="T978" s="0" t="str">
        <f aca="false">IF(OR($D978="",单元查询!$B$3=""),"",IF($D978&lt;&gt;单元查询!$B$3,"",IF(OR(单元查询!$D$3="",$E978&amp;""=单元查询!$D$3&amp;""),IF(ISNUMBER($B978),$B978*10000,0)+ROW(),"")))</f>
        <v/>
      </c>
      <c r="U978" s="0" t="str">
        <f aca="false">IF(OR($B978="",$L978="已完成"),"",IF(ISNUMBER($B978),IF(设置!$B$6&lt;$B978,"",(设置!$B$6-$B978)*100000+ROW()),""))</f>
        <v/>
      </c>
      <c r="V978" s="0" t="str">
        <f aca="false">IF(ISNUMBER($O978),IF($O978&gt;=2,IF(COUNTIFS($D978:$D$2006,$D978,$E978:$E$2006,$E978)=1,ROW(),""),""),"")</f>
        <v/>
      </c>
    </row>
    <row r="979" customFormat="false" ht="15" hidden="false" customHeight="true" outlineLevel="0" collapsed="false">
      <c r="A979" s="13" t="str">
        <f aca="false">IF(AND($B979="",$D979="",$E979="",$F979=""),"",IF(OR($B979="",$D979="",$E979=""),"待补",IF($D979="公共区域","公",IF($D979="商铺","S",SUBSTITUTE($D979,"栋","")))&amp;"-"&amp;$E979&amp;"-"&amp;TEXT(MONTH($B979),"00")&amp;TEXT(DAY($B979),"00")&amp;IF(ISNUMBER($O979),IF($O979&gt;1,"-"&amp;TEXT($O979,"00"),""),"")))</f>
        <v/>
      </c>
      <c r="B979" s="14"/>
      <c r="C979" s="10"/>
      <c r="D979" s="10"/>
      <c r="E979" s="10"/>
      <c r="F979" s="16"/>
      <c r="G979" s="10"/>
      <c r="H979" s="10"/>
      <c r="I979" s="10"/>
      <c r="J979" s="10"/>
      <c r="K979" s="10"/>
      <c r="L979" s="10"/>
      <c r="M979" s="14"/>
      <c r="N979" s="17" t="str">
        <f aca="false">IF($B979="","",IF($L979="已完成",IF($M979="","",$M979-$B979),IF(设置!$B$6&lt;$B979,"",IF((设置!$B$6-$B979)&gt;=设置!$B$5,"超期"&amp;(设置!$B$6-$B979)&amp;"天","已等"&amp;(设置!$B$6-$B979)&amp;"天"))))</f>
        <v/>
      </c>
      <c r="O979" s="18" t="str">
        <f aca="false">IF(OR($D979="",$E979=""),"",COUNTIFS($D$7:$D979,$D979,$E$7:$E979,$E979))</f>
        <v/>
      </c>
      <c r="P979" s="16"/>
      <c r="Q979" s="19"/>
      <c r="R979" s="10"/>
      <c r="S979" s="16"/>
      <c r="T979" s="0" t="str">
        <f aca="false">IF(OR($D979="",单元查询!$B$3=""),"",IF($D979&lt;&gt;单元查询!$B$3,"",IF(OR(单元查询!$D$3="",$E979&amp;""=单元查询!$D$3&amp;""),IF(ISNUMBER($B979),$B979*10000,0)+ROW(),"")))</f>
        <v/>
      </c>
      <c r="U979" s="0" t="str">
        <f aca="false">IF(OR($B979="",$L979="已完成"),"",IF(ISNUMBER($B979),IF(设置!$B$6&lt;$B979,"",(设置!$B$6-$B979)*100000+ROW()),""))</f>
        <v/>
      </c>
      <c r="V979" s="0" t="str">
        <f aca="false">IF(ISNUMBER($O979),IF($O979&gt;=2,IF(COUNTIFS($D979:$D$2006,$D979,$E979:$E$2006,$E979)=1,ROW(),""),""),"")</f>
        <v/>
      </c>
    </row>
    <row r="980" customFormat="false" ht="15" hidden="false" customHeight="true" outlineLevel="0" collapsed="false">
      <c r="A980" s="13" t="str">
        <f aca="false">IF(AND($B980="",$D980="",$E980="",$F980=""),"",IF(OR($B980="",$D980="",$E980=""),"待补",IF($D980="公共区域","公",IF($D980="商铺","S",SUBSTITUTE($D980,"栋","")))&amp;"-"&amp;$E980&amp;"-"&amp;TEXT(MONTH($B980),"00")&amp;TEXT(DAY($B980),"00")&amp;IF(ISNUMBER($O980),IF($O980&gt;1,"-"&amp;TEXT($O980,"00"),""),"")))</f>
        <v/>
      </c>
      <c r="B980" s="14"/>
      <c r="C980" s="10"/>
      <c r="D980" s="10"/>
      <c r="E980" s="10"/>
      <c r="F980" s="16"/>
      <c r="G980" s="10"/>
      <c r="H980" s="10"/>
      <c r="I980" s="10"/>
      <c r="J980" s="10"/>
      <c r="K980" s="10"/>
      <c r="L980" s="10"/>
      <c r="M980" s="14"/>
      <c r="N980" s="17" t="str">
        <f aca="false">IF($B980="","",IF($L980="已完成",IF($M980="","",$M980-$B980),IF(设置!$B$6&lt;$B980,"",IF((设置!$B$6-$B980)&gt;=设置!$B$5,"超期"&amp;(设置!$B$6-$B980)&amp;"天","已等"&amp;(设置!$B$6-$B980)&amp;"天"))))</f>
        <v/>
      </c>
      <c r="O980" s="18" t="str">
        <f aca="false">IF(OR($D980="",$E980=""),"",COUNTIFS($D$7:$D980,$D980,$E$7:$E980,$E980))</f>
        <v/>
      </c>
      <c r="P980" s="16"/>
      <c r="Q980" s="19"/>
      <c r="R980" s="10"/>
      <c r="S980" s="16"/>
      <c r="T980" s="0" t="str">
        <f aca="false">IF(OR($D980="",单元查询!$B$3=""),"",IF($D980&lt;&gt;单元查询!$B$3,"",IF(OR(单元查询!$D$3="",$E980&amp;""=单元查询!$D$3&amp;""),IF(ISNUMBER($B980),$B980*10000,0)+ROW(),"")))</f>
        <v/>
      </c>
      <c r="U980" s="0" t="str">
        <f aca="false">IF(OR($B980="",$L980="已完成"),"",IF(ISNUMBER($B980),IF(设置!$B$6&lt;$B980,"",(设置!$B$6-$B980)*100000+ROW()),""))</f>
        <v/>
      </c>
      <c r="V980" s="0" t="str">
        <f aca="false">IF(ISNUMBER($O980),IF($O980&gt;=2,IF(COUNTIFS($D980:$D$2006,$D980,$E980:$E$2006,$E980)=1,ROW(),""),""),"")</f>
        <v/>
      </c>
    </row>
    <row r="981" customFormat="false" ht="15" hidden="false" customHeight="true" outlineLevel="0" collapsed="false">
      <c r="A981" s="13" t="str">
        <f aca="false">IF(AND($B981="",$D981="",$E981="",$F981=""),"",IF(OR($B981="",$D981="",$E981=""),"待补",IF($D981="公共区域","公",IF($D981="商铺","S",SUBSTITUTE($D981,"栋","")))&amp;"-"&amp;$E981&amp;"-"&amp;TEXT(MONTH($B981),"00")&amp;TEXT(DAY($B981),"00")&amp;IF(ISNUMBER($O981),IF($O981&gt;1,"-"&amp;TEXT($O981,"00"),""),"")))</f>
        <v/>
      </c>
      <c r="B981" s="14"/>
      <c r="C981" s="10"/>
      <c r="D981" s="10"/>
      <c r="E981" s="10"/>
      <c r="F981" s="16"/>
      <c r="G981" s="10"/>
      <c r="H981" s="10"/>
      <c r="I981" s="10"/>
      <c r="J981" s="10"/>
      <c r="K981" s="10"/>
      <c r="L981" s="10"/>
      <c r="M981" s="14"/>
      <c r="N981" s="17" t="str">
        <f aca="false">IF($B981="","",IF($L981="已完成",IF($M981="","",$M981-$B981),IF(设置!$B$6&lt;$B981,"",IF((设置!$B$6-$B981)&gt;=设置!$B$5,"超期"&amp;(设置!$B$6-$B981)&amp;"天","已等"&amp;(设置!$B$6-$B981)&amp;"天"))))</f>
        <v/>
      </c>
      <c r="O981" s="18" t="str">
        <f aca="false">IF(OR($D981="",$E981=""),"",COUNTIFS($D$7:$D981,$D981,$E$7:$E981,$E981))</f>
        <v/>
      </c>
      <c r="P981" s="16"/>
      <c r="Q981" s="19"/>
      <c r="R981" s="10"/>
      <c r="S981" s="16"/>
      <c r="T981" s="0" t="str">
        <f aca="false">IF(OR($D981="",单元查询!$B$3=""),"",IF($D981&lt;&gt;单元查询!$B$3,"",IF(OR(单元查询!$D$3="",$E981&amp;""=单元查询!$D$3&amp;""),IF(ISNUMBER($B981),$B981*10000,0)+ROW(),"")))</f>
        <v/>
      </c>
      <c r="U981" s="0" t="str">
        <f aca="false">IF(OR($B981="",$L981="已完成"),"",IF(ISNUMBER($B981),IF(设置!$B$6&lt;$B981,"",(设置!$B$6-$B981)*100000+ROW()),""))</f>
        <v/>
      </c>
      <c r="V981" s="0" t="str">
        <f aca="false">IF(ISNUMBER($O981),IF($O981&gt;=2,IF(COUNTIFS($D981:$D$2006,$D981,$E981:$E$2006,$E981)=1,ROW(),""),""),"")</f>
        <v/>
      </c>
    </row>
    <row r="982" customFormat="false" ht="15" hidden="false" customHeight="true" outlineLevel="0" collapsed="false">
      <c r="A982" s="13" t="str">
        <f aca="false">IF(AND($B982="",$D982="",$E982="",$F982=""),"",IF(OR($B982="",$D982="",$E982=""),"待补",IF($D982="公共区域","公",IF($D982="商铺","S",SUBSTITUTE($D982,"栋","")))&amp;"-"&amp;$E982&amp;"-"&amp;TEXT(MONTH($B982),"00")&amp;TEXT(DAY($B982),"00")&amp;IF(ISNUMBER($O982),IF($O982&gt;1,"-"&amp;TEXT($O982,"00"),""),"")))</f>
        <v/>
      </c>
      <c r="B982" s="14"/>
      <c r="C982" s="10"/>
      <c r="D982" s="10"/>
      <c r="E982" s="10"/>
      <c r="F982" s="16"/>
      <c r="G982" s="10"/>
      <c r="H982" s="10"/>
      <c r="I982" s="10"/>
      <c r="J982" s="10"/>
      <c r="K982" s="10"/>
      <c r="L982" s="10"/>
      <c r="M982" s="14"/>
      <c r="N982" s="17" t="str">
        <f aca="false">IF($B982="","",IF($L982="已完成",IF($M982="","",$M982-$B982),IF(设置!$B$6&lt;$B982,"",IF((设置!$B$6-$B982)&gt;=设置!$B$5,"超期"&amp;(设置!$B$6-$B982)&amp;"天","已等"&amp;(设置!$B$6-$B982)&amp;"天"))))</f>
        <v/>
      </c>
      <c r="O982" s="18" t="str">
        <f aca="false">IF(OR($D982="",$E982=""),"",COUNTIFS($D$7:$D982,$D982,$E$7:$E982,$E982))</f>
        <v/>
      </c>
      <c r="P982" s="16"/>
      <c r="Q982" s="19"/>
      <c r="R982" s="10"/>
      <c r="S982" s="16"/>
      <c r="T982" s="0" t="str">
        <f aca="false">IF(OR($D982="",单元查询!$B$3=""),"",IF($D982&lt;&gt;单元查询!$B$3,"",IF(OR(单元查询!$D$3="",$E982&amp;""=单元查询!$D$3&amp;""),IF(ISNUMBER($B982),$B982*10000,0)+ROW(),"")))</f>
        <v/>
      </c>
      <c r="U982" s="0" t="str">
        <f aca="false">IF(OR($B982="",$L982="已完成"),"",IF(ISNUMBER($B982),IF(设置!$B$6&lt;$B982,"",(设置!$B$6-$B982)*100000+ROW()),""))</f>
        <v/>
      </c>
      <c r="V982" s="0" t="str">
        <f aca="false">IF(ISNUMBER($O982),IF($O982&gt;=2,IF(COUNTIFS($D982:$D$2006,$D982,$E982:$E$2006,$E982)=1,ROW(),""),""),"")</f>
        <v/>
      </c>
    </row>
    <row r="983" customFormat="false" ht="15" hidden="false" customHeight="true" outlineLevel="0" collapsed="false">
      <c r="A983" s="13" t="str">
        <f aca="false">IF(AND($B983="",$D983="",$E983="",$F983=""),"",IF(OR($B983="",$D983="",$E983=""),"待补",IF($D983="公共区域","公",IF($D983="商铺","S",SUBSTITUTE($D983,"栋","")))&amp;"-"&amp;$E983&amp;"-"&amp;TEXT(MONTH($B983),"00")&amp;TEXT(DAY($B983),"00")&amp;IF(ISNUMBER($O983),IF($O983&gt;1,"-"&amp;TEXT($O983,"00"),""),"")))</f>
        <v/>
      </c>
      <c r="B983" s="14"/>
      <c r="C983" s="10"/>
      <c r="D983" s="10"/>
      <c r="E983" s="10"/>
      <c r="F983" s="16"/>
      <c r="G983" s="10"/>
      <c r="H983" s="10"/>
      <c r="I983" s="10"/>
      <c r="J983" s="10"/>
      <c r="K983" s="10"/>
      <c r="L983" s="10"/>
      <c r="M983" s="14"/>
      <c r="N983" s="17" t="str">
        <f aca="false">IF($B983="","",IF($L983="已完成",IF($M983="","",$M983-$B983),IF(设置!$B$6&lt;$B983,"",IF((设置!$B$6-$B983)&gt;=设置!$B$5,"超期"&amp;(设置!$B$6-$B983)&amp;"天","已等"&amp;(设置!$B$6-$B983)&amp;"天"))))</f>
        <v/>
      </c>
      <c r="O983" s="18" t="str">
        <f aca="false">IF(OR($D983="",$E983=""),"",COUNTIFS($D$7:$D983,$D983,$E$7:$E983,$E983))</f>
        <v/>
      </c>
      <c r="P983" s="16"/>
      <c r="Q983" s="19"/>
      <c r="R983" s="10"/>
      <c r="S983" s="16"/>
      <c r="T983" s="0" t="str">
        <f aca="false">IF(OR($D983="",单元查询!$B$3=""),"",IF($D983&lt;&gt;单元查询!$B$3,"",IF(OR(单元查询!$D$3="",$E983&amp;""=单元查询!$D$3&amp;""),IF(ISNUMBER($B983),$B983*10000,0)+ROW(),"")))</f>
        <v/>
      </c>
      <c r="U983" s="0" t="str">
        <f aca="false">IF(OR($B983="",$L983="已完成"),"",IF(ISNUMBER($B983),IF(设置!$B$6&lt;$B983,"",(设置!$B$6-$B983)*100000+ROW()),""))</f>
        <v/>
      </c>
      <c r="V983" s="0" t="str">
        <f aca="false">IF(ISNUMBER($O983),IF($O983&gt;=2,IF(COUNTIFS($D983:$D$2006,$D983,$E983:$E$2006,$E983)=1,ROW(),""),""),"")</f>
        <v/>
      </c>
    </row>
    <row r="984" customFormat="false" ht="15" hidden="false" customHeight="true" outlineLevel="0" collapsed="false">
      <c r="A984" s="13" t="str">
        <f aca="false">IF(AND($B984="",$D984="",$E984="",$F984=""),"",IF(OR($B984="",$D984="",$E984=""),"待补",IF($D984="公共区域","公",IF($D984="商铺","S",SUBSTITUTE($D984,"栋","")))&amp;"-"&amp;$E984&amp;"-"&amp;TEXT(MONTH($B984),"00")&amp;TEXT(DAY($B984),"00")&amp;IF(ISNUMBER($O984),IF($O984&gt;1,"-"&amp;TEXT($O984,"00"),""),"")))</f>
        <v/>
      </c>
      <c r="B984" s="14"/>
      <c r="C984" s="10"/>
      <c r="D984" s="10"/>
      <c r="E984" s="10"/>
      <c r="F984" s="16"/>
      <c r="G984" s="10"/>
      <c r="H984" s="10"/>
      <c r="I984" s="10"/>
      <c r="J984" s="10"/>
      <c r="K984" s="10"/>
      <c r="L984" s="10"/>
      <c r="M984" s="14"/>
      <c r="N984" s="17" t="str">
        <f aca="false">IF($B984="","",IF($L984="已完成",IF($M984="","",$M984-$B984),IF(设置!$B$6&lt;$B984,"",IF((设置!$B$6-$B984)&gt;=设置!$B$5,"超期"&amp;(设置!$B$6-$B984)&amp;"天","已等"&amp;(设置!$B$6-$B984)&amp;"天"))))</f>
        <v/>
      </c>
      <c r="O984" s="18" t="str">
        <f aca="false">IF(OR($D984="",$E984=""),"",COUNTIFS($D$7:$D984,$D984,$E$7:$E984,$E984))</f>
        <v/>
      </c>
      <c r="P984" s="16"/>
      <c r="Q984" s="19"/>
      <c r="R984" s="10"/>
      <c r="S984" s="16"/>
      <c r="T984" s="0" t="str">
        <f aca="false">IF(OR($D984="",单元查询!$B$3=""),"",IF($D984&lt;&gt;单元查询!$B$3,"",IF(OR(单元查询!$D$3="",$E984&amp;""=单元查询!$D$3&amp;""),IF(ISNUMBER($B984),$B984*10000,0)+ROW(),"")))</f>
        <v/>
      </c>
      <c r="U984" s="0" t="str">
        <f aca="false">IF(OR($B984="",$L984="已完成"),"",IF(ISNUMBER($B984),IF(设置!$B$6&lt;$B984,"",(设置!$B$6-$B984)*100000+ROW()),""))</f>
        <v/>
      </c>
      <c r="V984" s="0" t="str">
        <f aca="false">IF(ISNUMBER($O984),IF($O984&gt;=2,IF(COUNTIFS($D984:$D$2006,$D984,$E984:$E$2006,$E984)=1,ROW(),""),""),"")</f>
        <v/>
      </c>
    </row>
    <row r="985" customFormat="false" ht="15" hidden="false" customHeight="true" outlineLevel="0" collapsed="false">
      <c r="A985" s="13" t="str">
        <f aca="false">IF(AND($B985="",$D985="",$E985="",$F985=""),"",IF(OR($B985="",$D985="",$E985=""),"待补",IF($D985="公共区域","公",IF($D985="商铺","S",SUBSTITUTE($D985,"栋","")))&amp;"-"&amp;$E985&amp;"-"&amp;TEXT(MONTH($B985),"00")&amp;TEXT(DAY($B985),"00")&amp;IF(ISNUMBER($O985),IF($O985&gt;1,"-"&amp;TEXT($O985,"00"),""),"")))</f>
        <v/>
      </c>
      <c r="B985" s="14"/>
      <c r="C985" s="10"/>
      <c r="D985" s="10"/>
      <c r="E985" s="10"/>
      <c r="F985" s="16"/>
      <c r="G985" s="10"/>
      <c r="H985" s="10"/>
      <c r="I985" s="10"/>
      <c r="J985" s="10"/>
      <c r="K985" s="10"/>
      <c r="L985" s="10"/>
      <c r="M985" s="14"/>
      <c r="N985" s="17" t="str">
        <f aca="false">IF($B985="","",IF($L985="已完成",IF($M985="","",$M985-$B985),IF(设置!$B$6&lt;$B985,"",IF((设置!$B$6-$B985)&gt;=设置!$B$5,"超期"&amp;(设置!$B$6-$B985)&amp;"天","已等"&amp;(设置!$B$6-$B985)&amp;"天"))))</f>
        <v/>
      </c>
      <c r="O985" s="18" t="str">
        <f aca="false">IF(OR($D985="",$E985=""),"",COUNTIFS($D$7:$D985,$D985,$E$7:$E985,$E985))</f>
        <v/>
      </c>
      <c r="P985" s="16"/>
      <c r="Q985" s="19"/>
      <c r="R985" s="10"/>
      <c r="S985" s="16"/>
      <c r="T985" s="0" t="str">
        <f aca="false">IF(OR($D985="",单元查询!$B$3=""),"",IF($D985&lt;&gt;单元查询!$B$3,"",IF(OR(单元查询!$D$3="",$E985&amp;""=单元查询!$D$3&amp;""),IF(ISNUMBER($B985),$B985*10000,0)+ROW(),"")))</f>
        <v/>
      </c>
      <c r="U985" s="0" t="str">
        <f aca="false">IF(OR($B985="",$L985="已完成"),"",IF(ISNUMBER($B985),IF(设置!$B$6&lt;$B985,"",(设置!$B$6-$B985)*100000+ROW()),""))</f>
        <v/>
      </c>
      <c r="V985" s="0" t="str">
        <f aca="false">IF(ISNUMBER($O985),IF($O985&gt;=2,IF(COUNTIFS($D985:$D$2006,$D985,$E985:$E$2006,$E985)=1,ROW(),""),""),"")</f>
        <v/>
      </c>
    </row>
    <row r="986" customFormat="false" ht="15" hidden="false" customHeight="true" outlineLevel="0" collapsed="false">
      <c r="A986" s="13" t="str">
        <f aca="false">IF(AND($B986="",$D986="",$E986="",$F986=""),"",IF(OR($B986="",$D986="",$E986=""),"待补",IF($D986="公共区域","公",IF($D986="商铺","S",SUBSTITUTE($D986,"栋","")))&amp;"-"&amp;$E986&amp;"-"&amp;TEXT(MONTH($B986),"00")&amp;TEXT(DAY($B986),"00")&amp;IF(ISNUMBER($O986),IF($O986&gt;1,"-"&amp;TEXT($O986,"00"),""),"")))</f>
        <v/>
      </c>
      <c r="B986" s="14"/>
      <c r="C986" s="10"/>
      <c r="D986" s="10"/>
      <c r="E986" s="10"/>
      <c r="F986" s="16"/>
      <c r="G986" s="10"/>
      <c r="H986" s="10"/>
      <c r="I986" s="10"/>
      <c r="J986" s="10"/>
      <c r="K986" s="10"/>
      <c r="L986" s="10"/>
      <c r="M986" s="14"/>
      <c r="N986" s="17" t="str">
        <f aca="false">IF($B986="","",IF($L986="已完成",IF($M986="","",$M986-$B986),IF(设置!$B$6&lt;$B986,"",IF((设置!$B$6-$B986)&gt;=设置!$B$5,"超期"&amp;(设置!$B$6-$B986)&amp;"天","已等"&amp;(设置!$B$6-$B986)&amp;"天"))))</f>
        <v/>
      </c>
      <c r="O986" s="18" t="str">
        <f aca="false">IF(OR($D986="",$E986=""),"",COUNTIFS($D$7:$D986,$D986,$E$7:$E986,$E986))</f>
        <v/>
      </c>
      <c r="P986" s="16"/>
      <c r="Q986" s="19"/>
      <c r="R986" s="10"/>
      <c r="S986" s="16"/>
      <c r="T986" s="0" t="str">
        <f aca="false">IF(OR($D986="",单元查询!$B$3=""),"",IF($D986&lt;&gt;单元查询!$B$3,"",IF(OR(单元查询!$D$3="",$E986&amp;""=单元查询!$D$3&amp;""),IF(ISNUMBER($B986),$B986*10000,0)+ROW(),"")))</f>
        <v/>
      </c>
      <c r="U986" s="0" t="str">
        <f aca="false">IF(OR($B986="",$L986="已完成"),"",IF(ISNUMBER($B986),IF(设置!$B$6&lt;$B986,"",(设置!$B$6-$B986)*100000+ROW()),""))</f>
        <v/>
      </c>
      <c r="V986" s="0" t="str">
        <f aca="false">IF(ISNUMBER($O986),IF($O986&gt;=2,IF(COUNTIFS($D986:$D$2006,$D986,$E986:$E$2006,$E986)=1,ROW(),""),""),"")</f>
        <v/>
      </c>
    </row>
    <row r="987" customFormat="false" ht="15" hidden="false" customHeight="true" outlineLevel="0" collapsed="false">
      <c r="A987" s="13" t="str">
        <f aca="false">IF(AND($B987="",$D987="",$E987="",$F987=""),"",IF(OR($B987="",$D987="",$E987=""),"待补",IF($D987="公共区域","公",IF($D987="商铺","S",SUBSTITUTE($D987,"栋","")))&amp;"-"&amp;$E987&amp;"-"&amp;TEXT(MONTH($B987),"00")&amp;TEXT(DAY($B987),"00")&amp;IF(ISNUMBER($O987),IF($O987&gt;1,"-"&amp;TEXT($O987,"00"),""),"")))</f>
        <v/>
      </c>
      <c r="B987" s="14"/>
      <c r="C987" s="10"/>
      <c r="D987" s="10"/>
      <c r="E987" s="10"/>
      <c r="F987" s="16"/>
      <c r="G987" s="10"/>
      <c r="H987" s="10"/>
      <c r="I987" s="10"/>
      <c r="J987" s="10"/>
      <c r="K987" s="10"/>
      <c r="L987" s="10"/>
      <c r="M987" s="14"/>
      <c r="N987" s="17" t="str">
        <f aca="false">IF($B987="","",IF($L987="已完成",IF($M987="","",$M987-$B987),IF(设置!$B$6&lt;$B987,"",IF((设置!$B$6-$B987)&gt;=设置!$B$5,"超期"&amp;(设置!$B$6-$B987)&amp;"天","已等"&amp;(设置!$B$6-$B987)&amp;"天"))))</f>
        <v/>
      </c>
      <c r="O987" s="18" t="str">
        <f aca="false">IF(OR($D987="",$E987=""),"",COUNTIFS($D$7:$D987,$D987,$E$7:$E987,$E987))</f>
        <v/>
      </c>
      <c r="P987" s="16"/>
      <c r="Q987" s="19"/>
      <c r="R987" s="10"/>
      <c r="S987" s="16"/>
      <c r="T987" s="0" t="str">
        <f aca="false">IF(OR($D987="",单元查询!$B$3=""),"",IF($D987&lt;&gt;单元查询!$B$3,"",IF(OR(单元查询!$D$3="",$E987&amp;""=单元查询!$D$3&amp;""),IF(ISNUMBER($B987),$B987*10000,0)+ROW(),"")))</f>
        <v/>
      </c>
      <c r="U987" s="0" t="str">
        <f aca="false">IF(OR($B987="",$L987="已完成"),"",IF(ISNUMBER($B987),IF(设置!$B$6&lt;$B987,"",(设置!$B$6-$B987)*100000+ROW()),""))</f>
        <v/>
      </c>
      <c r="V987" s="0" t="str">
        <f aca="false">IF(ISNUMBER($O987),IF($O987&gt;=2,IF(COUNTIFS($D987:$D$2006,$D987,$E987:$E$2006,$E987)=1,ROW(),""),""),"")</f>
        <v/>
      </c>
    </row>
    <row r="988" customFormat="false" ht="15" hidden="false" customHeight="true" outlineLevel="0" collapsed="false">
      <c r="A988" s="13" t="str">
        <f aca="false">IF(AND($B988="",$D988="",$E988="",$F988=""),"",IF(OR($B988="",$D988="",$E988=""),"待补",IF($D988="公共区域","公",IF($D988="商铺","S",SUBSTITUTE($D988,"栋","")))&amp;"-"&amp;$E988&amp;"-"&amp;TEXT(MONTH($B988),"00")&amp;TEXT(DAY($B988),"00")&amp;IF(ISNUMBER($O988),IF($O988&gt;1,"-"&amp;TEXT($O988,"00"),""),"")))</f>
        <v/>
      </c>
      <c r="B988" s="14"/>
      <c r="C988" s="10"/>
      <c r="D988" s="10"/>
      <c r="E988" s="10"/>
      <c r="F988" s="16"/>
      <c r="G988" s="10"/>
      <c r="H988" s="10"/>
      <c r="I988" s="10"/>
      <c r="J988" s="10"/>
      <c r="K988" s="10"/>
      <c r="L988" s="10"/>
      <c r="M988" s="14"/>
      <c r="N988" s="17" t="str">
        <f aca="false">IF($B988="","",IF($L988="已完成",IF($M988="","",$M988-$B988),IF(设置!$B$6&lt;$B988,"",IF((设置!$B$6-$B988)&gt;=设置!$B$5,"超期"&amp;(设置!$B$6-$B988)&amp;"天","已等"&amp;(设置!$B$6-$B988)&amp;"天"))))</f>
        <v/>
      </c>
      <c r="O988" s="18" t="str">
        <f aca="false">IF(OR($D988="",$E988=""),"",COUNTIFS($D$7:$D988,$D988,$E$7:$E988,$E988))</f>
        <v/>
      </c>
      <c r="P988" s="16"/>
      <c r="Q988" s="19"/>
      <c r="R988" s="10"/>
      <c r="S988" s="16"/>
      <c r="T988" s="0" t="str">
        <f aca="false">IF(OR($D988="",单元查询!$B$3=""),"",IF($D988&lt;&gt;单元查询!$B$3,"",IF(OR(单元查询!$D$3="",$E988&amp;""=单元查询!$D$3&amp;""),IF(ISNUMBER($B988),$B988*10000,0)+ROW(),"")))</f>
        <v/>
      </c>
      <c r="U988" s="0" t="str">
        <f aca="false">IF(OR($B988="",$L988="已完成"),"",IF(ISNUMBER($B988),IF(设置!$B$6&lt;$B988,"",(设置!$B$6-$B988)*100000+ROW()),""))</f>
        <v/>
      </c>
      <c r="V988" s="0" t="str">
        <f aca="false">IF(ISNUMBER($O988),IF($O988&gt;=2,IF(COUNTIFS($D988:$D$2006,$D988,$E988:$E$2006,$E988)=1,ROW(),""),""),"")</f>
        <v/>
      </c>
    </row>
    <row r="989" customFormat="false" ht="15" hidden="false" customHeight="true" outlineLevel="0" collapsed="false">
      <c r="A989" s="13" t="str">
        <f aca="false">IF(AND($B989="",$D989="",$E989="",$F989=""),"",IF(OR($B989="",$D989="",$E989=""),"待补",IF($D989="公共区域","公",IF($D989="商铺","S",SUBSTITUTE($D989,"栋","")))&amp;"-"&amp;$E989&amp;"-"&amp;TEXT(MONTH($B989),"00")&amp;TEXT(DAY($B989),"00")&amp;IF(ISNUMBER($O989),IF($O989&gt;1,"-"&amp;TEXT($O989,"00"),""),"")))</f>
        <v/>
      </c>
      <c r="B989" s="14"/>
      <c r="C989" s="10"/>
      <c r="D989" s="10"/>
      <c r="E989" s="10"/>
      <c r="F989" s="16"/>
      <c r="G989" s="10"/>
      <c r="H989" s="10"/>
      <c r="I989" s="10"/>
      <c r="J989" s="10"/>
      <c r="K989" s="10"/>
      <c r="L989" s="10"/>
      <c r="M989" s="14"/>
      <c r="N989" s="17" t="str">
        <f aca="false">IF($B989="","",IF($L989="已完成",IF($M989="","",$M989-$B989),IF(设置!$B$6&lt;$B989,"",IF((设置!$B$6-$B989)&gt;=设置!$B$5,"超期"&amp;(设置!$B$6-$B989)&amp;"天","已等"&amp;(设置!$B$6-$B989)&amp;"天"))))</f>
        <v/>
      </c>
      <c r="O989" s="18" t="str">
        <f aca="false">IF(OR($D989="",$E989=""),"",COUNTIFS($D$7:$D989,$D989,$E$7:$E989,$E989))</f>
        <v/>
      </c>
      <c r="P989" s="16"/>
      <c r="Q989" s="19"/>
      <c r="R989" s="10"/>
      <c r="S989" s="16"/>
      <c r="T989" s="0" t="str">
        <f aca="false">IF(OR($D989="",单元查询!$B$3=""),"",IF($D989&lt;&gt;单元查询!$B$3,"",IF(OR(单元查询!$D$3="",$E989&amp;""=单元查询!$D$3&amp;""),IF(ISNUMBER($B989),$B989*10000,0)+ROW(),"")))</f>
        <v/>
      </c>
      <c r="U989" s="0" t="str">
        <f aca="false">IF(OR($B989="",$L989="已完成"),"",IF(ISNUMBER($B989),IF(设置!$B$6&lt;$B989,"",(设置!$B$6-$B989)*100000+ROW()),""))</f>
        <v/>
      </c>
      <c r="V989" s="0" t="str">
        <f aca="false">IF(ISNUMBER($O989),IF($O989&gt;=2,IF(COUNTIFS($D989:$D$2006,$D989,$E989:$E$2006,$E989)=1,ROW(),""),""),"")</f>
        <v/>
      </c>
    </row>
    <row r="990" customFormat="false" ht="15" hidden="false" customHeight="true" outlineLevel="0" collapsed="false">
      <c r="A990" s="13" t="str">
        <f aca="false">IF(AND($B990="",$D990="",$E990="",$F990=""),"",IF(OR($B990="",$D990="",$E990=""),"待补",IF($D990="公共区域","公",IF($D990="商铺","S",SUBSTITUTE($D990,"栋","")))&amp;"-"&amp;$E990&amp;"-"&amp;TEXT(MONTH($B990),"00")&amp;TEXT(DAY($B990),"00")&amp;IF(ISNUMBER($O990),IF($O990&gt;1,"-"&amp;TEXT($O990,"00"),""),"")))</f>
        <v/>
      </c>
      <c r="B990" s="14"/>
      <c r="C990" s="10"/>
      <c r="D990" s="10"/>
      <c r="E990" s="10"/>
      <c r="F990" s="16"/>
      <c r="G990" s="10"/>
      <c r="H990" s="10"/>
      <c r="I990" s="10"/>
      <c r="J990" s="10"/>
      <c r="K990" s="10"/>
      <c r="L990" s="10"/>
      <c r="M990" s="14"/>
      <c r="N990" s="17" t="str">
        <f aca="false">IF($B990="","",IF($L990="已完成",IF($M990="","",$M990-$B990),IF(设置!$B$6&lt;$B990,"",IF((设置!$B$6-$B990)&gt;=设置!$B$5,"超期"&amp;(设置!$B$6-$B990)&amp;"天","已等"&amp;(设置!$B$6-$B990)&amp;"天"))))</f>
        <v/>
      </c>
      <c r="O990" s="18" t="str">
        <f aca="false">IF(OR($D990="",$E990=""),"",COUNTIFS($D$7:$D990,$D990,$E$7:$E990,$E990))</f>
        <v/>
      </c>
      <c r="P990" s="16"/>
      <c r="Q990" s="19"/>
      <c r="R990" s="10"/>
      <c r="S990" s="16"/>
      <c r="T990" s="0" t="str">
        <f aca="false">IF(OR($D990="",单元查询!$B$3=""),"",IF($D990&lt;&gt;单元查询!$B$3,"",IF(OR(单元查询!$D$3="",$E990&amp;""=单元查询!$D$3&amp;""),IF(ISNUMBER($B990),$B990*10000,0)+ROW(),"")))</f>
        <v/>
      </c>
      <c r="U990" s="0" t="str">
        <f aca="false">IF(OR($B990="",$L990="已完成"),"",IF(ISNUMBER($B990),IF(设置!$B$6&lt;$B990,"",(设置!$B$6-$B990)*100000+ROW()),""))</f>
        <v/>
      </c>
      <c r="V990" s="0" t="str">
        <f aca="false">IF(ISNUMBER($O990),IF($O990&gt;=2,IF(COUNTIFS($D990:$D$2006,$D990,$E990:$E$2006,$E990)=1,ROW(),""),""),"")</f>
        <v/>
      </c>
    </row>
    <row r="991" customFormat="false" ht="15" hidden="false" customHeight="true" outlineLevel="0" collapsed="false">
      <c r="A991" s="13" t="str">
        <f aca="false">IF(AND($B991="",$D991="",$E991="",$F991=""),"",IF(OR($B991="",$D991="",$E991=""),"待补",IF($D991="公共区域","公",IF($D991="商铺","S",SUBSTITUTE($D991,"栋","")))&amp;"-"&amp;$E991&amp;"-"&amp;TEXT(MONTH($B991),"00")&amp;TEXT(DAY($B991),"00")&amp;IF(ISNUMBER($O991),IF($O991&gt;1,"-"&amp;TEXT($O991,"00"),""),"")))</f>
        <v/>
      </c>
      <c r="B991" s="14"/>
      <c r="C991" s="10"/>
      <c r="D991" s="10"/>
      <c r="E991" s="10"/>
      <c r="F991" s="16"/>
      <c r="G991" s="10"/>
      <c r="H991" s="10"/>
      <c r="I991" s="10"/>
      <c r="J991" s="10"/>
      <c r="K991" s="10"/>
      <c r="L991" s="10"/>
      <c r="M991" s="14"/>
      <c r="N991" s="17" t="str">
        <f aca="false">IF($B991="","",IF($L991="已完成",IF($M991="","",$M991-$B991),IF(设置!$B$6&lt;$B991,"",IF((设置!$B$6-$B991)&gt;=设置!$B$5,"超期"&amp;(设置!$B$6-$B991)&amp;"天","已等"&amp;(设置!$B$6-$B991)&amp;"天"))))</f>
        <v/>
      </c>
      <c r="O991" s="18" t="str">
        <f aca="false">IF(OR($D991="",$E991=""),"",COUNTIFS($D$7:$D991,$D991,$E$7:$E991,$E991))</f>
        <v/>
      </c>
      <c r="P991" s="16"/>
      <c r="Q991" s="19"/>
      <c r="R991" s="10"/>
      <c r="S991" s="16"/>
      <c r="T991" s="0" t="str">
        <f aca="false">IF(OR($D991="",单元查询!$B$3=""),"",IF($D991&lt;&gt;单元查询!$B$3,"",IF(OR(单元查询!$D$3="",$E991&amp;""=单元查询!$D$3&amp;""),IF(ISNUMBER($B991),$B991*10000,0)+ROW(),"")))</f>
        <v/>
      </c>
      <c r="U991" s="0" t="str">
        <f aca="false">IF(OR($B991="",$L991="已完成"),"",IF(ISNUMBER($B991),IF(设置!$B$6&lt;$B991,"",(设置!$B$6-$B991)*100000+ROW()),""))</f>
        <v/>
      </c>
      <c r="V991" s="0" t="str">
        <f aca="false">IF(ISNUMBER($O991),IF($O991&gt;=2,IF(COUNTIFS($D991:$D$2006,$D991,$E991:$E$2006,$E991)=1,ROW(),""),""),"")</f>
        <v/>
      </c>
    </row>
    <row r="992" customFormat="false" ht="15" hidden="false" customHeight="true" outlineLevel="0" collapsed="false">
      <c r="A992" s="13" t="str">
        <f aca="false">IF(AND($B992="",$D992="",$E992="",$F992=""),"",IF(OR($B992="",$D992="",$E992=""),"待补",IF($D992="公共区域","公",IF($D992="商铺","S",SUBSTITUTE($D992,"栋","")))&amp;"-"&amp;$E992&amp;"-"&amp;TEXT(MONTH($B992),"00")&amp;TEXT(DAY($B992),"00")&amp;IF(ISNUMBER($O992),IF($O992&gt;1,"-"&amp;TEXT($O992,"00"),""),"")))</f>
        <v/>
      </c>
      <c r="B992" s="14"/>
      <c r="C992" s="10"/>
      <c r="D992" s="10"/>
      <c r="E992" s="10"/>
      <c r="F992" s="16"/>
      <c r="G992" s="10"/>
      <c r="H992" s="10"/>
      <c r="I992" s="10"/>
      <c r="J992" s="10"/>
      <c r="K992" s="10"/>
      <c r="L992" s="10"/>
      <c r="M992" s="14"/>
      <c r="N992" s="17" t="str">
        <f aca="false">IF($B992="","",IF($L992="已完成",IF($M992="","",$M992-$B992),IF(设置!$B$6&lt;$B992,"",IF((设置!$B$6-$B992)&gt;=设置!$B$5,"超期"&amp;(设置!$B$6-$B992)&amp;"天","已等"&amp;(设置!$B$6-$B992)&amp;"天"))))</f>
        <v/>
      </c>
      <c r="O992" s="18" t="str">
        <f aca="false">IF(OR($D992="",$E992=""),"",COUNTIFS($D$7:$D992,$D992,$E$7:$E992,$E992))</f>
        <v/>
      </c>
      <c r="P992" s="16"/>
      <c r="Q992" s="19"/>
      <c r="R992" s="10"/>
      <c r="S992" s="16"/>
      <c r="T992" s="0" t="str">
        <f aca="false">IF(OR($D992="",单元查询!$B$3=""),"",IF($D992&lt;&gt;单元查询!$B$3,"",IF(OR(单元查询!$D$3="",$E992&amp;""=单元查询!$D$3&amp;""),IF(ISNUMBER($B992),$B992*10000,0)+ROW(),"")))</f>
        <v/>
      </c>
      <c r="U992" s="0" t="str">
        <f aca="false">IF(OR($B992="",$L992="已完成"),"",IF(ISNUMBER($B992),IF(设置!$B$6&lt;$B992,"",(设置!$B$6-$B992)*100000+ROW()),""))</f>
        <v/>
      </c>
      <c r="V992" s="0" t="str">
        <f aca="false">IF(ISNUMBER($O992),IF($O992&gt;=2,IF(COUNTIFS($D992:$D$2006,$D992,$E992:$E$2006,$E992)=1,ROW(),""),""),"")</f>
        <v/>
      </c>
    </row>
    <row r="993" customFormat="false" ht="15" hidden="false" customHeight="true" outlineLevel="0" collapsed="false">
      <c r="A993" s="13" t="str">
        <f aca="false">IF(AND($B993="",$D993="",$E993="",$F993=""),"",IF(OR($B993="",$D993="",$E993=""),"待补",IF($D993="公共区域","公",IF($D993="商铺","S",SUBSTITUTE($D993,"栋","")))&amp;"-"&amp;$E993&amp;"-"&amp;TEXT(MONTH($B993),"00")&amp;TEXT(DAY($B993),"00")&amp;IF(ISNUMBER($O993),IF($O993&gt;1,"-"&amp;TEXT($O993,"00"),""),"")))</f>
        <v/>
      </c>
      <c r="B993" s="14"/>
      <c r="C993" s="10"/>
      <c r="D993" s="10"/>
      <c r="E993" s="10"/>
      <c r="F993" s="16"/>
      <c r="G993" s="10"/>
      <c r="H993" s="10"/>
      <c r="I993" s="10"/>
      <c r="J993" s="10"/>
      <c r="K993" s="10"/>
      <c r="L993" s="10"/>
      <c r="M993" s="14"/>
      <c r="N993" s="17" t="str">
        <f aca="false">IF($B993="","",IF($L993="已完成",IF($M993="","",$M993-$B993),IF(设置!$B$6&lt;$B993,"",IF((设置!$B$6-$B993)&gt;=设置!$B$5,"超期"&amp;(设置!$B$6-$B993)&amp;"天","已等"&amp;(设置!$B$6-$B993)&amp;"天"))))</f>
        <v/>
      </c>
      <c r="O993" s="18" t="str">
        <f aca="false">IF(OR($D993="",$E993=""),"",COUNTIFS($D$7:$D993,$D993,$E$7:$E993,$E993))</f>
        <v/>
      </c>
      <c r="P993" s="16"/>
      <c r="Q993" s="19"/>
      <c r="R993" s="10"/>
      <c r="S993" s="16"/>
      <c r="T993" s="0" t="str">
        <f aca="false">IF(OR($D993="",单元查询!$B$3=""),"",IF($D993&lt;&gt;单元查询!$B$3,"",IF(OR(单元查询!$D$3="",$E993&amp;""=单元查询!$D$3&amp;""),IF(ISNUMBER($B993),$B993*10000,0)+ROW(),"")))</f>
        <v/>
      </c>
      <c r="U993" s="0" t="str">
        <f aca="false">IF(OR($B993="",$L993="已完成"),"",IF(ISNUMBER($B993),IF(设置!$B$6&lt;$B993,"",(设置!$B$6-$B993)*100000+ROW()),""))</f>
        <v/>
      </c>
      <c r="V993" s="0" t="str">
        <f aca="false">IF(ISNUMBER($O993),IF($O993&gt;=2,IF(COUNTIFS($D993:$D$2006,$D993,$E993:$E$2006,$E993)=1,ROW(),""),""),"")</f>
        <v/>
      </c>
    </row>
    <row r="994" customFormat="false" ht="15" hidden="false" customHeight="true" outlineLevel="0" collapsed="false">
      <c r="A994" s="13" t="str">
        <f aca="false">IF(AND($B994="",$D994="",$E994="",$F994=""),"",IF(OR($B994="",$D994="",$E994=""),"待补",IF($D994="公共区域","公",IF($D994="商铺","S",SUBSTITUTE($D994,"栋","")))&amp;"-"&amp;$E994&amp;"-"&amp;TEXT(MONTH($B994),"00")&amp;TEXT(DAY($B994),"00")&amp;IF(ISNUMBER($O994),IF($O994&gt;1,"-"&amp;TEXT($O994,"00"),""),"")))</f>
        <v/>
      </c>
      <c r="B994" s="14"/>
      <c r="C994" s="10"/>
      <c r="D994" s="10"/>
      <c r="E994" s="10"/>
      <c r="F994" s="16"/>
      <c r="G994" s="10"/>
      <c r="H994" s="10"/>
      <c r="I994" s="10"/>
      <c r="J994" s="10"/>
      <c r="K994" s="10"/>
      <c r="L994" s="10"/>
      <c r="M994" s="14"/>
      <c r="N994" s="17" t="str">
        <f aca="false">IF($B994="","",IF($L994="已完成",IF($M994="","",$M994-$B994),IF(设置!$B$6&lt;$B994,"",IF((设置!$B$6-$B994)&gt;=设置!$B$5,"超期"&amp;(设置!$B$6-$B994)&amp;"天","已等"&amp;(设置!$B$6-$B994)&amp;"天"))))</f>
        <v/>
      </c>
      <c r="O994" s="18" t="str">
        <f aca="false">IF(OR($D994="",$E994=""),"",COUNTIFS($D$7:$D994,$D994,$E$7:$E994,$E994))</f>
        <v/>
      </c>
      <c r="P994" s="16"/>
      <c r="Q994" s="19"/>
      <c r="R994" s="10"/>
      <c r="S994" s="16"/>
      <c r="T994" s="0" t="str">
        <f aca="false">IF(OR($D994="",单元查询!$B$3=""),"",IF($D994&lt;&gt;单元查询!$B$3,"",IF(OR(单元查询!$D$3="",$E994&amp;""=单元查询!$D$3&amp;""),IF(ISNUMBER($B994),$B994*10000,0)+ROW(),"")))</f>
        <v/>
      </c>
      <c r="U994" s="0" t="str">
        <f aca="false">IF(OR($B994="",$L994="已完成"),"",IF(ISNUMBER($B994),IF(设置!$B$6&lt;$B994,"",(设置!$B$6-$B994)*100000+ROW()),""))</f>
        <v/>
      </c>
      <c r="V994" s="0" t="str">
        <f aca="false">IF(ISNUMBER($O994),IF($O994&gt;=2,IF(COUNTIFS($D994:$D$2006,$D994,$E994:$E$2006,$E994)=1,ROW(),""),""),"")</f>
        <v/>
      </c>
    </row>
    <row r="995" customFormat="false" ht="15" hidden="false" customHeight="true" outlineLevel="0" collapsed="false">
      <c r="A995" s="13" t="str">
        <f aca="false">IF(AND($B995="",$D995="",$E995="",$F995=""),"",IF(OR($B995="",$D995="",$E995=""),"待补",IF($D995="公共区域","公",IF($D995="商铺","S",SUBSTITUTE($D995,"栋","")))&amp;"-"&amp;$E995&amp;"-"&amp;TEXT(MONTH($B995),"00")&amp;TEXT(DAY($B995),"00")&amp;IF(ISNUMBER($O995),IF($O995&gt;1,"-"&amp;TEXT($O995,"00"),""),"")))</f>
        <v/>
      </c>
      <c r="B995" s="14"/>
      <c r="C995" s="10"/>
      <c r="D995" s="10"/>
      <c r="E995" s="10"/>
      <c r="F995" s="16"/>
      <c r="G995" s="10"/>
      <c r="H995" s="10"/>
      <c r="I995" s="10"/>
      <c r="J995" s="10"/>
      <c r="K995" s="10"/>
      <c r="L995" s="10"/>
      <c r="M995" s="14"/>
      <c r="N995" s="17" t="str">
        <f aca="false">IF($B995="","",IF($L995="已完成",IF($M995="","",$M995-$B995),IF(设置!$B$6&lt;$B995,"",IF((设置!$B$6-$B995)&gt;=设置!$B$5,"超期"&amp;(设置!$B$6-$B995)&amp;"天","已等"&amp;(设置!$B$6-$B995)&amp;"天"))))</f>
        <v/>
      </c>
      <c r="O995" s="18" t="str">
        <f aca="false">IF(OR($D995="",$E995=""),"",COUNTIFS($D$7:$D995,$D995,$E$7:$E995,$E995))</f>
        <v/>
      </c>
      <c r="P995" s="16"/>
      <c r="Q995" s="19"/>
      <c r="R995" s="10"/>
      <c r="S995" s="16"/>
      <c r="T995" s="0" t="str">
        <f aca="false">IF(OR($D995="",单元查询!$B$3=""),"",IF($D995&lt;&gt;单元查询!$B$3,"",IF(OR(单元查询!$D$3="",$E995&amp;""=单元查询!$D$3&amp;""),IF(ISNUMBER($B995),$B995*10000,0)+ROW(),"")))</f>
        <v/>
      </c>
      <c r="U995" s="0" t="str">
        <f aca="false">IF(OR($B995="",$L995="已完成"),"",IF(ISNUMBER($B995),IF(设置!$B$6&lt;$B995,"",(设置!$B$6-$B995)*100000+ROW()),""))</f>
        <v/>
      </c>
      <c r="V995" s="0" t="str">
        <f aca="false">IF(ISNUMBER($O995),IF($O995&gt;=2,IF(COUNTIFS($D995:$D$2006,$D995,$E995:$E$2006,$E995)=1,ROW(),""),""),"")</f>
        <v/>
      </c>
    </row>
    <row r="996" customFormat="false" ht="15" hidden="false" customHeight="true" outlineLevel="0" collapsed="false">
      <c r="A996" s="13" t="str">
        <f aca="false">IF(AND($B996="",$D996="",$E996="",$F996=""),"",IF(OR($B996="",$D996="",$E996=""),"待补",IF($D996="公共区域","公",IF($D996="商铺","S",SUBSTITUTE($D996,"栋","")))&amp;"-"&amp;$E996&amp;"-"&amp;TEXT(MONTH($B996),"00")&amp;TEXT(DAY($B996),"00")&amp;IF(ISNUMBER($O996),IF($O996&gt;1,"-"&amp;TEXT($O996,"00"),""),"")))</f>
        <v/>
      </c>
      <c r="B996" s="14"/>
      <c r="C996" s="10"/>
      <c r="D996" s="10"/>
      <c r="E996" s="10"/>
      <c r="F996" s="16"/>
      <c r="G996" s="10"/>
      <c r="H996" s="10"/>
      <c r="I996" s="10"/>
      <c r="J996" s="10"/>
      <c r="K996" s="10"/>
      <c r="L996" s="10"/>
      <c r="M996" s="14"/>
      <c r="N996" s="17" t="str">
        <f aca="false">IF($B996="","",IF($L996="已完成",IF($M996="","",$M996-$B996),IF(设置!$B$6&lt;$B996,"",IF((设置!$B$6-$B996)&gt;=设置!$B$5,"超期"&amp;(设置!$B$6-$B996)&amp;"天","已等"&amp;(设置!$B$6-$B996)&amp;"天"))))</f>
        <v/>
      </c>
      <c r="O996" s="18" t="str">
        <f aca="false">IF(OR($D996="",$E996=""),"",COUNTIFS($D$7:$D996,$D996,$E$7:$E996,$E996))</f>
        <v/>
      </c>
      <c r="P996" s="16"/>
      <c r="Q996" s="19"/>
      <c r="R996" s="10"/>
      <c r="S996" s="16"/>
      <c r="T996" s="0" t="str">
        <f aca="false">IF(OR($D996="",单元查询!$B$3=""),"",IF($D996&lt;&gt;单元查询!$B$3,"",IF(OR(单元查询!$D$3="",$E996&amp;""=单元查询!$D$3&amp;""),IF(ISNUMBER($B996),$B996*10000,0)+ROW(),"")))</f>
        <v/>
      </c>
      <c r="U996" s="0" t="str">
        <f aca="false">IF(OR($B996="",$L996="已完成"),"",IF(ISNUMBER($B996),IF(设置!$B$6&lt;$B996,"",(设置!$B$6-$B996)*100000+ROW()),""))</f>
        <v/>
      </c>
      <c r="V996" s="0" t="str">
        <f aca="false">IF(ISNUMBER($O996),IF($O996&gt;=2,IF(COUNTIFS($D996:$D$2006,$D996,$E996:$E$2006,$E996)=1,ROW(),""),""),"")</f>
        <v/>
      </c>
    </row>
    <row r="997" customFormat="false" ht="15" hidden="false" customHeight="true" outlineLevel="0" collapsed="false">
      <c r="A997" s="13" t="str">
        <f aca="false">IF(AND($B997="",$D997="",$E997="",$F997=""),"",IF(OR($B997="",$D997="",$E997=""),"待补",IF($D997="公共区域","公",IF($D997="商铺","S",SUBSTITUTE($D997,"栋","")))&amp;"-"&amp;$E997&amp;"-"&amp;TEXT(MONTH($B997),"00")&amp;TEXT(DAY($B997),"00")&amp;IF(ISNUMBER($O997),IF($O997&gt;1,"-"&amp;TEXT($O997,"00"),""),"")))</f>
        <v/>
      </c>
      <c r="B997" s="14"/>
      <c r="C997" s="10"/>
      <c r="D997" s="10"/>
      <c r="E997" s="10"/>
      <c r="F997" s="16"/>
      <c r="G997" s="10"/>
      <c r="H997" s="10"/>
      <c r="I997" s="10"/>
      <c r="J997" s="10"/>
      <c r="K997" s="10"/>
      <c r="L997" s="10"/>
      <c r="M997" s="14"/>
      <c r="N997" s="17" t="str">
        <f aca="false">IF($B997="","",IF($L997="已完成",IF($M997="","",$M997-$B997),IF(设置!$B$6&lt;$B997,"",IF((设置!$B$6-$B997)&gt;=设置!$B$5,"超期"&amp;(设置!$B$6-$B997)&amp;"天","已等"&amp;(设置!$B$6-$B997)&amp;"天"))))</f>
        <v/>
      </c>
      <c r="O997" s="18" t="str">
        <f aca="false">IF(OR($D997="",$E997=""),"",COUNTIFS($D$7:$D997,$D997,$E$7:$E997,$E997))</f>
        <v/>
      </c>
      <c r="P997" s="16"/>
      <c r="Q997" s="19"/>
      <c r="R997" s="10"/>
      <c r="S997" s="16"/>
      <c r="T997" s="0" t="str">
        <f aca="false">IF(OR($D997="",单元查询!$B$3=""),"",IF($D997&lt;&gt;单元查询!$B$3,"",IF(OR(单元查询!$D$3="",$E997&amp;""=单元查询!$D$3&amp;""),IF(ISNUMBER($B997),$B997*10000,0)+ROW(),"")))</f>
        <v/>
      </c>
      <c r="U997" s="0" t="str">
        <f aca="false">IF(OR($B997="",$L997="已完成"),"",IF(ISNUMBER($B997),IF(设置!$B$6&lt;$B997,"",(设置!$B$6-$B997)*100000+ROW()),""))</f>
        <v/>
      </c>
      <c r="V997" s="0" t="str">
        <f aca="false">IF(ISNUMBER($O997),IF($O997&gt;=2,IF(COUNTIFS($D997:$D$2006,$D997,$E997:$E$2006,$E997)=1,ROW(),""),""),"")</f>
        <v/>
      </c>
    </row>
    <row r="998" customFormat="false" ht="15" hidden="false" customHeight="true" outlineLevel="0" collapsed="false">
      <c r="A998" s="13" t="str">
        <f aca="false">IF(AND($B998="",$D998="",$E998="",$F998=""),"",IF(OR($B998="",$D998="",$E998=""),"待补",IF($D998="公共区域","公",IF($D998="商铺","S",SUBSTITUTE($D998,"栋","")))&amp;"-"&amp;$E998&amp;"-"&amp;TEXT(MONTH($B998),"00")&amp;TEXT(DAY($B998),"00")&amp;IF(ISNUMBER($O998),IF($O998&gt;1,"-"&amp;TEXT($O998,"00"),""),"")))</f>
        <v/>
      </c>
      <c r="B998" s="14"/>
      <c r="C998" s="10"/>
      <c r="D998" s="10"/>
      <c r="E998" s="10"/>
      <c r="F998" s="16"/>
      <c r="G998" s="10"/>
      <c r="H998" s="10"/>
      <c r="I998" s="10"/>
      <c r="J998" s="10"/>
      <c r="K998" s="10"/>
      <c r="L998" s="10"/>
      <c r="M998" s="14"/>
      <c r="N998" s="17" t="str">
        <f aca="false">IF($B998="","",IF($L998="已完成",IF($M998="","",$M998-$B998),IF(设置!$B$6&lt;$B998,"",IF((设置!$B$6-$B998)&gt;=设置!$B$5,"超期"&amp;(设置!$B$6-$B998)&amp;"天","已等"&amp;(设置!$B$6-$B998)&amp;"天"))))</f>
        <v/>
      </c>
      <c r="O998" s="18" t="str">
        <f aca="false">IF(OR($D998="",$E998=""),"",COUNTIFS($D$7:$D998,$D998,$E$7:$E998,$E998))</f>
        <v/>
      </c>
      <c r="P998" s="16"/>
      <c r="Q998" s="19"/>
      <c r="R998" s="10"/>
      <c r="S998" s="16"/>
      <c r="T998" s="0" t="str">
        <f aca="false">IF(OR($D998="",单元查询!$B$3=""),"",IF($D998&lt;&gt;单元查询!$B$3,"",IF(OR(单元查询!$D$3="",$E998&amp;""=单元查询!$D$3&amp;""),IF(ISNUMBER($B998),$B998*10000,0)+ROW(),"")))</f>
        <v/>
      </c>
      <c r="U998" s="0" t="str">
        <f aca="false">IF(OR($B998="",$L998="已完成"),"",IF(ISNUMBER($B998),IF(设置!$B$6&lt;$B998,"",(设置!$B$6-$B998)*100000+ROW()),""))</f>
        <v/>
      </c>
      <c r="V998" s="0" t="str">
        <f aca="false">IF(ISNUMBER($O998),IF($O998&gt;=2,IF(COUNTIFS($D998:$D$2006,$D998,$E998:$E$2006,$E998)=1,ROW(),""),""),"")</f>
        <v/>
      </c>
    </row>
    <row r="999" customFormat="false" ht="15" hidden="false" customHeight="true" outlineLevel="0" collapsed="false">
      <c r="A999" s="13" t="str">
        <f aca="false">IF(AND($B999="",$D999="",$E999="",$F999=""),"",IF(OR($B999="",$D999="",$E999=""),"待补",IF($D999="公共区域","公",IF($D999="商铺","S",SUBSTITUTE($D999,"栋","")))&amp;"-"&amp;$E999&amp;"-"&amp;TEXT(MONTH($B999),"00")&amp;TEXT(DAY($B999),"00")&amp;IF(ISNUMBER($O999),IF($O999&gt;1,"-"&amp;TEXT($O999,"00"),""),"")))</f>
        <v/>
      </c>
      <c r="B999" s="14"/>
      <c r="C999" s="10"/>
      <c r="D999" s="10"/>
      <c r="E999" s="10"/>
      <c r="F999" s="16"/>
      <c r="G999" s="10"/>
      <c r="H999" s="10"/>
      <c r="I999" s="10"/>
      <c r="J999" s="10"/>
      <c r="K999" s="10"/>
      <c r="L999" s="10"/>
      <c r="M999" s="14"/>
      <c r="N999" s="17" t="str">
        <f aca="false">IF($B999="","",IF($L999="已完成",IF($M999="","",$M999-$B999),IF(设置!$B$6&lt;$B999,"",IF((设置!$B$6-$B999)&gt;=设置!$B$5,"超期"&amp;(设置!$B$6-$B999)&amp;"天","已等"&amp;(设置!$B$6-$B999)&amp;"天"))))</f>
        <v/>
      </c>
      <c r="O999" s="18" t="str">
        <f aca="false">IF(OR($D999="",$E999=""),"",COUNTIFS($D$7:$D999,$D999,$E$7:$E999,$E999))</f>
        <v/>
      </c>
      <c r="P999" s="16"/>
      <c r="Q999" s="19"/>
      <c r="R999" s="10"/>
      <c r="S999" s="16"/>
      <c r="T999" s="0" t="str">
        <f aca="false">IF(OR($D999="",单元查询!$B$3=""),"",IF($D999&lt;&gt;单元查询!$B$3,"",IF(OR(单元查询!$D$3="",$E999&amp;""=单元查询!$D$3&amp;""),IF(ISNUMBER($B999),$B999*10000,0)+ROW(),"")))</f>
        <v/>
      </c>
      <c r="U999" s="0" t="str">
        <f aca="false">IF(OR($B999="",$L999="已完成"),"",IF(ISNUMBER($B999),IF(设置!$B$6&lt;$B999,"",(设置!$B$6-$B999)*100000+ROW()),""))</f>
        <v/>
      </c>
      <c r="V999" s="0" t="str">
        <f aca="false">IF(ISNUMBER($O999),IF($O999&gt;=2,IF(COUNTIFS($D999:$D$2006,$D999,$E999:$E$2006,$E999)=1,ROW(),""),""),"")</f>
        <v/>
      </c>
    </row>
    <row r="1000" customFormat="false" ht="15" hidden="false" customHeight="true" outlineLevel="0" collapsed="false">
      <c r="A1000" s="13" t="str">
        <f aca="false">IF(AND($B1000="",$D1000="",$E1000="",$F1000=""),"",IF(OR($B1000="",$D1000="",$E1000=""),"待补",IF($D1000="公共区域","公",IF($D1000="商铺","S",SUBSTITUTE($D1000,"栋","")))&amp;"-"&amp;$E1000&amp;"-"&amp;TEXT(MONTH($B1000),"00")&amp;TEXT(DAY($B1000),"00")&amp;IF(ISNUMBER($O1000),IF($O1000&gt;1,"-"&amp;TEXT($O1000,"00"),""),"")))</f>
        <v/>
      </c>
      <c r="B1000" s="14"/>
      <c r="C1000" s="10"/>
      <c r="D1000" s="10"/>
      <c r="E1000" s="10"/>
      <c r="F1000" s="16"/>
      <c r="G1000" s="10"/>
      <c r="H1000" s="10"/>
      <c r="I1000" s="10"/>
      <c r="J1000" s="10"/>
      <c r="K1000" s="10"/>
      <c r="L1000" s="10"/>
      <c r="M1000" s="14"/>
      <c r="N1000" s="17" t="str">
        <f aca="false">IF($B1000="","",IF($L1000="已完成",IF($M1000="","",$M1000-$B1000),IF(设置!$B$6&lt;$B1000,"",IF((设置!$B$6-$B1000)&gt;=设置!$B$5,"超期"&amp;(设置!$B$6-$B1000)&amp;"天","已等"&amp;(设置!$B$6-$B1000)&amp;"天"))))</f>
        <v/>
      </c>
      <c r="O1000" s="18" t="str">
        <f aca="false">IF(OR($D1000="",$E1000=""),"",COUNTIFS($D$7:$D1000,$D1000,$E$7:$E1000,$E1000))</f>
        <v/>
      </c>
      <c r="P1000" s="16"/>
      <c r="Q1000" s="19"/>
      <c r="R1000" s="10"/>
      <c r="S1000" s="16"/>
      <c r="T1000" s="0" t="str">
        <f aca="false">IF(OR($D1000="",单元查询!$B$3=""),"",IF($D1000&lt;&gt;单元查询!$B$3,"",IF(OR(单元查询!$D$3="",$E1000&amp;""=单元查询!$D$3&amp;""),IF(ISNUMBER($B1000),$B1000*10000,0)+ROW(),"")))</f>
        <v/>
      </c>
      <c r="U1000" s="0" t="str">
        <f aca="false">IF(OR($B1000="",$L1000="已完成"),"",IF(ISNUMBER($B1000),IF(设置!$B$6&lt;$B1000,"",(设置!$B$6-$B1000)*100000+ROW()),""))</f>
        <v/>
      </c>
      <c r="V1000" s="0" t="str">
        <f aca="false">IF(ISNUMBER($O1000),IF($O1000&gt;=2,IF(COUNTIFS($D1000:$D$2006,$D1000,$E1000:$E$2006,$E1000)=1,ROW(),""),""),"")</f>
        <v/>
      </c>
    </row>
    <row r="1001" customFormat="false" ht="15" hidden="false" customHeight="true" outlineLevel="0" collapsed="false">
      <c r="A1001" s="13" t="str">
        <f aca="false">IF(AND($B1001="",$D1001="",$E1001="",$F1001=""),"",IF(OR($B1001="",$D1001="",$E1001=""),"待补",IF($D1001="公共区域","公",IF($D1001="商铺","S",SUBSTITUTE($D1001,"栋","")))&amp;"-"&amp;$E1001&amp;"-"&amp;TEXT(MONTH($B1001),"00")&amp;TEXT(DAY($B1001),"00")&amp;IF(ISNUMBER($O1001),IF($O1001&gt;1,"-"&amp;TEXT($O1001,"00"),""),"")))</f>
        <v/>
      </c>
      <c r="B1001" s="14"/>
      <c r="C1001" s="10"/>
      <c r="D1001" s="10"/>
      <c r="E1001" s="10"/>
      <c r="F1001" s="16"/>
      <c r="G1001" s="10"/>
      <c r="H1001" s="10"/>
      <c r="I1001" s="10"/>
      <c r="J1001" s="10"/>
      <c r="K1001" s="10"/>
      <c r="L1001" s="10"/>
      <c r="M1001" s="14"/>
      <c r="N1001" s="17" t="str">
        <f aca="false">IF($B1001="","",IF($L1001="已完成",IF($M1001="","",$M1001-$B1001),IF(设置!$B$6&lt;$B1001,"",IF((设置!$B$6-$B1001)&gt;=设置!$B$5,"超期"&amp;(设置!$B$6-$B1001)&amp;"天","已等"&amp;(设置!$B$6-$B1001)&amp;"天"))))</f>
        <v/>
      </c>
      <c r="O1001" s="18" t="str">
        <f aca="false">IF(OR($D1001="",$E1001=""),"",COUNTIFS($D$7:$D1001,$D1001,$E$7:$E1001,$E1001))</f>
        <v/>
      </c>
      <c r="P1001" s="16"/>
      <c r="Q1001" s="19"/>
      <c r="R1001" s="10"/>
      <c r="S1001" s="16"/>
      <c r="T1001" s="0" t="str">
        <f aca="false">IF(OR($D1001="",单元查询!$B$3=""),"",IF($D1001&lt;&gt;单元查询!$B$3,"",IF(OR(单元查询!$D$3="",$E1001&amp;""=单元查询!$D$3&amp;""),IF(ISNUMBER($B1001),$B1001*10000,0)+ROW(),"")))</f>
        <v/>
      </c>
      <c r="U1001" s="0" t="str">
        <f aca="false">IF(OR($B1001="",$L1001="已完成"),"",IF(ISNUMBER($B1001),IF(设置!$B$6&lt;$B1001,"",(设置!$B$6-$B1001)*100000+ROW()),""))</f>
        <v/>
      </c>
      <c r="V1001" s="0" t="str">
        <f aca="false">IF(ISNUMBER($O1001),IF($O1001&gt;=2,IF(COUNTIFS($D1001:$D$2006,$D1001,$E1001:$E$2006,$E1001)=1,ROW(),""),""),"")</f>
        <v/>
      </c>
    </row>
    <row r="1002" customFormat="false" ht="15" hidden="false" customHeight="true" outlineLevel="0" collapsed="false">
      <c r="A1002" s="13" t="str">
        <f aca="false">IF(AND($B1002="",$D1002="",$E1002="",$F1002=""),"",IF(OR($B1002="",$D1002="",$E1002=""),"待补",IF($D1002="公共区域","公",IF($D1002="商铺","S",SUBSTITUTE($D1002,"栋","")))&amp;"-"&amp;$E1002&amp;"-"&amp;TEXT(MONTH($B1002),"00")&amp;TEXT(DAY($B1002),"00")&amp;IF(ISNUMBER($O1002),IF($O1002&gt;1,"-"&amp;TEXT($O1002,"00"),""),"")))</f>
        <v/>
      </c>
      <c r="B1002" s="14"/>
      <c r="C1002" s="10"/>
      <c r="D1002" s="10"/>
      <c r="E1002" s="10"/>
      <c r="F1002" s="16"/>
      <c r="G1002" s="10"/>
      <c r="H1002" s="10"/>
      <c r="I1002" s="10"/>
      <c r="J1002" s="10"/>
      <c r="K1002" s="10"/>
      <c r="L1002" s="10"/>
      <c r="M1002" s="14"/>
      <c r="N1002" s="17" t="str">
        <f aca="false">IF($B1002="","",IF($L1002="已完成",IF($M1002="","",$M1002-$B1002),IF(设置!$B$6&lt;$B1002,"",IF((设置!$B$6-$B1002)&gt;=设置!$B$5,"超期"&amp;(设置!$B$6-$B1002)&amp;"天","已等"&amp;(设置!$B$6-$B1002)&amp;"天"))))</f>
        <v/>
      </c>
      <c r="O1002" s="18" t="str">
        <f aca="false">IF(OR($D1002="",$E1002=""),"",COUNTIFS($D$7:$D1002,$D1002,$E$7:$E1002,$E1002))</f>
        <v/>
      </c>
      <c r="P1002" s="16"/>
      <c r="Q1002" s="19"/>
      <c r="R1002" s="10"/>
      <c r="S1002" s="16"/>
      <c r="T1002" s="0" t="str">
        <f aca="false">IF(OR($D1002="",单元查询!$B$3=""),"",IF($D1002&lt;&gt;单元查询!$B$3,"",IF(OR(单元查询!$D$3="",$E1002&amp;""=单元查询!$D$3&amp;""),IF(ISNUMBER($B1002),$B1002*10000,0)+ROW(),"")))</f>
        <v/>
      </c>
      <c r="U1002" s="0" t="str">
        <f aca="false">IF(OR($B1002="",$L1002="已完成"),"",IF(ISNUMBER($B1002),IF(设置!$B$6&lt;$B1002,"",(设置!$B$6-$B1002)*100000+ROW()),""))</f>
        <v/>
      </c>
      <c r="V1002" s="0" t="str">
        <f aca="false">IF(ISNUMBER($O1002),IF($O1002&gt;=2,IF(COUNTIFS($D1002:$D$2006,$D1002,$E1002:$E$2006,$E1002)=1,ROW(),""),""),"")</f>
        <v/>
      </c>
    </row>
    <row r="1003" customFormat="false" ht="15" hidden="false" customHeight="true" outlineLevel="0" collapsed="false">
      <c r="A1003" s="13" t="str">
        <f aca="false">IF(AND($B1003="",$D1003="",$E1003="",$F1003=""),"",IF(OR($B1003="",$D1003="",$E1003=""),"待补",IF($D1003="公共区域","公",IF($D1003="商铺","S",SUBSTITUTE($D1003,"栋","")))&amp;"-"&amp;$E1003&amp;"-"&amp;TEXT(MONTH($B1003),"00")&amp;TEXT(DAY($B1003),"00")&amp;IF(ISNUMBER($O1003),IF($O1003&gt;1,"-"&amp;TEXT($O1003,"00"),""),"")))</f>
        <v/>
      </c>
      <c r="B1003" s="14"/>
      <c r="C1003" s="10"/>
      <c r="D1003" s="10"/>
      <c r="E1003" s="10"/>
      <c r="F1003" s="16"/>
      <c r="G1003" s="10"/>
      <c r="H1003" s="10"/>
      <c r="I1003" s="10"/>
      <c r="J1003" s="10"/>
      <c r="K1003" s="10"/>
      <c r="L1003" s="10"/>
      <c r="M1003" s="14"/>
      <c r="N1003" s="17" t="str">
        <f aca="false">IF($B1003="","",IF($L1003="已完成",IF($M1003="","",$M1003-$B1003),IF(设置!$B$6&lt;$B1003,"",IF((设置!$B$6-$B1003)&gt;=设置!$B$5,"超期"&amp;(设置!$B$6-$B1003)&amp;"天","已等"&amp;(设置!$B$6-$B1003)&amp;"天"))))</f>
        <v/>
      </c>
      <c r="O1003" s="18" t="str">
        <f aca="false">IF(OR($D1003="",$E1003=""),"",COUNTIFS($D$7:$D1003,$D1003,$E$7:$E1003,$E1003))</f>
        <v/>
      </c>
      <c r="P1003" s="16"/>
      <c r="Q1003" s="19"/>
      <c r="R1003" s="10"/>
      <c r="S1003" s="16"/>
      <c r="T1003" s="0" t="str">
        <f aca="false">IF(OR($D1003="",单元查询!$B$3=""),"",IF($D1003&lt;&gt;单元查询!$B$3,"",IF(OR(单元查询!$D$3="",$E1003&amp;""=单元查询!$D$3&amp;""),IF(ISNUMBER($B1003),$B1003*10000,0)+ROW(),"")))</f>
        <v/>
      </c>
      <c r="U1003" s="0" t="str">
        <f aca="false">IF(OR($B1003="",$L1003="已完成"),"",IF(ISNUMBER($B1003),IF(设置!$B$6&lt;$B1003,"",(设置!$B$6-$B1003)*100000+ROW()),""))</f>
        <v/>
      </c>
      <c r="V1003" s="0" t="str">
        <f aca="false">IF(ISNUMBER($O1003),IF($O1003&gt;=2,IF(COUNTIFS($D1003:$D$2006,$D1003,$E1003:$E$2006,$E1003)=1,ROW(),""),""),"")</f>
        <v/>
      </c>
    </row>
    <row r="1004" customFormat="false" ht="15" hidden="false" customHeight="true" outlineLevel="0" collapsed="false">
      <c r="A1004" s="13" t="str">
        <f aca="false">IF(AND($B1004="",$D1004="",$E1004="",$F1004=""),"",IF(OR($B1004="",$D1004="",$E1004=""),"待补",IF($D1004="公共区域","公",IF($D1004="商铺","S",SUBSTITUTE($D1004,"栋","")))&amp;"-"&amp;$E1004&amp;"-"&amp;TEXT(MONTH($B1004),"00")&amp;TEXT(DAY($B1004),"00")&amp;IF(ISNUMBER($O1004),IF($O1004&gt;1,"-"&amp;TEXT($O1004,"00"),""),"")))</f>
        <v/>
      </c>
      <c r="B1004" s="14"/>
      <c r="C1004" s="10"/>
      <c r="D1004" s="10"/>
      <c r="E1004" s="10"/>
      <c r="F1004" s="16"/>
      <c r="G1004" s="10"/>
      <c r="H1004" s="10"/>
      <c r="I1004" s="10"/>
      <c r="J1004" s="10"/>
      <c r="K1004" s="10"/>
      <c r="L1004" s="10"/>
      <c r="M1004" s="14"/>
      <c r="N1004" s="17" t="str">
        <f aca="false">IF($B1004="","",IF($L1004="已完成",IF($M1004="","",$M1004-$B1004),IF(设置!$B$6&lt;$B1004,"",IF((设置!$B$6-$B1004)&gt;=设置!$B$5,"超期"&amp;(设置!$B$6-$B1004)&amp;"天","已等"&amp;(设置!$B$6-$B1004)&amp;"天"))))</f>
        <v/>
      </c>
      <c r="O1004" s="18" t="str">
        <f aca="false">IF(OR($D1004="",$E1004=""),"",COUNTIFS($D$7:$D1004,$D1004,$E$7:$E1004,$E1004))</f>
        <v/>
      </c>
      <c r="P1004" s="16"/>
      <c r="Q1004" s="19"/>
      <c r="R1004" s="10"/>
      <c r="S1004" s="16"/>
      <c r="T1004" s="0" t="str">
        <f aca="false">IF(OR($D1004="",单元查询!$B$3=""),"",IF($D1004&lt;&gt;单元查询!$B$3,"",IF(OR(单元查询!$D$3="",$E1004&amp;""=单元查询!$D$3&amp;""),IF(ISNUMBER($B1004),$B1004*10000,0)+ROW(),"")))</f>
        <v/>
      </c>
      <c r="U1004" s="0" t="str">
        <f aca="false">IF(OR($B1004="",$L1004="已完成"),"",IF(ISNUMBER($B1004),IF(设置!$B$6&lt;$B1004,"",(设置!$B$6-$B1004)*100000+ROW()),""))</f>
        <v/>
      </c>
      <c r="V1004" s="0" t="str">
        <f aca="false">IF(ISNUMBER($O1004),IF($O1004&gt;=2,IF(COUNTIFS($D1004:$D$2006,$D1004,$E1004:$E$2006,$E1004)=1,ROW(),""),""),"")</f>
        <v/>
      </c>
    </row>
    <row r="1005" customFormat="false" ht="15" hidden="false" customHeight="true" outlineLevel="0" collapsed="false">
      <c r="A1005" s="13" t="str">
        <f aca="false">IF(AND($B1005="",$D1005="",$E1005="",$F1005=""),"",IF(OR($B1005="",$D1005="",$E1005=""),"待补",IF($D1005="公共区域","公",IF($D1005="商铺","S",SUBSTITUTE($D1005,"栋","")))&amp;"-"&amp;$E1005&amp;"-"&amp;TEXT(MONTH($B1005),"00")&amp;TEXT(DAY($B1005),"00")&amp;IF(ISNUMBER($O1005),IF($O1005&gt;1,"-"&amp;TEXT($O1005,"00"),""),"")))</f>
        <v/>
      </c>
      <c r="B1005" s="14"/>
      <c r="C1005" s="10"/>
      <c r="D1005" s="10"/>
      <c r="E1005" s="10"/>
      <c r="F1005" s="16"/>
      <c r="G1005" s="10"/>
      <c r="H1005" s="10"/>
      <c r="I1005" s="10"/>
      <c r="J1005" s="10"/>
      <c r="K1005" s="10"/>
      <c r="L1005" s="10"/>
      <c r="M1005" s="14"/>
      <c r="N1005" s="17" t="str">
        <f aca="false">IF($B1005="","",IF($L1005="已完成",IF($M1005="","",$M1005-$B1005),IF(设置!$B$6&lt;$B1005,"",IF((设置!$B$6-$B1005)&gt;=设置!$B$5,"超期"&amp;(设置!$B$6-$B1005)&amp;"天","已等"&amp;(设置!$B$6-$B1005)&amp;"天"))))</f>
        <v/>
      </c>
      <c r="O1005" s="18" t="str">
        <f aca="false">IF(OR($D1005="",$E1005=""),"",COUNTIFS($D$7:$D1005,$D1005,$E$7:$E1005,$E1005))</f>
        <v/>
      </c>
      <c r="P1005" s="16"/>
      <c r="Q1005" s="19"/>
      <c r="R1005" s="10"/>
      <c r="S1005" s="16"/>
      <c r="T1005" s="0" t="str">
        <f aca="false">IF(OR($D1005="",单元查询!$B$3=""),"",IF($D1005&lt;&gt;单元查询!$B$3,"",IF(OR(单元查询!$D$3="",$E1005&amp;""=单元查询!$D$3&amp;""),IF(ISNUMBER($B1005),$B1005*10000,0)+ROW(),"")))</f>
        <v/>
      </c>
      <c r="U1005" s="0" t="str">
        <f aca="false">IF(OR($B1005="",$L1005="已完成"),"",IF(ISNUMBER($B1005),IF(设置!$B$6&lt;$B1005,"",(设置!$B$6-$B1005)*100000+ROW()),""))</f>
        <v/>
      </c>
      <c r="V1005" s="0" t="str">
        <f aca="false">IF(ISNUMBER($O1005),IF($O1005&gt;=2,IF(COUNTIFS($D1005:$D$2006,$D1005,$E1005:$E$2006,$E1005)=1,ROW(),""),""),"")</f>
        <v/>
      </c>
    </row>
    <row r="1006" customFormat="false" ht="15" hidden="false" customHeight="true" outlineLevel="0" collapsed="false">
      <c r="A1006" s="13" t="str">
        <f aca="false">IF(AND($B1006="",$D1006="",$E1006="",$F1006=""),"",IF(OR($B1006="",$D1006="",$E1006=""),"待补",IF($D1006="公共区域","公",IF($D1006="商铺","S",SUBSTITUTE($D1006,"栋","")))&amp;"-"&amp;$E1006&amp;"-"&amp;TEXT(MONTH($B1006),"00")&amp;TEXT(DAY($B1006),"00")&amp;IF(ISNUMBER($O1006),IF($O1006&gt;1,"-"&amp;TEXT($O1006,"00"),""),"")))</f>
        <v/>
      </c>
      <c r="B1006" s="14"/>
      <c r="C1006" s="10"/>
      <c r="D1006" s="10"/>
      <c r="E1006" s="10"/>
      <c r="F1006" s="16"/>
      <c r="G1006" s="10"/>
      <c r="H1006" s="10"/>
      <c r="I1006" s="10"/>
      <c r="J1006" s="10"/>
      <c r="K1006" s="10"/>
      <c r="L1006" s="10"/>
      <c r="M1006" s="14"/>
      <c r="N1006" s="17" t="str">
        <f aca="false">IF($B1006="","",IF($L1006="已完成",IF($M1006="","",$M1006-$B1006),IF(设置!$B$6&lt;$B1006,"",IF((设置!$B$6-$B1006)&gt;=设置!$B$5,"超期"&amp;(设置!$B$6-$B1006)&amp;"天","已等"&amp;(设置!$B$6-$B1006)&amp;"天"))))</f>
        <v/>
      </c>
      <c r="O1006" s="18" t="str">
        <f aca="false">IF(OR($D1006="",$E1006=""),"",COUNTIFS($D$7:$D1006,$D1006,$E$7:$E1006,$E1006))</f>
        <v/>
      </c>
      <c r="P1006" s="16"/>
      <c r="Q1006" s="19"/>
      <c r="R1006" s="10"/>
      <c r="S1006" s="16"/>
      <c r="T1006" s="0" t="str">
        <f aca="false">IF(OR($D1006="",单元查询!$B$3=""),"",IF($D1006&lt;&gt;单元查询!$B$3,"",IF(OR(单元查询!$D$3="",$E1006&amp;""=单元查询!$D$3&amp;""),IF(ISNUMBER($B1006),$B1006*10000,0)+ROW(),"")))</f>
        <v/>
      </c>
      <c r="U1006" s="0" t="str">
        <f aca="false">IF(OR($B1006="",$L1006="已完成"),"",IF(ISNUMBER($B1006),IF(设置!$B$6&lt;$B1006,"",(设置!$B$6-$B1006)*100000+ROW()),""))</f>
        <v/>
      </c>
      <c r="V1006" s="0" t="str">
        <f aca="false">IF(ISNUMBER($O1006),IF($O1006&gt;=2,IF(COUNTIFS($D1006:$D$2006,$D1006,$E1006:$E$2006,$E1006)=1,ROW(),""),""),"")</f>
        <v/>
      </c>
    </row>
    <row r="1007" customFormat="false" ht="15" hidden="false" customHeight="true" outlineLevel="0" collapsed="false">
      <c r="A1007" s="13" t="str">
        <f aca="false">IF(AND($B1007="",$D1007="",$E1007="",$F1007=""),"",IF(OR($B1007="",$D1007="",$E1007=""),"待补",IF($D1007="公共区域","公",IF($D1007="商铺","S",SUBSTITUTE($D1007,"栋","")))&amp;"-"&amp;$E1007&amp;"-"&amp;TEXT(MONTH($B1007),"00")&amp;TEXT(DAY($B1007),"00")&amp;IF(ISNUMBER($O1007),IF($O1007&gt;1,"-"&amp;TEXT($O1007,"00"),""),"")))</f>
        <v/>
      </c>
      <c r="B1007" s="14"/>
      <c r="C1007" s="10"/>
      <c r="D1007" s="10"/>
      <c r="E1007" s="10"/>
      <c r="F1007" s="16"/>
      <c r="G1007" s="10"/>
      <c r="H1007" s="10"/>
      <c r="I1007" s="10"/>
      <c r="J1007" s="10"/>
      <c r="K1007" s="10"/>
      <c r="L1007" s="10"/>
      <c r="M1007" s="14"/>
      <c r="N1007" s="17" t="str">
        <f aca="false">IF($B1007="","",IF($L1007="已完成",IF($M1007="","",$M1007-$B1007),IF(设置!$B$6&lt;$B1007,"",IF((设置!$B$6-$B1007)&gt;=设置!$B$5,"超期"&amp;(设置!$B$6-$B1007)&amp;"天","已等"&amp;(设置!$B$6-$B1007)&amp;"天"))))</f>
        <v/>
      </c>
      <c r="O1007" s="18" t="str">
        <f aca="false">IF(OR($D1007="",$E1007=""),"",COUNTIFS($D$7:$D1007,$D1007,$E$7:$E1007,$E1007))</f>
        <v/>
      </c>
      <c r="P1007" s="16"/>
      <c r="Q1007" s="19"/>
      <c r="R1007" s="10"/>
      <c r="S1007" s="16"/>
      <c r="T1007" s="0" t="str">
        <f aca="false">IF(OR($D1007="",单元查询!$B$3=""),"",IF($D1007&lt;&gt;单元查询!$B$3,"",IF(OR(单元查询!$D$3="",$E1007&amp;""=单元查询!$D$3&amp;""),IF(ISNUMBER($B1007),$B1007*10000,0)+ROW(),"")))</f>
        <v/>
      </c>
      <c r="U1007" s="0" t="str">
        <f aca="false">IF(OR($B1007="",$L1007="已完成"),"",IF(ISNUMBER($B1007),IF(设置!$B$6&lt;$B1007,"",(设置!$B$6-$B1007)*100000+ROW()),""))</f>
        <v/>
      </c>
      <c r="V1007" s="0" t="str">
        <f aca="false">IF(ISNUMBER($O1007),IF($O1007&gt;=2,IF(COUNTIFS($D1007:$D$2006,$D1007,$E1007:$E$2006,$E1007)=1,ROW(),""),""),"")</f>
        <v/>
      </c>
    </row>
    <row r="1008" customFormat="false" ht="15" hidden="false" customHeight="true" outlineLevel="0" collapsed="false">
      <c r="A1008" s="13" t="str">
        <f aca="false">IF(AND($B1008="",$D1008="",$E1008="",$F1008=""),"",IF(OR($B1008="",$D1008="",$E1008=""),"待补",IF($D1008="公共区域","公",IF($D1008="商铺","S",SUBSTITUTE($D1008,"栋","")))&amp;"-"&amp;$E1008&amp;"-"&amp;TEXT(MONTH($B1008),"00")&amp;TEXT(DAY($B1008),"00")&amp;IF(ISNUMBER($O1008),IF($O1008&gt;1,"-"&amp;TEXT($O1008,"00"),""),"")))</f>
        <v/>
      </c>
      <c r="B1008" s="14"/>
      <c r="C1008" s="10"/>
      <c r="D1008" s="10"/>
      <c r="E1008" s="10"/>
      <c r="F1008" s="16"/>
      <c r="G1008" s="10"/>
      <c r="H1008" s="10"/>
      <c r="I1008" s="10"/>
      <c r="J1008" s="10"/>
      <c r="K1008" s="10"/>
      <c r="L1008" s="10"/>
      <c r="M1008" s="14"/>
      <c r="N1008" s="17" t="str">
        <f aca="false">IF($B1008="","",IF($L1008="已完成",IF($M1008="","",$M1008-$B1008),IF(设置!$B$6&lt;$B1008,"",IF((设置!$B$6-$B1008)&gt;=设置!$B$5,"超期"&amp;(设置!$B$6-$B1008)&amp;"天","已等"&amp;(设置!$B$6-$B1008)&amp;"天"))))</f>
        <v/>
      </c>
      <c r="O1008" s="18" t="str">
        <f aca="false">IF(OR($D1008="",$E1008=""),"",COUNTIFS($D$7:$D1008,$D1008,$E$7:$E1008,$E1008))</f>
        <v/>
      </c>
      <c r="P1008" s="16"/>
      <c r="Q1008" s="19"/>
      <c r="R1008" s="10"/>
      <c r="S1008" s="16"/>
      <c r="T1008" s="0" t="str">
        <f aca="false">IF(OR($D1008="",单元查询!$B$3=""),"",IF($D1008&lt;&gt;单元查询!$B$3,"",IF(OR(单元查询!$D$3="",$E1008&amp;""=单元查询!$D$3&amp;""),IF(ISNUMBER($B1008),$B1008*10000,0)+ROW(),"")))</f>
        <v/>
      </c>
      <c r="U1008" s="0" t="str">
        <f aca="false">IF(OR($B1008="",$L1008="已完成"),"",IF(ISNUMBER($B1008),IF(设置!$B$6&lt;$B1008,"",(设置!$B$6-$B1008)*100000+ROW()),""))</f>
        <v/>
      </c>
      <c r="V1008" s="0" t="str">
        <f aca="false">IF(ISNUMBER($O1008),IF($O1008&gt;=2,IF(COUNTIFS($D1008:$D$2006,$D1008,$E1008:$E$2006,$E1008)=1,ROW(),""),""),"")</f>
        <v/>
      </c>
    </row>
    <row r="1009" customFormat="false" ht="15" hidden="false" customHeight="true" outlineLevel="0" collapsed="false">
      <c r="A1009" s="13" t="str">
        <f aca="false">IF(AND($B1009="",$D1009="",$E1009="",$F1009=""),"",IF(OR($B1009="",$D1009="",$E1009=""),"待补",IF($D1009="公共区域","公",IF($D1009="商铺","S",SUBSTITUTE($D1009,"栋","")))&amp;"-"&amp;$E1009&amp;"-"&amp;TEXT(MONTH($B1009),"00")&amp;TEXT(DAY($B1009),"00")&amp;IF(ISNUMBER($O1009),IF($O1009&gt;1,"-"&amp;TEXT($O1009,"00"),""),"")))</f>
        <v/>
      </c>
      <c r="B1009" s="14"/>
      <c r="C1009" s="10"/>
      <c r="D1009" s="10"/>
      <c r="E1009" s="10"/>
      <c r="F1009" s="16"/>
      <c r="G1009" s="10"/>
      <c r="H1009" s="10"/>
      <c r="I1009" s="10"/>
      <c r="J1009" s="10"/>
      <c r="K1009" s="10"/>
      <c r="L1009" s="10"/>
      <c r="M1009" s="14"/>
      <c r="N1009" s="17" t="str">
        <f aca="false">IF($B1009="","",IF($L1009="已完成",IF($M1009="","",$M1009-$B1009),IF(设置!$B$6&lt;$B1009,"",IF((设置!$B$6-$B1009)&gt;=设置!$B$5,"超期"&amp;(设置!$B$6-$B1009)&amp;"天","已等"&amp;(设置!$B$6-$B1009)&amp;"天"))))</f>
        <v/>
      </c>
      <c r="O1009" s="18" t="str">
        <f aca="false">IF(OR($D1009="",$E1009=""),"",COUNTIFS($D$7:$D1009,$D1009,$E$7:$E1009,$E1009))</f>
        <v/>
      </c>
      <c r="P1009" s="16"/>
      <c r="Q1009" s="19"/>
      <c r="R1009" s="10"/>
      <c r="S1009" s="16"/>
      <c r="T1009" s="0" t="str">
        <f aca="false">IF(OR($D1009="",单元查询!$B$3=""),"",IF($D1009&lt;&gt;单元查询!$B$3,"",IF(OR(单元查询!$D$3="",$E1009&amp;""=单元查询!$D$3&amp;""),IF(ISNUMBER($B1009),$B1009*10000,0)+ROW(),"")))</f>
        <v/>
      </c>
      <c r="U1009" s="0" t="str">
        <f aca="false">IF(OR($B1009="",$L1009="已完成"),"",IF(ISNUMBER($B1009),IF(设置!$B$6&lt;$B1009,"",(设置!$B$6-$B1009)*100000+ROW()),""))</f>
        <v/>
      </c>
      <c r="V1009" s="0" t="str">
        <f aca="false">IF(ISNUMBER($O1009),IF($O1009&gt;=2,IF(COUNTIFS($D1009:$D$2006,$D1009,$E1009:$E$2006,$E1009)=1,ROW(),""),""),"")</f>
        <v/>
      </c>
    </row>
    <row r="1010" customFormat="false" ht="15" hidden="false" customHeight="true" outlineLevel="0" collapsed="false">
      <c r="A1010" s="13" t="str">
        <f aca="false">IF(AND($B1010="",$D1010="",$E1010="",$F1010=""),"",IF(OR($B1010="",$D1010="",$E1010=""),"待补",IF($D1010="公共区域","公",IF($D1010="商铺","S",SUBSTITUTE($D1010,"栋","")))&amp;"-"&amp;$E1010&amp;"-"&amp;TEXT(MONTH($B1010),"00")&amp;TEXT(DAY($B1010),"00")&amp;IF(ISNUMBER($O1010),IF($O1010&gt;1,"-"&amp;TEXT($O1010,"00"),""),"")))</f>
        <v/>
      </c>
      <c r="B1010" s="14"/>
      <c r="C1010" s="10"/>
      <c r="D1010" s="10"/>
      <c r="E1010" s="10"/>
      <c r="F1010" s="16"/>
      <c r="G1010" s="10"/>
      <c r="H1010" s="10"/>
      <c r="I1010" s="10"/>
      <c r="J1010" s="10"/>
      <c r="K1010" s="10"/>
      <c r="L1010" s="10"/>
      <c r="M1010" s="14"/>
      <c r="N1010" s="17" t="str">
        <f aca="false">IF($B1010="","",IF($L1010="已完成",IF($M1010="","",$M1010-$B1010),IF(设置!$B$6&lt;$B1010,"",IF((设置!$B$6-$B1010)&gt;=设置!$B$5,"超期"&amp;(设置!$B$6-$B1010)&amp;"天","已等"&amp;(设置!$B$6-$B1010)&amp;"天"))))</f>
        <v/>
      </c>
      <c r="O1010" s="18" t="str">
        <f aca="false">IF(OR($D1010="",$E1010=""),"",COUNTIFS($D$7:$D1010,$D1010,$E$7:$E1010,$E1010))</f>
        <v/>
      </c>
      <c r="P1010" s="16"/>
      <c r="Q1010" s="19"/>
      <c r="R1010" s="10"/>
      <c r="S1010" s="16"/>
      <c r="T1010" s="0" t="str">
        <f aca="false">IF(OR($D1010="",单元查询!$B$3=""),"",IF($D1010&lt;&gt;单元查询!$B$3,"",IF(OR(单元查询!$D$3="",$E1010&amp;""=单元查询!$D$3&amp;""),IF(ISNUMBER($B1010),$B1010*10000,0)+ROW(),"")))</f>
        <v/>
      </c>
      <c r="U1010" s="0" t="str">
        <f aca="false">IF(OR($B1010="",$L1010="已完成"),"",IF(ISNUMBER($B1010),IF(设置!$B$6&lt;$B1010,"",(设置!$B$6-$B1010)*100000+ROW()),""))</f>
        <v/>
      </c>
      <c r="V1010" s="0" t="str">
        <f aca="false">IF(ISNUMBER($O1010),IF($O1010&gt;=2,IF(COUNTIFS($D1010:$D$2006,$D1010,$E1010:$E$2006,$E1010)=1,ROW(),""),""),"")</f>
        <v/>
      </c>
    </row>
    <row r="1011" customFormat="false" ht="15" hidden="false" customHeight="true" outlineLevel="0" collapsed="false">
      <c r="A1011" s="13" t="str">
        <f aca="false">IF(AND($B1011="",$D1011="",$E1011="",$F1011=""),"",IF(OR($B1011="",$D1011="",$E1011=""),"待补",IF($D1011="公共区域","公",IF($D1011="商铺","S",SUBSTITUTE($D1011,"栋","")))&amp;"-"&amp;$E1011&amp;"-"&amp;TEXT(MONTH($B1011),"00")&amp;TEXT(DAY($B1011),"00")&amp;IF(ISNUMBER($O1011),IF($O1011&gt;1,"-"&amp;TEXT($O1011,"00"),""),"")))</f>
        <v/>
      </c>
      <c r="B1011" s="14"/>
      <c r="C1011" s="10"/>
      <c r="D1011" s="10"/>
      <c r="E1011" s="10"/>
      <c r="F1011" s="16"/>
      <c r="G1011" s="10"/>
      <c r="H1011" s="10"/>
      <c r="I1011" s="10"/>
      <c r="J1011" s="10"/>
      <c r="K1011" s="10"/>
      <c r="L1011" s="10"/>
      <c r="M1011" s="14"/>
      <c r="N1011" s="17" t="str">
        <f aca="false">IF($B1011="","",IF($L1011="已完成",IF($M1011="","",$M1011-$B1011),IF(设置!$B$6&lt;$B1011,"",IF((设置!$B$6-$B1011)&gt;=设置!$B$5,"超期"&amp;(设置!$B$6-$B1011)&amp;"天","已等"&amp;(设置!$B$6-$B1011)&amp;"天"))))</f>
        <v/>
      </c>
      <c r="O1011" s="18" t="str">
        <f aca="false">IF(OR($D1011="",$E1011=""),"",COUNTIFS($D$7:$D1011,$D1011,$E$7:$E1011,$E1011))</f>
        <v/>
      </c>
      <c r="P1011" s="16"/>
      <c r="Q1011" s="19"/>
      <c r="R1011" s="10"/>
      <c r="S1011" s="16"/>
      <c r="T1011" s="0" t="str">
        <f aca="false">IF(OR($D1011="",单元查询!$B$3=""),"",IF($D1011&lt;&gt;单元查询!$B$3,"",IF(OR(单元查询!$D$3="",$E1011&amp;""=单元查询!$D$3&amp;""),IF(ISNUMBER($B1011),$B1011*10000,0)+ROW(),"")))</f>
        <v/>
      </c>
      <c r="U1011" s="0" t="str">
        <f aca="false">IF(OR($B1011="",$L1011="已完成"),"",IF(ISNUMBER($B1011),IF(设置!$B$6&lt;$B1011,"",(设置!$B$6-$B1011)*100000+ROW()),""))</f>
        <v/>
      </c>
      <c r="V1011" s="0" t="str">
        <f aca="false">IF(ISNUMBER($O1011),IF($O1011&gt;=2,IF(COUNTIFS($D1011:$D$2006,$D1011,$E1011:$E$2006,$E1011)=1,ROW(),""),""),"")</f>
        <v/>
      </c>
    </row>
    <row r="1012" customFormat="false" ht="15" hidden="false" customHeight="true" outlineLevel="0" collapsed="false">
      <c r="A1012" s="13" t="str">
        <f aca="false">IF(AND($B1012="",$D1012="",$E1012="",$F1012=""),"",IF(OR($B1012="",$D1012="",$E1012=""),"待补",IF($D1012="公共区域","公",IF($D1012="商铺","S",SUBSTITUTE($D1012,"栋","")))&amp;"-"&amp;$E1012&amp;"-"&amp;TEXT(MONTH($B1012),"00")&amp;TEXT(DAY($B1012),"00")&amp;IF(ISNUMBER($O1012),IF($O1012&gt;1,"-"&amp;TEXT($O1012,"00"),""),"")))</f>
        <v/>
      </c>
      <c r="B1012" s="14"/>
      <c r="C1012" s="10"/>
      <c r="D1012" s="10"/>
      <c r="E1012" s="10"/>
      <c r="F1012" s="16"/>
      <c r="G1012" s="10"/>
      <c r="H1012" s="10"/>
      <c r="I1012" s="10"/>
      <c r="J1012" s="10"/>
      <c r="K1012" s="10"/>
      <c r="L1012" s="10"/>
      <c r="M1012" s="14"/>
      <c r="N1012" s="17" t="str">
        <f aca="false">IF($B1012="","",IF($L1012="已完成",IF($M1012="","",$M1012-$B1012),IF(设置!$B$6&lt;$B1012,"",IF((设置!$B$6-$B1012)&gt;=设置!$B$5,"超期"&amp;(设置!$B$6-$B1012)&amp;"天","已等"&amp;(设置!$B$6-$B1012)&amp;"天"))))</f>
        <v/>
      </c>
      <c r="O1012" s="18" t="str">
        <f aca="false">IF(OR($D1012="",$E1012=""),"",COUNTIFS($D$7:$D1012,$D1012,$E$7:$E1012,$E1012))</f>
        <v/>
      </c>
      <c r="P1012" s="16"/>
      <c r="Q1012" s="19"/>
      <c r="R1012" s="10"/>
      <c r="S1012" s="16"/>
      <c r="T1012" s="0" t="str">
        <f aca="false">IF(OR($D1012="",单元查询!$B$3=""),"",IF($D1012&lt;&gt;单元查询!$B$3,"",IF(OR(单元查询!$D$3="",$E1012&amp;""=单元查询!$D$3&amp;""),IF(ISNUMBER($B1012),$B1012*10000,0)+ROW(),"")))</f>
        <v/>
      </c>
      <c r="U1012" s="0" t="str">
        <f aca="false">IF(OR($B1012="",$L1012="已完成"),"",IF(ISNUMBER($B1012),IF(设置!$B$6&lt;$B1012,"",(设置!$B$6-$B1012)*100000+ROW()),""))</f>
        <v/>
      </c>
      <c r="V1012" s="0" t="str">
        <f aca="false">IF(ISNUMBER($O1012),IF($O1012&gt;=2,IF(COUNTIFS($D1012:$D$2006,$D1012,$E1012:$E$2006,$E1012)=1,ROW(),""),""),"")</f>
        <v/>
      </c>
    </row>
    <row r="1013" customFormat="false" ht="15" hidden="false" customHeight="true" outlineLevel="0" collapsed="false">
      <c r="A1013" s="13" t="str">
        <f aca="false">IF(AND($B1013="",$D1013="",$E1013="",$F1013=""),"",IF(OR($B1013="",$D1013="",$E1013=""),"待补",IF($D1013="公共区域","公",IF($D1013="商铺","S",SUBSTITUTE($D1013,"栋","")))&amp;"-"&amp;$E1013&amp;"-"&amp;TEXT(MONTH($B1013),"00")&amp;TEXT(DAY($B1013),"00")&amp;IF(ISNUMBER($O1013),IF($O1013&gt;1,"-"&amp;TEXT($O1013,"00"),""),"")))</f>
        <v/>
      </c>
      <c r="B1013" s="14"/>
      <c r="C1013" s="10"/>
      <c r="D1013" s="10"/>
      <c r="E1013" s="10"/>
      <c r="F1013" s="16"/>
      <c r="G1013" s="10"/>
      <c r="H1013" s="10"/>
      <c r="I1013" s="10"/>
      <c r="J1013" s="10"/>
      <c r="K1013" s="10"/>
      <c r="L1013" s="10"/>
      <c r="M1013" s="14"/>
      <c r="N1013" s="17" t="str">
        <f aca="false">IF($B1013="","",IF($L1013="已完成",IF($M1013="","",$M1013-$B1013),IF(设置!$B$6&lt;$B1013,"",IF((设置!$B$6-$B1013)&gt;=设置!$B$5,"超期"&amp;(设置!$B$6-$B1013)&amp;"天","已等"&amp;(设置!$B$6-$B1013)&amp;"天"))))</f>
        <v/>
      </c>
      <c r="O1013" s="18" t="str">
        <f aca="false">IF(OR($D1013="",$E1013=""),"",COUNTIFS($D$7:$D1013,$D1013,$E$7:$E1013,$E1013))</f>
        <v/>
      </c>
      <c r="P1013" s="16"/>
      <c r="Q1013" s="19"/>
      <c r="R1013" s="10"/>
      <c r="S1013" s="16"/>
      <c r="T1013" s="0" t="str">
        <f aca="false">IF(OR($D1013="",单元查询!$B$3=""),"",IF($D1013&lt;&gt;单元查询!$B$3,"",IF(OR(单元查询!$D$3="",$E1013&amp;""=单元查询!$D$3&amp;""),IF(ISNUMBER($B1013),$B1013*10000,0)+ROW(),"")))</f>
        <v/>
      </c>
      <c r="U1013" s="0" t="str">
        <f aca="false">IF(OR($B1013="",$L1013="已完成"),"",IF(ISNUMBER($B1013),IF(设置!$B$6&lt;$B1013,"",(设置!$B$6-$B1013)*100000+ROW()),""))</f>
        <v/>
      </c>
      <c r="V1013" s="0" t="str">
        <f aca="false">IF(ISNUMBER($O1013),IF($O1013&gt;=2,IF(COUNTIFS($D1013:$D$2006,$D1013,$E1013:$E$2006,$E1013)=1,ROW(),""),""),"")</f>
        <v/>
      </c>
    </row>
    <row r="1014" customFormat="false" ht="15" hidden="false" customHeight="true" outlineLevel="0" collapsed="false">
      <c r="A1014" s="13" t="str">
        <f aca="false">IF(AND($B1014="",$D1014="",$E1014="",$F1014=""),"",IF(OR($B1014="",$D1014="",$E1014=""),"待补",IF($D1014="公共区域","公",IF($D1014="商铺","S",SUBSTITUTE($D1014,"栋","")))&amp;"-"&amp;$E1014&amp;"-"&amp;TEXT(MONTH($B1014),"00")&amp;TEXT(DAY($B1014),"00")&amp;IF(ISNUMBER($O1014),IF($O1014&gt;1,"-"&amp;TEXT($O1014,"00"),""),"")))</f>
        <v/>
      </c>
      <c r="B1014" s="14"/>
      <c r="C1014" s="10"/>
      <c r="D1014" s="10"/>
      <c r="E1014" s="10"/>
      <c r="F1014" s="16"/>
      <c r="G1014" s="10"/>
      <c r="H1014" s="10"/>
      <c r="I1014" s="10"/>
      <c r="J1014" s="10"/>
      <c r="K1014" s="10"/>
      <c r="L1014" s="10"/>
      <c r="M1014" s="14"/>
      <c r="N1014" s="17" t="str">
        <f aca="false">IF($B1014="","",IF($L1014="已完成",IF($M1014="","",$M1014-$B1014),IF(设置!$B$6&lt;$B1014,"",IF((设置!$B$6-$B1014)&gt;=设置!$B$5,"超期"&amp;(设置!$B$6-$B1014)&amp;"天","已等"&amp;(设置!$B$6-$B1014)&amp;"天"))))</f>
        <v/>
      </c>
      <c r="O1014" s="18" t="str">
        <f aca="false">IF(OR($D1014="",$E1014=""),"",COUNTIFS($D$7:$D1014,$D1014,$E$7:$E1014,$E1014))</f>
        <v/>
      </c>
      <c r="P1014" s="16"/>
      <c r="Q1014" s="19"/>
      <c r="R1014" s="10"/>
      <c r="S1014" s="16"/>
      <c r="T1014" s="0" t="str">
        <f aca="false">IF(OR($D1014="",单元查询!$B$3=""),"",IF($D1014&lt;&gt;单元查询!$B$3,"",IF(OR(单元查询!$D$3="",$E1014&amp;""=单元查询!$D$3&amp;""),IF(ISNUMBER($B1014),$B1014*10000,0)+ROW(),"")))</f>
        <v/>
      </c>
      <c r="U1014" s="0" t="str">
        <f aca="false">IF(OR($B1014="",$L1014="已完成"),"",IF(ISNUMBER($B1014),IF(设置!$B$6&lt;$B1014,"",(设置!$B$6-$B1014)*100000+ROW()),""))</f>
        <v/>
      </c>
      <c r="V1014" s="0" t="str">
        <f aca="false">IF(ISNUMBER($O1014),IF($O1014&gt;=2,IF(COUNTIFS($D1014:$D$2006,$D1014,$E1014:$E$2006,$E1014)=1,ROW(),""),""),"")</f>
        <v/>
      </c>
    </row>
    <row r="1015" customFormat="false" ht="15" hidden="false" customHeight="true" outlineLevel="0" collapsed="false">
      <c r="A1015" s="13" t="str">
        <f aca="false">IF(AND($B1015="",$D1015="",$E1015="",$F1015=""),"",IF(OR($B1015="",$D1015="",$E1015=""),"待补",IF($D1015="公共区域","公",IF($D1015="商铺","S",SUBSTITUTE($D1015,"栋","")))&amp;"-"&amp;$E1015&amp;"-"&amp;TEXT(MONTH($B1015),"00")&amp;TEXT(DAY($B1015),"00")&amp;IF(ISNUMBER($O1015),IF($O1015&gt;1,"-"&amp;TEXT($O1015,"00"),""),"")))</f>
        <v/>
      </c>
      <c r="B1015" s="14"/>
      <c r="C1015" s="10"/>
      <c r="D1015" s="10"/>
      <c r="E1015" s="10"/>
      <c r="F1015" s="16"/>
      <c r="G1015" s="10"/>
      <c r="H1015" s="10"/>
      <c r="I1015" s="10"/>
      <c r="J1015" s="10"/>
      <c r="K1015" s="10"/>
      <c r="L1015" s="10"/>
      <c r="M1015" s="14"/>
      <c r="N1015" s="17" t="str">
        <f aca="false">IF($B1015="","",IF($L1015="已完成",IF($M1015="","",$M1015-$B1015),IF(设置!$B$6&lt;$B1015,"",IF((设置!$B$6-$B1015)&gt;=设置!$B$5,"超期"&amp;(设置!$B$6-$B1015)&amp;"天","已等"&amp;(设置!$B$6-$B1015)&amp;"天"))))</f>
        <v/>
      </c>
      <c r="O1015" s="18" t="str">
        <f aca="false">IF(OR($D1015="",$E1015=""),"",COUNTIFS($D$7:$D1015,$D1015,$E$7:$E1015,$E1015))</f>
        <v/>
      </c>
      <c r="P1015" s="16"/>
      <c r="Q1015" s="19"/>
      <c r="R1015" s="10"/>
      <c r="S1015" s="16"/>
      <c r="T1015" s="0" t="str">
        <f aca="false">IF(OR($D1015="",单元查询!$B$3=""),"",IF($D1015&lt;&gt;单元查询!$B$3,"",IF(OR(单元查询!$D$3="",$E1015&amp;""=单元查询!$D$3&amp;""),IF(ISNUMBER($B1015),$B1015*10000,0)+ROW(),"")))</f>
        <v/>
      </c>
      <c r="U1015" s="0" t="str">
        <f aca="false">IF(OR($B1015="",$L1015="已完成"),"",IF(ISNUMBER($B1015),IF(设置!$B$6&lt;$B1015,"",(设置!$B$6-$B1015)*100000+ROW()),""))</f>
        <v/>
      </c>
      <c r="V1015" s="0" t="str">
        <f aca="false">IF(ISNUMBER($O1015),IF($O1015&gt;=2,IF(COUNTIFS($D1015:$D$2006,$D1015,$E1015:$E$2006,$E1015)=1,ROW(),""),""),"")</f>
        <v/>
      </c>
    </row>
    <row r="1016" customFormat="false" ht="15" hidden="false" customHeight="true" outlineLevel="0" collapsed="false">
      <c r="A1016" s="13" t="str">
        <f aca="false">IF(AND($B1016="",$D1016="",$E1016="",$F1016=""),"",IF(OR($B1016="",$D1016="",$E1016=""),"待补",IF($D1016="公共区域","公",IF($D1016="商铺","S",SUBSTITUTE($D1016,"栋","")))&amp;"-"&amp;$E1016&amp;"-"&amp;TEXT(MONTH($B1016),"00")&amp;TEXT(DAY($B1016),"00")&amp;IF(ISNUMBER($O1016),IF($O1016&gt;1,"-"&amp;TEXT($O1016,"00"),""),"")))</f>
        <v/>
      </c>
      <c r="B1016" s="14"/>
      <c r="C1016" s="10"/>
      <c r="D1016" s="10"/>
      <c r="E1016" s="10"/>
      <c r="F1016" s="16"/>
      <c r="G1016" s="10"/>
      <c r="H1016" s="10"/>
      <c r="I1016" s="10"/>
      <c r="J1016" s="10"/>
      <c r="K1016" s="10"/>
      <c r="L1016" s="10"/>
      <c r="M1016" s="14"/>
      <c r="N1016" s="17" t="str">
        <f aca="false">IF($B1016="","",IF($L1016="已完成",IF($M1016="","",$M1016-$B1016),IF(设置!$B$6&lt;$B1016,"",IF((设置!$B$6-$B1016)&gt;=设置!$B$5,"超期"&amp;(设置!$B$6-$B1016)&amp;"天","已等"&amp;(设置!$B$6-$B1016)&amp;"天"))))</f>
        <v/>
      </c>
      <c r="O1016" s="18" t="str">
        <f aca="false">IF(OR($D1016="",$E1016=""),"",COUNTIFS($D$7:$D1016,$D1016,$E$7:$E1016,$E1016))</f>
        <v/>
      </c>
      <c r="P1016" s="16"/>
      <c r="Q1016" s="19"/>
      <c r="R1016" s="10"/>
      <c r="S1016" s="16"/>
      <c r="T1016" s="0" t="str">
        <f aca="false">IF(OR($D1016="",单元查询!$B$3=""),"",IF($D1016&lt;&gt;单元查询!$B$3,"",IF(OR(单元查询!$D$3="",$E1016&amp;""=单元查询!$D$3&amp;""),IF(ISNUMBER($B1016),$B1016*10000,0)+ROW(),"")))</f>
        <v/>
      </c>
      <c r="U1016" s="0" t="str">
        <f aca="false">IF(OR($B1016="",$L1016="已完成"),"",IF(ISNUMBER($B1016),IF(设置!$B$6&lt;$B1016,"",(设置!$B$6-$B1016)*100000+ROW()),""))</f>
        <v/>
      </c>
      <c r="V1016" s="0" t="str">
        <f aca="false">IF(ISNUMBER($O1016),IF($O1016&gt;=2,IF(COUNTIFS($D1016:$D$2006,$D1016,$E1016:$E$2006,$E1016)=1,ROW(),""),""),"")</f>
        <v/>
      </c>
    </row>
    <row r="1017" customFormat="false" ht="15" hidden="false" customHeight="true" outlineLevel="0" collapsed="false">
      <c r="A1017" s="13" t="str">
        <f aca="false">IF(AND($B1017="",$D1017="",$E1017="",$F1017=""),"",IF(OR($B1017="",$D1017="",$E1017=""),"待补",IF($D1017="公共区域","公",IF($D1017="商铺","S",SUBSTITUTE($D1017,"栋","")))&amp;"-"&amp;$E1017&amp;"-"&amp;TEXT(MONTH($B1017),"00")&amp;TEXT(DAY($B1017),"00")&amp;IF(ISNUMBER($O1017),IF($O1017&gt;1,"-"&amp;TEXT($O1017,"00"),""),"")))</f>
        <v/>
      </c>
      <c r="B1017" s="14"/>
      <c r="C1017" s="10"/>
      <c r="D1017" s="10"/>
      <c r="E1017" s="10"/>
      <c r="F1017" s="16"/>
      <c r="G1017" s="10"/>
      <c r="H1017" s="10"/>
      <c r="I1017" s="10"/>
      <c r="J1017" s="10"/>
      <c r="K1017" s="10"/>
      <c r="L1017" s="10"/>
      <c r="M1017" s="14"/>
      <c r="N1017" s="17" t="str">
        <f aca="false">IF($B1017="","",IF($L1017="已完成",IF($M1017="","",$M1017-$B1017),IF(设置!$B$6&lt;$B1017,"",IF((设置!$B$6-$B1017)&gt;=设置!$B$5,"超期"&amp;(设置!$B$6-$B1017)&amp;"天","已等"&amp;(设置!$B$6-$B1017)&amp;"天"))))</f>
        <v/>
      </c>
      <c r="O1017" s="18" t="str">
        <f aca="false">IF(OR($D1017="",$E1017=""),"",COUNTIFS($D$7:$D1017,$D1017,$E$7:$E1017,$E1017))</f>
        <v/>
      </c>
      <c r="P1017" s="16"/>
      <c r="Q1017" s="19"/>
      <c r="R1017" s="10"/>
      <c r="S1017" s="16"/>
      <c r="T1017" s="0" t="str">
        <f aca="false">IF(OR($D1017="",单元查询!$B$3=""),"",IF($D1017&lt;&gt;单元查询!$B$3,"",IF(OR(单元查询!$D$3="",$E1017&amp;""=单元查询!$D$3&amp;""),IF(ISNUMBER($B1017),$B1017*10000,0)+ROW(),"")))</f>
        <v/>
      </c>
      <c r="U1017" s="0" t="str">
        <f aca="false">IF(OR($B1017="",$L1017="已完成"),"",IF(ISNUMBER($B1017),IF(设置!$B$6&lt;$B1017,"",(设置!$B$6-$B1017)*100000+ROW()),""))</f>
        <v/>
      </c>
      <c r="V1017" s="0" t="str">
        <f aca="false">IF(ISNUMBER($O1017),IF($O1017&gt;=2,IF(COUNTIFS($D1017:$D$2006,$D1017,$E1017:$E$2006,$E1017)=1,ROW(),""),""),"")</f>
        <v/>
      </c>
    </row>
    <row r="1018" customFormat="false" ht="15" hidden="false" customHeight="true" outlineLevel="0" collapsed="false">
      <c r="A1018" s="13" t="str">
        <f aca="false">IF(AND($B1018="",$D1018="",$E1018="",$F1018=""),"",IF(OR($B1018="",$D1018="",$E1018=""),"待补",IF($D1018="公共区域","公",IF($D1018="商铺","S",SUBSTITUTE($D1018,"栋","")))&amp;"-"&amp;$E1018&amp;"-"&amp;TEXT(MONTH($B1018),"00")&amp;TEXT(DAY($B1018),"00")&amp;IF(ISNUMBER($O1018),IF($O1018&gt;1,"-"&amp;TEXT($O1018,"00"),""),"")))</f>
        <v/>
      </c>
      <c r="B1018" s="14"/>
      <c r="C1018" s="10"/>
      <c r="D1018" s="10"/>
      <c r="E1018" s="10"/>
      <c r="F1018" s="16"/>
      <c r="G1018" s="10"/>
      <c r="H1018" s="10"/>
      <c r="I1018" s="10"/>
      <c r="J1018" s="10"/>
      <c r="K1018" s="10"/>
      <c r="L1018" s="10"/>
      <c r="M1018" s="14"/>
      <c r="N1018" s="17" t="str">
        <f aca="false">IF($B1018="","",IF($L1018="已完成",IF($M1018="","",$M1018-$B1018),IF(设置!$B$6&lt;$B1018,"",IF((设置!$B$6-$B1018)&gt;=设置!$B$5,"超期"&amp;(设置!$B$6-$B1018)&amp;"天","已等"&amp;(设置!$B$6-$B1018)&amp;"天"))))</f>
        <v/>
      </c>
      <c r="O1018" s="18" t="str">
        <f aca="false">IF(OR($D1018="",$E1018=""),"",COUNTIFS($D$7:$D1018,$D1018,$E$7:$E1018,$E1018))</f>
        <v/>
      </c>
      <c r="P1018" s="16"/>
      <c r="Q1018" s="19"/>
      <c r="R1018" s="10"/>
      <c r="S1018" s="16"/>
      <c r="T1018" s="0" t="str">
        <f aca="false">IF(OR($D1018="",单元查询!$B$3=""),"",IF($D1018&lt;&gt;单元查询!$B$3,"",IF(OR(单元查询!$D$3="",$E1018&amp;""=单元查询!$D$3&amp;""),IF(ISNUMBER($B1018),$B1018*10000,0)+ROW(),"")))</f>
        <v/>
      </c>
      <c r="U1018" s="0" t="str">
        <f aca="false">IF(OR($B1018="",$L1018="已完成"),"",IF(ISNUMBER($B1018),IF(设置!$B$6&lt;$B1018,"",(设置!$B$6-$B1018)*100000+ROW()),""))</f>
        <v/>
      </c>
      <c r="V1018" s="0" t="str">
        <f aca="false">IF(ISNUMBER($O1018),IF($O1018&gt;=2,IF(COUNTIFS($D1018:$D$2006,$D1018,$E1018:$E$2006,$E1018)=1,ROW(),""),""),"")</f>
        <v/>
      </c>
    </row>
    <row r="1019" customFormat="false" ht="15" hidden="false" customHeight="true" outlineLevel="0" collapsed="false">
      <c r="A1019" s="13" t="str">
        <f aca="false">IF(AND($B1019="",$D1019="",$E1019="",$F1019=""),"",IF(OR($B1019="",$D1019="",$E1019=""),"待补",IF($D1019="公共区域","公",IF($D1019="商铺","S",SUBSTITUTE($D1019,"栋","")))&amp;"-"&amp;$E1019&amp;"-"&amp;TEXT(MONTH($B1019),"00")&amp;TEXT(DAY($B1019),"00")&amp;IF(ISNUMBER($O1019),IF($O1019&gt;1,"-"&amp;TEXT($O1019,"00"),""),"")))</f>
        <v/>
      </c>
      <c r="B1019" s="14"/>
      <c r="C1019" s="10"/>
      <c r="D1019" s="10"/>
      <c r="E1019" s="10"/>
      <c r="F1019" s="16"/>
      <c r="G1019" s="10"/>
      <c r="H1019" s="10"/>
      <c r="I1019" s="10"/>
      <c r="J1019" s="10"/>
      <c r="K1019" s="10"/>
      <c r="L1019" s="10"/>
      <c r="M1019" s="14"/>
      <c r="N1019" s="17" t="str">
        <f aca="false">IF($B1019="","",IF($L1019="已完成",IF($M1019="","",$M1019-$B1019),IF(设置!$B$6&lt;$B1019,"",IF((设置!$B$6-$B1019)&gt;=设置!$B$5,"超期"&amp;(设置!$B$6-$B1019)&amp;"天","已等"&amp;(设置!$B$6-$B1019)&amp;"天"))))</f>
        <v/>
      </c>
      <c r="O1019" s="18" t="str">
        <f aca="false">IF(OR($D1019="",$E1019=""),"",COUNTIFS($D$7:$D1019,$D1019,$E$7:$E1019,$E1019))</f>
        <v/>
      </c>
      <c r="P1019" s="16"/>
      <c r="Q1019" s="19"/>
      <c r="R1019" s="10"/>
      <c r="S1019" s="16"/>
      <c r="T1019" s="0" t="str">
        <f aca="false">IF(OR($D1019="",单元查询!$B$3=""),"",IF($D1019&lt;&gt;单元查询!$B$3,"",IF(OR(单元查询!$D$3="",$E1019&amp;""=单元查询!$D$3&amp;""),IF(ISNUMBER($B1019),$B1019*10000,0)+ROW(),"")))</f>
        <v/>
      </c>
      <c r="U1019" s="0" t="str">
        <f aca="false">IF(OR($B1019="",$L1019="已完成"),"",IF(ISNUMBER($B1019),IF(设置!$B$6&lt;$B1019,"",(设置!$B$6-$B1019)*100000+ROW()),""))</f>
        <v/>
      </c>
      <c r="V1019" s="0" t="str">
        <f aca="false">IF(ISNUMBER($O1019),IF($O1019&gt;=2,IF(COUNTIFS($D1019:$D$2006,$D1019,$E1019:$E$2006,$E1019)=1,ROW(),""),""),"")</f>
        <v/>
      </c>
    </row>
    <row r="1020" customFormat="false" ht="15" hidden="false" customHeight="true" outlineLevel="0" collapsed="false">
      <c r="A1020" s="13" t="str">
        <f aca="false">IF(AND($B1020="",$D1020="",$E1020="",$F1020=""),"",IF(OR($B1020="",$D1020="",$E1020=""),"待补",IF($D1020="公共区域","公",IF($D1020="商铺","S",SUBSTITUTE($D1020,"栋","")))&amp;"-"&amp;$E1020&amp;"-"&amp;TEXT(MONTH($B1020),"00")&amp;TEXT(DAY($B1020),"00")&amp;IF(ISNUMBER($O1020),IF($O1020&gt;1,"-"&amp;TEXT($O1020,"00"),""),"")))</f>
        <v/>
      </c>
      <c r="B1020" s="14"/>
      <c r="C1020" s="10"/>
      <c r="D1020" s="10"/>
      <c r="E1020" s="10"/>
      <c r="F1020" s="16"/>
      <c r="G1020" s="10"/>
      <c r="H1020" s="10"/>
      <c r="I1020" s="10"/>
      <c r="J1020" s="10"/>
      <c r="K1020" s="10"/>
      <c r="L1020" s="10"/>
      <c r="M1020" s="14"/>
      <c r="N1020" s="17" t="str">
        <f aca="false">IF($B1020="","",IF($L1020="已完成",IF($M1020="","",$M1020-$B1020),IF(设置!$B$6&lt;$B1020,"",IF((设置!$B$6-$B1020)&gt;=设置!$B$5,"超期"&amp;(设置!$B$6-$B1020)&amp;"天","已等"&amp;(设置!$B$6-$B1020)&amp;"天"))))</f>
        <v/>
      </c>
      <c r="O1020" s="18" t="str">
        <f aca="false">IF(OR($D1020="",$E1020=""),"",COUNTIFS($D$7:$D1020,$D1020,$E$7:$E1020,$E1020))</f>
        <v/>
      </c>
      <c r="P1020" s="16"/>
      <c r="Q1020" s="19"/>
      <c r="R1020" s="10"/>
      <c r="S1020" s="16"/>
      <c r="T1020" s="0" t="str">
        <f aca="false">IF(OR($D1020="",单元查询!$B$3=""),"",IF($D1020&lt;&gt;单元查询!$B$3,"",IF(OR(单元查询!$D$3="",$E1020&amp;""=单元查询!$D$3&amp;""),IF(ISNUMBER($B1020),$B1020*10000,0)+ROW(),"")))</f>
        <v/>
      </c>
      <c r="U1020" s="0" t="str">
        <f aca="false">IF(OR($B1020="",$L1020="已完成"),"",IF(ISNUMBER($B1020),IF(设置!$B$6&lt;$B1020,"",(设置!$B$6-$B1020)*100000+ROW()),""))</f>
        <v/>
      </c>
      <c r="V1020" s="0" t="str">
        <f aca="false">IF(ISNUMBER($O1020),IF($O1020&gt;=2,IF(COUNTIFS($D1020:$D$2006,$D1020,$E1020:$E$2006,$E1020)=1,ROW(),""),""),"")</f>
        <v/>
      </c>
    </row>
    <row r="1021" customFormat="false" ht="15" hidden="false" customHeight="true" outlineLevel="0" collapsed="false">
      <c r="A1021" s="13" t="str">
        <f aca="false">IF(AND($B1021="",$D1021="",$E1021="",$F1021=""),"",IF(OR($B1021="",$D1021="",$E1021=""),"待补",IF($D1021="公共区域","公",IF($D1021="商铺","S",SUBSTITUTE($D1021,"栋","")))&amp;"-"&amp;$E1021&amp;"-"&amp;TEXT(MONTH($B1021),"00")&amp;TEXT(DAY($B1021),"00")&amp;IF(ISNUMBER($O1021),IF($O1021&gt;1,"-"&amp;TEXT($O1021,"00"),""),"")))</f>
        <v/>
      </c>
      <c r="B1021" s="14"/>
      <c r="C1021" s="10"/>
      <c r="D1021" s="10"/>
      <c r="E1021" s="10"/>
      <c r="F1021" s="16"/>
      <c r="G1021" s="10"/>
      <c r="H1021" s="10"/>
      <c r="I1021" s="10"/>
      <c r="J1021" s="10"/>
      <c r="K1021" s="10"/>
      <c r="L1021" s="10"/>
      <c r="M1021" s="14"/>
      <c r="N1021" s="17" t="str">
        <f aca="false">IF($B1021="","",IF($L1021="已完成",IF($M1021="","",$M1021-$B1021),IF(设置!$B$6&lt;$B1021,"",IF((设置!$B$6-$B1021)&gt;=设置!$B$5,"超期"&amp;(设置!$B$6-$B1021)&amp;"天","已等"&amp;(设置!$B$6-$B1021)&amp;"天"))))</f>
        <v/>
      </c>
      <c r="O1021" s="18" t="str">
        <f aca="false">IF(OR($D1021="",$E1021=""),"",COUNTIFS($D$7:$D1021,$D1021,$E$7:$E1021,$E1021))</f>
        <v/>
      </c>
      <c r="P1021" s="16"/>
      <c r="Q1021" s="19"/>
      <c r="R1021" s="10"/>
      <c r="S1021" s="16"/>
      <c r="T1021" s="0" t="str">
        <f aca="false">IF(OR($D1021="",单元查询!$B$3=""),"",IF($D1021&lt;&gt;单元查询!$B$3,"",IF(OR(单元查询!$D$3="",$E1021&amp;""=单元查询!$D$3&amp;""),IF(ISNUMBER($B1021),$B1021*10000,0)+ROW(),"")))</f>
        <v/>
      </c>
      <c r="U1021" s="0" t="str">
        <f aca="false">IF(OR($B1021="",$L1021="已完成"),"",IF(ISNUMBER($B1021),IF(设置!$B$6&lt;$B1021,"",(设置!$B$6-$B1021)*100000+ROW()),""))</f>
        <v/>
      </c>
      <c r="V1021" s="0" t="str">
        <f aca="false">IF(ISNUMBER($O1021),IF($O1021&gt;=2,IF(COUNTIFS($D1021:$D$2006,$D1021,$E1021:$E$2006,$E1021)=1,ROW(),""),""),"")</f>
        <v/>
      </c>
    </row>
    <row r="1022" customFormat="false" ht="15" hidden="false" customHeight="true" outlineLevel="0" collapsed="false">
      <c r="A1022" s="13" t="str">
        <f aca="false">IF(AND($B1022="",$D1022="",$E1022="",$F1022=""),"",IF(OR($B1022="",$D1022="",$E1022=""),"待补",IF($D1022="公共区域","公",IF($D1022="商铺","S",SUBSTITUTE($D1022,"栋","")))&amp;"-"&amp;$E1022&amp;"-"&amp;TEXT(MONTH($B1022),"00")&amp;TEXT(DAY($B1022),"00")&amp;IF(ISNUMBER($O1022),IF($O1022&gt;1,"-"&amp;TEXT($O1022,"00"),""),"")))</f>
        <v/>
      </c>
      <c r="B1022" s="14"/>
      <c r="C1022" s="10"/>
      <c r="D1022" s="10"/>
      <c r="E1022" s="10"/>
      <c r="F1022" s="16"/>
      <c r="G1022" s="10"/>
      <c r="H1022" s="10"/>
      <c r="I1022" s="10"/>
      <c r="J1022" s="10"/>
      <c r="K1022" s="10"/>
      <c r="L1022" s="10"/>
      <c r="M1022" s="14"/>
      <c r="N1022" s="17" t="str">
        <f aca="false">IF($B1022="","",IF($L1022="已完成",IF($M1022="","",$M1022-$B1022),IF(设置!$B$6&lt;$B1022,"",IF((设置!$B$6-$B1022)&gt;=设置!$B$5,"超期"&amp;(设置!$B$6-$B1022)&amp;"天","已等"&amp;(设置!$B$6-$B1022)&amp;"天"))))</f>
        <v/>
      </c>
      <c r="O1022" s="18" t="str">
        <f aca="false">IF(OR($D1022="",$E1022=""),"",COUNTIFS($D$7:$D1022,$D1022,$E$7:$E1022,$E1022))</f>
        <v/>
      </c>
      <c r="P1022" s="16"/>
      <c r="Q1022" s="19"/>
      <c r="R1022" s="10"/>
      <c r="S1022" s="16"/>
      <c r="T1022" s="0" t="str">
        <f aca="false">IF(OR($D1022="",单元查询!$B$3=""),"",IF($D1022&lt;&gt;单元查询!$B$3,"",IF(OR(单元查询!$D$3="",$E1022&amp;""=单元查询!$D$3&amp;""),IF(ISNUMBER($B1022),$B1022*10000,0)+ROW(),"")))</f>
        <v/>
      </c>
      <c r="U1022" s="0" t="str">
        <f aca="false">IF(OR($B1022="",$L1022="已完成"),"",IF(ISNUMBER($B1022),IF(设置!$B$6&lt;$B1022,"",(设置!$B$6-$B1022)*100000+ROW()),""))</f>
        <v/>
      </c>
      <c r="V1022" s="0" t="str">
        <f aca="false">IF(ISNUMBER($O1022),IF($O1022&gt;=2,IF(COUNTIFS($D1022:$D$2006,$D1022,$E1022:$E$2006,$E1022)=1,ROW(),""),""),"")</f>
        <v/>
      </c>
    </row>
    <row r="1023" customFormat="false" ht="15" hidden="false" customHeight="true" outlineLevel="0" collapsed="false">
      <c r="A1023" s="13" t="str">
        <f aca="false">IF(AND($B1023="",$D1023="",$E1023="",$F1023=""),"",IF(OR($B1023="",$D1023="",$E1023=""),"待补",IF($D1023="公共区域","公",IF($D1023="商铺","S",SUBSTITUTE($D1023,"栋","")))&amp;"-"&amp;$E1023&amp;"-"&amp;TEXT(MONTH($B1023),"00")&amp;TEXT(DAY($B1023),"00")&amp;IF(ISNUMBER($O1023),IF($O1023&gt;1,"-"&amp;TEXT($O1023,"00"),""),"")))</f>
        <v/>
      </c>
      <c r="B1023" s="14"/>
      <c r="C1023" s="10"/>
      <c r="D1023" s="10"/>
      <c r="E1023" s="10"/>
      <c r="F1023" s="16"/>
      <c r="G1023" s="10"/>
      <c r="H1023" s="10"/>
      <c r="I1023" s="10"/>
      <c r="J1023" s="10"/>
      <c r="K1023" s="10"/>
      <c r="L1023" s="10"/>
      <c r="M1023" s="14"/>
      <c r="N1023" s="17" t="str">
        <f aca="false">IF($B1023="","",IF($L1023="已完成",IF($M1023="","",$M1023-$B1023),IF(设置!$B$6&lt;$B1023,"",IF((设置!$B$6-$B1023)&gt;=设置!$B$5,"超期"&amp;(设置!$B$6-$B1023)&amp;"天","已等"&amp;(设置!$B$6-$B1023)&amp;"天"))))</f>
        <v/>
      </c>
      <c r="O1023" s="18" t="str">
        <f aca="false">IF(OR($D1023="",$E1023=""),"",COUNTIFS($D$7:$D1023,$D1023,$E$7:$E1023,$E1023))</f>
        <v/>
      </c>
      <c r="P1023" s="16"/>
      <c r="Q1023" s="19"/>
      <c r="R1023" s="10"/>
      <c r="S1023" s="16"/>
      <c r="T1023" s="0" t="str">
        <f aca="false">IF(OR($D1023="",单元查询!$B$3=""),"",IF($D1023&lt;&gt;单元查询!$B$3,"",IF(OR(单元查询!$D$3="",$E1023&amp;""=单元查询!$D$3&amp;""),IF(ISNUMBER($B1023),$B1023*10000,0)+ROW(),"")))</f>
        <v/>
      </c>
      <c r="U1023" s="0" t="str">
        <f aca="false">IF(OR($B1023="",$L1023="已完成"),"",IF(ISNUMBER($B1023),IF(设置!$B$6&lt;$B1023,"",(设置!$B$6-$B1023)*100000+ROW()),""))</f>
        <v/>
      </c>
      <c r="V1023" s="0" t="str">
        <f aca="false">IF(ISNUMBER($O1023),IF($O1023&gt;=2,IF(COUNTIFS($D1023:$D$2006,$D1023,$E1023:$E$2006,$E1023)=1,ROW(),""),""),"")</f>
        <v/>
      </c>
    </row>
    <row r="1024" customFormat="false" ht="15" hidden="false" customHeight="true" outlineLevel="0" collapsed="false">
      <c r="A1024" s="13" t="str">
        <f aca="false">IF(AND($B1024="",$D1024="",$E1024="",$F1024=""),"",IF(OR($B1024="",$D1024="",$E1024=""),"待补",IF($D1024="公共区域","公",IF($D1024="商铺","S",SUBSTITUTE($D1024,"栋","")))&amp;"-"&amp;$E1024&amp;"-"&amp;TEXT(MONTH($B1024),"00")&amp;TEXT(DAY($B1024),"00")&amp;IF(ISNUMBER($O1024),IF($O1024&gt;1,"-"&amp;TEXT($O1024,"00"),""),"")))</f>
        <v/>
      </c>
      <c r="B1024" s="14"/>
      <c r="C1024" s="10"/>
      <c r="D1024" s="10"/>
      <c r="E1024" s="10"/>
      <c r="F1024" s="16"/>
      <c r="G1024" s="10"/>
      <c r="H1024" s="10"/>
      <c r="I1024" s="10"/>
      <c r="J1024" s="10"/>
      <c r="K1024" s="10"/>
      <c r="L1024" s="10"/>
      <c r="M1024" s="14"/>
      <c r="N1024" s="17" t="str">
        <f aca="false">IF($B1024="","",IF($L1024="已完成",IF($M1024="","",$M1024-$B1024),IF(设置!$B$6&lt;$B1024,"",IF((设置!$B$6-$B1024)&gt;=设置!$B$5,"超期"&amp;(设置!$B$6-$B1024)&amp;"天","已等"&amp;(设置!$B$6-$B1024)&amp;"天"))))</f>
        <v/>
      </c>
      <c r="O1024" s="18" t="str">
        <f aca="false">IF(OR($D1024="",$E1024=""),"",COUNTIFS($D$7:$D1024,$D1024,$E$7:$E1024,$E1024))</f>
        <v/>
      </c>
      <c r="P1024" s="16"/>
      <c r="Q1024" s="19"/>
      <c r="R1024" s="10"/>
      <c r="S1024" s="16"/>
      <c r="T1024" s="0" t="str">
        <f aca="false">IF(OR($D1024="",单元查询!$B$3=""),"",IF($D1024&lt;&gt;单元查询!$B$3,"",IF(OR(单元查询!$D$3="",$E1024&amp;""=单元查询!$D$3&amp;""),IF(ISNUMBER($B1024),$B1024*10000,0)+ROW(),"")))</f>
        <v/>
      </c>
      <c r="U1024" s="0" t="str">
        <f aca="false">IF(OR($B1024="",$L1024="已完成"),"",IF(ISNUMBER($B1024),IF(设置!$B$6&lt;$B1024,"",(设置!$B$6-$B1024)*100000+ROW()),""))</f>
        <v/>
      </c>
      <c r="V1024" s="0" t="str">
        <f aca="false">IF(ISNUMBER($O1024),IF($O1024&gt;=2,IF(COUNTIFS($D1024:$D$2006,$D1024,$E1024:$E$2006,$E1024)=1,ROW(),""),""),"")</f>
        <v/>
      </c>
    </row>
    <row r="1025" customFormat="false" ht="15" hidden="false" customHeight="true" outlineLevel="0" collapsed="false">
      <c r="A1025" s="13" t="str">
        <f aca="false">IF(AND($B1025="",$D1025="",$E1025="",$F1025=""),"",IF(OR($B1025="",$D1025="",$E1025=""),"待补",IF($D1025="公共区域","公",IF($D1025="商铺","S",SUBSTITUTE($D1025,"栋","")))&amp;"-"&amp;$E1025&amp;"-"&amp;TEXT(MONTH($B1025),"00")&amp;TEXT(DAY($B1025),"00")&amp;IF(ISNUMBER($O1025),IF($O1025&gt;1,"-"&amp;TEXT($O1025,"00"),""),"")))</f>
        <v/>
      </c>
      <c r="B1025" s="14"/>
      <c r="C1025" s="10"/>
      <c r="D1025" s="10"/>
      <c r="E1025" s="10"/>
      <c r="F1025" s="16"/>
      <c r="G1025" s="10"/>
      <c r="H1025" s="10"/>
      <c r="I1025" s="10"/>
      <c r="J1025" s="10"/>
      <c r="K1025" s="10"/>
      <c r="L1025" s="10"/>
      <c r="M1025" s="14"/>
      <c r="N1025" s="17" t="str">
        <f aca="false">IF($B1025="","",IF($L1025="已完成",IF($M1025="","",$M1025-$B1025),IF(设置!$B$6&lt;$B1025,"",IF((设置!$B$6-$B1025)&gt;=设置!$B$5,"超期"&amp;(设置!$B$6-$B1025)&amp;"天","已等"&amp;(设置!$B$6-$B1025)&amp;"天"))))</f>
        <v/>
      </c>
      <c r="O1025" s="18" t="str">
        <f aca="false">IF(OR($D1025="",$E1025=""),"",COUNTIFS($D$7:$D1025,$D1025,$E$7:$E1025,$E1025))</f>
        <v/>
      </c>
      <c r="P1025" s="16"/>
      <c r="Q1025" s="19"/>
      <c r="R1025" s="10"/>
      <c r="S1025" s="16"/>
      <c r="T1025" s="0" t="str">
        <f aca="false">IF(OR($D1025="",单元查询!$B$3=""),"",IF($D1025&lt;&gt;单元查询!$B$3,"",IF(OR(单元查询!$D$3="",$E1025&amp;""=单元查询!$D$3&amp;""),IF(ISNUMBER($B1025),$B1025*10000,0)+ROW(),"")))</f>
        <v/>
      </c>
      <c r="U1025" s="0" t="str">
        <f aca="false">IF(OR($B1025="",$L1025="已完成"),"",IF(ISNUMBER($B1025),IF(设置!$B$6&lt;$B1025,"",(设置!$B$6-$B1025)*100000+ROW()),""))</f>
        <v/>
      </c>
      <c r="V1025" s="0" t="str">
        <f aca="false">IF(ISNUMBER($O1025),IF($O1025&gt;=2,IF(COUNTIFS($D1025:$D$2006,$D1025,$E1025:$E$2006,$E1025)=1,ROW(),""),""),"")</f>
        <v/>
      </c>
    </row>
    <row r="1026" customFormat="false" ht="15" hidden="false" customHeight="true" outlineLevel="0" collapsed="false">
      <c r="A1026" s="13" t="str">
        <f aca="false">IF(AND($B1026="",$D1026="",$E1026="",$F1026=""),"",IF(OR($B1026="",$D1026="",$E1026=""),"待补",IF($D1026="公共区域","公",IF($D1026="商铺","S",SUBSTITUTE($D1026,"栋","")))&amp;"-"&amp;$E1026&amp;"-"&amp;TEXT(MONTH($B1026),"00")&amp;TEXT(DAY($B1026),"00")&amp;IF(ISNUMBER($O1026),IF($O1026&gt;1,"-"&amp;TEXT($O1026,"00"),""),"")))</f>
        <v/>
      </c>
      <c r="B1026" s="14"/>
      <c r="C1026" s="10"/>
      <c r="D1026" s="10"/>
      <c r="E1026" s="10"/>
      <c r="F1026" s="16"/>
      <c r="G1026" s="10"/>
      <c r="H1026" s="10"/>
      <c r="I1026" s="10"/>
      <c r="J1026" s="10"/>
      <c r="K1026" s="10"/>
      <c r="L1026" s="10"/>
      <c r="M1026" s="14"/>
      <c r="N1026" s="17" t="str">
        <f aca="false">IF($B1026="","",IF($L1026="已完成",IF($M1026="","",$M1026-$B1026),IF(设置!$B$6&lt;$B1026,"",IF((设置!$B$6-$B1026)&gt;=设置!$B$5,"超期"&amp;(设置!$B$6-$B1026)&amp;"天","已等"&amp;(设置!$B$6-$B1026)&amp;"天"))))</f>
        <v/>
      </c>
      <c r="O1026" s="18" t="str">
        <f aca="false">IF(OR($D1026="",$E1026=""),"",COUNTIFS($D$7:$D1026,$D1026,$E$7:$E1026,$E1026))</f>
        <v/>
      </c>
      <c r="P1026" s="16"/>
      <c r="Q1026" s="19"/>
      <c r="R1026" s="10"/>
      <c r="S1026" s="16"/>
      <c r="T1026" s="0" t="str">
        <f aca="false">IF(OR($D1026="",单元查询!$B$3=""),"",IF($D1026&lt;&gt;单元查询!$B$3,"",IF(OR(单元查询!$D$3="",$E1026&amp;""=单元查询!$D$3&amp;""),IF(ISNUMBER($B1026),$B1026*10000,0)+ROW(),"")))</f>
        <v/>
      </c>
      <c r="U1026" s="0" t="str">
        <f aca="false">IF(OR($B1026="",$L1026="已完成"),"",IF(ISNUMBER($B1026),IF(设置!$B$6&lt;$B1026,"",(设置!$B$6-$B1026)*100000+ROW()),""))</f>
        <v/>
      </c>
      <c r="V1026" s="0" t="str">
        <f aca="false">IF(ISNUMBER($O1026),IF($O1026&gt;=2,IF(COUNTIFS($D1026:$D$2006,$D1026,$E1026:$E$2006,$E1026)=1,ROW(),""),""),"")</f>
        <v/>
      </c>
    </row>
    <row r="1027" customFormat="false" ht="15" hidden="false" customHeight="true" outlineLevel="0" collapsed="false">
      <c r="A1027" s="13" t="str">
        <f aca="false">IF(AND($B1027="",$D1027="",$E1027="",$F1027=""),"",IF(OR($B1027="",$D1027="",$E1027=""),"待补",IF($D1027="公共区域","公",IF($D1027="商铺","S",SUBSTITUTE($D1027,"栋","")))&amp;"-"&amp;$E1027&amp;"-"&amp;TEXT(MONTH($B1027),"00")&amp;TEXT(DAY($B1027),"00")&amp;IF(ISNUMBER($O1027),IF($O1027&gt;1,"-"&amp;TEXT($O1027,"00"),""),"")))</f>
        <v/>
      </c>
      <c r="B1027" s="14"/>
      <c r="C1027" s="10"/>
      <c r="D1027" s="10"/>
      <c r="E1027" s="10"/>
      <c r="F1027" s="16"/>
      <c r="G1027" s="10"/>
      <c r="H1027" s="10"/>
      <c r="I1027" s="10"/>
      <c r="J1027" s="10"/>
      <c r="K1027" s="10"/>
      <c r="L1027" s="10"/>
      <c r="M1027" s="14"/>
      <c r="N1027" s="17" t="str">
        <f aca="false">IF($B1027="","",IF($L1027="已完成",IF($M1027="","",$M1027-$B1027),IF(设置!$B$6&lt;$B1027,"",IF((设置!$B$6-$B1027)&gt;=设置!$B$5,"超期"&amp;(设置!$B$6-$B1027)&amp;"天","已等"&amp;(设置!$B$6-$B1027)&amp;"天"))))</f>
        <v/>
      </c>
      <c r="O1027" s="18" t="str">
        <f aca="false">IF(OR($D1027="",$E1027=""),"",COUNTIFS($D$7:$D1027,$D1027,$E$7:$E1027,$E1027))</f>
        <v/>
      </c>
      <c r="P1027" s="16"/>
      <c r="Q1027" s="19"/>
      <c r="R1027" s="10"/>
      <c r="S1027" s="16"/>
      <c r="T1027" s="0" t="str">
        <f aca="false">IF(OR($D1027="",单元查询!$B$3=""),"",IF($D1027&lt;&gt;单元查询!$B$3,"",IF(OR(单元查询!$D$3="",$E1027&amp;""=单元查询!$D$3&amp;""),IF(ISNUMBER($B1027),$B1027*10000,0)+ROW(),"")))</f>
        <v/>
      </c>
      <c r="U1027" s="0" t="str">
        <f aca="false">IF(OR($B1027="",$L1027="已完成"),"",IF(ISNUMBER($B1027),IF(设置!$B$6&lt;$B1027,"",(设置!$B$6-$B1027)*100000+ROW()),""))</f>
        <v/>
      </c>
      <c r="V1027" s="0" t="str">
        <f aca="false">IF(ISNUMBER($O1027),IF($O1027&gt;=2,IF(COUNTIFS($D1027:$D$2006,$D1027,$E1027:$E$2006,$E1027)=1,ROW(),""),""),"")</f>
        <v/>
      </c>
    </row>
    <row r="1028" customFormat="false" ht="15" hidden="false" customHeight="true" outlineLevel="0" collapsed="false">
      <c r="A1028" s="13" t="str">
        <f aca="false">IF(AND($B1028="",$D1028="",$E1028="",$F1028=""),"",IF(OR($B1028="",$D1028="",$E1028=""),"待补",IF($D1028="公共区域","公",IF($D1028="商铺","S",SUBSTITUTE($D1028,"栋","")))&amp;"-"&amp;$E1028&amp;"-"&amp;TEXT(MONTH($B1028),"00")&amp;TEXT(DAY($B1028),"00")&amp;IF(ISNUMBER($O1028),IF($O1028&gt;1,"-"&amp;TEXT($O1028,"00"),""),"")))</f>
        <v/>
      </c>
      <c r="B1028" s="14"/>
      <c r="C1028" s="10"/>
      <c r="D1028" s="10"/>
      <c r="E1028" s="10"/>
      <c r="F1028" s="16"/>
      <c r="G1028" s="10"/>
      <c r="H1028" s="10"/>
      <c r="I1028" s="10"/>
      <c r="J1028" s="10"/>
      <c r="K1028" s="10"/>
      <c r="L1028" s="10"/>
      <c r="M1028" s="14"/>
      <c r="N1028" s="17" t="str">
        <f aca="false">IF($B1028="","",IF($L1028="已完成",IF($M1028="","",$M1028-$B1028),IF(设置!$B$6&lt;$B1028,"",IF((设置!$B$6-$B1028)&gt;=设置!$B$5,"超期"&amp;(设置!$B$6-$B1028)&amp;"天","已等"&amp;(设置!$B$6-$B1028)&amp;"天"))))</f>
        <v/>
      </c>
      <c r="O1028" s="18" t="str">
        <f aca="false">IF(OR($D1028="",$E1028=""),"",COUNTIFS($D$7:$D1028,$D1028,$E$7:$E1028,$E1028))</f>
        <v/>
      </c>
      <c r="P1028" s="16"/>
      <c r="Q1028" s="19"/>
      <c r="R1028" s="10"/>
      <c r="S1028" s="16"/>
      <c r="T1028" s="0" t="str">
        <f aca="false">IF(OR($D1028="",单元查询!$B$3=""),"",IF($D1028&lt;&gt;单元查询!$B$3,"",IF(OR(单元查询!$D$3="",$E1028&amp;""=单元查询!$D$3&amp;""),IF(ISNUMBER($B1028),$B1028*10000,0)+ROW(),"")))</f>
        <v/>
      </c>
      <c r="U1028" s="0" t="str">
        <f aca="false">IF(OR($B1028="",$L1028="已完成"),"",IF(ISNUMBER($B1028),IF(设置!$B$6&lt;$B1028,"",(设置!$B$6-$B1028)*100000+ROW()),""))</f>
        <v/>
      </c>
      <c r="V1028" s="0" t="str">
        <f aca="false">IF(ISNUMBER($O1028),IF($O1028&gt;=2,IF(COUNTIFS($D1028:$D$2006,$D1028,$E1028:$E$2006,$E1028)=1,ROW(),""),""),"")</f>
        <v/>
      </c>
    </row>
    <row r="1029" customFormat="false" ht="15" hidden="false" customHeight="true" outlineLevel="0" collapsed="false">
      <c r="A1029" s="13" t="str">
        <f aca="false">IF(AND($B1029="",$D1029="",$E1029="",$F1029=""),"",IF(OR($B1029="",$D1029="",$E1029=""),"待补",IF($D1029="公共区域","公",IF($D1029="商铺","S",SUBSTITUTE($D1029,"栋","")))&amp;"-"&amp;$E1029&amp;"-"&amp;TEXT(MONTH($B1029),"00")&amp;TEXT(DAY($B1029),"00")&amp;IF(ISNUMBER($O1029),IF($O1029&gt;1,"-"&amp;TEXT($O1029,"00"),""),"")))</f>
        <v/>
      </c>
      <c r="B1029" s="14"/>
      <c r="C1029" s="10"/>
      <c r="D1029" s="10"/>
      <c r="E1029" s="10"/>
      <c r="F1029" s="16"/>
      <c r="G1029" s="10"/>
      <c r="H1029" s="10"/>
      <c r="I1029" s="10"/>
      <c r="J1029" s="10"/>
      <c r="K1029" s="10"/>
      <c r="L1029" s="10"/>
      <c r="M1029" s="14"/>
      <c r="N1029" s="17" t="str">
        <f aca="false">IF($B1029="","",IF($L1029="已完成",IF($M1029="","",$M1029-$B1029),IF(设置!$B$6&lt;$B1029,"",IF((设置!$B$6-$B1029)&gt;=设置!$B$5,"超期"&amp;(设置!$B$6-$B1029)&amp;"天","已等"&amp;(设置!$B$6-$B1029)&amp;"天"))))</f>
        <v/>
      </c>
      <c r="O1029" s="18" t="str">
        <f aca="false">IF(OR($D1029="",$E1029=""),"",COUNTIFS($D$7:$D1029,$D1029,$E$7:$E1029,$E1029))</f>
        <v/>
      </c>
      <c r="P1029" s="16"/>
      <c r="Q1029" s="19"/>
      <c r="R1029" s="10"/>
      <c r="S1029" s="16"/>
      <c r="T1029" s="0" t="str">
        <f aca="false">IF(OR($D1029="",单元查询!$B$3=""),"",IF($D1029&lt;&gt;单元查询!$B$3,"",IF(OR(单元查询!$D$3="",$E1029&amp;""=单元查询!$D$3&amp;""),IF(ISNUMBER($B1029),$B1029*10000,0)+ROW(),"")))</f>
        <v/>
      </c>
      <c r="U1029" s="0" t="str">
        <f aca="false">IF(OR($B1029="",$L1029="已完成"),"",IF(ISNUMBER($B1029),IF(设置!$B$6&lt;$B1029,"",(设置!$B$6-$B1029)*100000+ROW()),""))</f>
        <v/>
      </c>
      <c r="V1029" s="0" t="str">
        <f aca="false">IF(ISNUMBER($O1029),IF($O1029&gt;=2,IF(COUNTIFS($D1029:$D$2006,$D1029,$E1029:$E$2006,$E1029)=1,ROW(),""),""),"")</f>
        <v/>
      </c>
    </row>
    <row r="1030" customFormat="false" ht="15" hidden="false" customHeight="true" outlineLevel="0" collapsed="false">
      <c r="A1030" s="13" t="str">
        <f aca="false">IF(AND($B1030="",$D1030="",$E1030="",$F1030=""),"",IF(OR($B1030="",$D1030="",$E1030=""),"待补",IF($D1030="公共区域","公",IF($D1030="商铺","S",SUBSTITUTE($D1030,"栋","")))&amp;"-"&amp;$E1030&amp;"-"&amp;TEXT(MONTH($B1030),"00")&amp;TEXT(DAY($B1030),"00")&amp;IF(ISNUMBER($O1030),IF($O1030&gt;1,"-"&amp;TEXT($O1030,"00"),""),"")))</f>
        <v/>
      </c>
      <c r="B1030" s="14"/>
      <c r="C1030" s="10"/>
      <c r="D1030" s="10"/>
      <c r="E1030" s="10"/>
      <c r="F1030" s="16"/>
      <c r="G1030" s="10"/>
      <c r="H1030" s="10"/>
      <c r="I1030" s="10"/>
      <c r="J1030" s="10"/>
      <c r="K1030" s="10"/>
      <c r="L1030" s="10"/>
      <c r="M1030" s="14"/>
      <c r="N1030" s="17" t="str">
        <f aca="false">IF($B1030="","",IF($L1030="已完成",IF($M1030="","",$M1030-$B1030),IF(设置!$B$6&lt;$B1030,"",IF((设置!$B$6-$B1030)&gt;=设置!$B$5,"超期"&amp;(设置!$B$6-$B1030)&amp;"天","已等"&amp;(设置!$B$6-$B1030)&amp;"天"))))</f>
        <v/>
      </c>
      <c r="O1030" s="18" t="str">
        <f aca="false">IF(OR($D1030="",$E1030=""),"",COUNTIFS($D$7:$D1030,$D1030,$E$7:$E1030,$E1030))</f>
        <v/>
      </c>
      <c r="P1030" s="16"/>
      <c r="Q1030" s="19"/>
      <c r="R1030" s="10"/>
      <c r="S1030" s="16"/>
      <c r="T1030" s="0" t="str">
        <f aca="false">IF(OR($D1030="",单元查询!$B$3=""),"",IF($D1030&lt;&gt;单元查询!$B$3,"",IF(OR(单元查询!$D$3="",$E1030&amp;""=单元查询!$D$3&amp;""),IF(ISNUMBER($B1030),$B1030*10000,0)+ROW(),"")))</f>
        <v/>
      </c>
      <c r="U1030" s="0" t="str">
        <f aca="false">IF(OR($B1030="",$L1030="已完成"),"",IF(ISNUMBER($B1030),IF(设置!$B$6&lt;$B1030,"",(设置!$B$6-$B1030)*100000+ROW()),""))</f>
        <v/>
      </c>
      <c r="V1030" s="0" t="str">
        <f aca="false">IF(ISNUMBER($O1030),IF($O1030&gt;=2,IF(COUNTIFS($D1030:$D$2006,$D1030,$E1030:$E$2006,$E1030)=1,ROW(),""),""),"")</f>
        <v/>
      </c>
    </row>
    <row r="1031" customFormat="false" ht="15" hidden="false" customHeight="true" outlineLevel="0" collapsed="false">
      <c r="A1031" s="13" t="str">
        <f aca="false">IF(AND($B1031="",$D1031="",$E1031="",$F1031=""),"",IF(OR($B1031="",$D1031="",$E1031=""),"待补",IF($D1031="公共区域","公",IF($D1031="商铺","S",SUBSTITUTE($D1031,"栋","")))&amp;"-"&amp;$E1031&amp;"-"&amp;TEXT(MONTH($B1031),"00")&amp;TEXT(DAY($B1031),"00")&amp;IF(ISNUMBER($O1031),IF($O1031&gt;1,"-"&amp;TEXT($O1031,"00"),""),"")))</f>
        <v/>
      </c>
      <c r="B1031" s="14"/>
      <c r="C1031" s="10"/>
      <c r="D1031" s="10"/>
      <c r="E1031" s="10"/>
      <c r="F1031" s="16"/>
      <c r="G1031" s="10"/>
      <c r="H1031" s="10"/>
      <c r="I1031" s="10"/>
      <c r="J1031" s="10"/>
      <c r="K1031" s="10"/>
      <c r="L1031" s="10"/>
      <c r="M1031" s="14"/>
      <c r="N1031" s="17" t="str">
        <f aca="false">IF($B1031="","",IF($L1031="已完成",IF($M1031="","",$M1031-$B1031),IF(设置!$B$6&lt;$B1031,"",IF((设置!$B$6-$B1031)&gt;=设置!$B$5,"超期"&amp;(设置!$B$6-$B1031)&amp;"天","已等"&amp;(设置!$B$6-$B1031)&amp;"天"))))</f>
        <v/>
      </c>
      <c r="O1031" s="18" t="str">
        <f aca="false">IF(OR($D1031="",$E1031=""),"",COUNTIFS($D$7:$D1031,$D1031,$E$7:$E1031,$E1031))</f>
        <v/>
      </c>
      <c r="P1031" s="16"/>
      <c r="Q1031" s="19"/>
      <c r="R1031" s="10"/>
      <c r="S1031" s="16"/>
      <c r="T1031" s="0" t="str">
        <f aca="false">IF(OR($D1031="",单元查询!$B$3=""),"",IF($D1031&lt;&gt;单元查询!$B$3,"",IF(OR(单元查询!$D$3="",$E1031&amp;""=单元查询!$D$3&amp;""),IF(ISNUMBER($B1031),$B1031*10000,0)+ROW(),"")))</f>
        <v/>
      </c>
      <c r="U1031" s="0" t="str">
        <f aca="false">IF(OR($B1031="",$L1031="已完成"),"",IF(ISNUMBER($B1031),IF(设置!$B$6&lt;$B1031,"",(设置!$B$6-$B1031)*100000+ROW()),""))</f>
        <v/>
      </c>
      <c r="V1031" s="0" t="str">
        <f aca="false">IF(ISNUMBER($O1031),IF($O1031&gt;=2,IF(COUNTIFS($D1031:$D$2006,$D1031,$E1031:$E$2006,$E1031)=1,ROW(),""),""),"")</f>
        <v/>
      </c>
    </row>
    <row r="1032" customFormat="false" ht="15" hidden="false" customHeight="true" outlineLevel="0" collapsed="false">
      <c r="A1032" s="13" t="str">
        <f aca="false">IF(AND($B1032="",$D1032="",$E1032="",$F1032=""),"",IF(OR($B1032="",$D1032="",$E1032=""),"待补",IF($D1032="公共区域","公",IF($D1032="商铺","S",SUBSTITUTE($D1032,"栋","")))&amp;"-"&amp;$E1032&amp;"-"&amp;TEXT(MONTH($B1032),"00")&amp;TEXT(DAY($B1032),"00")&amp;IF(ISNUMBER($O1032),IF($O1032&gt;1,"-"&amp;TEXT($O1032,"00"),""),"")))</f>
        <v/>
      </c>
      <c r="B1032" s="14"/>
      <c r="C1032" s="10"/>
      <c r="D1032" s="10"/>
      <c r="E1032" s="10"/>
      <c r="F1032" s="16"/>
      <c r="G1032" s="10"/>
      <c r="H1032" s="10"/>
      <c r="I1032" s="10"/>
      <c r="J1032" s="10"/>
      <c r="K1032" s="10"/>
      <c r="L1032" s="10"/>
      <c r="M1032" s="14"/>
      <c r="N1032" s="17" t="str">
        <f aca="false">IF($B1032="","",IF($L1032="已完成",IF($M1032="","",$M1032-$B1032),IF(设置!$B$6&lt;$B1032,"",IF((设置!$B$6-$B1032)&gt;=设置!$B$5,"超期"&amp;(设置!$B$6-$B1032)&amp;"天","已等"&amp;(设置!$B$6-$B1032)&amp;"天"))))</f>
        <v/>
      </c>
      <c r="O1032" s="18" t="str">
        <f aca="false">IF(OR($D1032="",$E1032=""),"",COUNTIFS($D$7:$D1032,$D1032,$E$7:$E1032,$E1032))</f>
        <v/>
      </c>
      <c r="P1032" s="16"/>
      <c r="Q1032" s="19"/>
      <c r="R1032" s="10"/>
      <c r="S1032" s="16"/>
      <c r="T1032" s="0" t="str">
        <f aca="false">IF(OR($D1032="",单元查询!$B$3=""),"",IF($D1032&lt;&gt;单元查询!$B$3,"",IF(OR(单元查询!$D$3="",$E1032&amp;""=单元查询!$D$3&amp;""),IF(ISNUMBER($B1032),$B1032*10000,0)+ROW(),"")))</f>
        <v/>
      </c>
      <c r="U1032" s="0" t="str">
        <f aca="false">IF(OR($B1032="",$L1032="已完成"),"",IF(ISNUMBER($B1032),IF(设置!$B$6&lt;$B1032,"",(设置!$B$6-$B1032)*100000+ROW()),""))</f>
        <v/>
      </c>
      <c r="V1032" s="0" t="str">
        <f aca="false">IF(ISNUMBER($O1032),IF($O1032&gt;=2,IF(COUNTIFS($D1032:$D$2006,$D1032,$E1032:$E$2006,$E1032)=1,ROW(),""),""),"")</f>
        <v/>
      </c>
    </row>
    <row r="1033" customFormat="false" ht="15" hidden="false" customHeight="true" outlineLevel="0" collapsed="false">
      <c r="A1033" s="13" t="str">
        <f aca="false">IF(AND($B1033="",$D1033="",$E1033="",$F1033=""),"",IF(OR($B1033="",$D1033="",$E1033=""),"待补",IF($D1033="公共区域","公",IF($D1033="商铺","S",SUBSTITUTE($D1033,"栋","")))&amp;"-"&amp;$E1033&amp;"-"&amp;TEXT(MONTH($B1033),"00")&amp;TEXT(DAY($B1033),"00")&amp;IF(ISNUMBER($O1033),IF($O1033&gt;1,"-"&amp;TEXT($O1033,"00"),""),"")))</f>
        <v/>
      </c>
      <c r="B1033" s="14"/>
      <c r="C1033" s="10"/>
      <c r="D1033" s="10"/>
      <c r="E1033" s="10"/>
      <c r="F1033" s="16"/>
      <c r="G1033" s="10"/>
      <c r="H1033" s="10"/>
      <c r="I1033" s="10"/>
      <c r="J1033" s="10"/>
      <c r="K1033" s="10"/>
      <c r="L1033" s="10"/>
      <c r="M1033" s="14"/>
      <c r="N1033" s="17" t="str">
        <f aca="false">IF($B1033="","",IF($L1033="已完成",IF($M1033="","",$M1033-$B1033),IF(设置!$B$6&lt;$B1033,"",IF((设置!$B$6-$B1033)&gt;=设置!$B$5,"超期"&amp;(设置!$B$6-$B1033)&amp;"天","已等"&amp;(设置!$B$6-$B1033)&amp;"天"))))</f>
        <v/>
      </c>
      <c r="O1033" s="18" t="str">
        <f aca="false">IF(OR($D1033="",$E1033=""),"",COUNTIFS($D$7:$D1033,$D1033,$E$7:$E1033,$E1033))</f>
        <v/>
      </c>
      <c r="P1033" s="16"/>
      <c r="Q1033" s="19"/>
      <c r="R1033" s="10"/>
      <c r="S1033" s="16"/>
      <c r="T1033" s="0" t="str">
        <f aca="false">IF(OR($D1033="",单元查询!$B$3=""),"",IF($D1033&lt;&gt;单元查询!$B$3,"",IF(OR(单元查询!$D$3="",$E1033&amp;""=单元查询!$D$3&amp;""),IF(ISNUMBER($B1033),$B1033*10000,0)+ROW(),"")))</f>
        <v/>
      </c>
      <c r="U1033" s="0" t="str">
        <f aca="false">IF(OR($B1033="",$L1033="已完成"),"",IF(ISNUMBER($B1033),IF(设置!$B$6&lt;$B1033,"",(设置!$B$6-$B1033)*100000+ROW()),""))</f>
        <v/>
      </c>
      <c r="V1033" s="0" t="str">
        <f aca="false">IF(ISNUMBER($O1033),IF($O1033&gt;=2,IF(COUNTIFS($D1033:$D$2006,$D1033,$E1033:$E$2006,$E1033)=1,ROW(),""),""),"")</f>
        <v/>
      </c>
    </row>
    <row r="1034" customFormat="false" ht="15" hidden="false" customHeight="true" outlineLevel="0" collapsed="false">
      <c r="A1034" s="13" t="str">
        <f aca="false">IF(AND($B1034="",$D1034="",$E1034="",$F1034=""),"",IF(OR($B1034="",$D1034="",$E1034=""),"待补",IF($D1034="公共区域","公",IF($D1034="商铺","S",SUBSTITUTE($D1034,"栋","")))&amp;"-"&amp;$E1034&amp;"-"&amp;TEXT(MONTH($B1034),"00")&amp;TEXT(DAY($B1034),"00")&amp;IF(ISNUMBER($O1034),IF($O1034&gt;1,"-"&amp;TEXT($O1034,"00"),""),"")))</f>
        <v/>
      </c>
      <c r="B1034" s="14"/>
      <c r="C1034" s="10"/>
      <c r="D1034" s="10"/>
      <c r="E1034" s="10"/>
      <c r="F1034" s="16"/>
      <c r="G1034" s="10"/>
      <c r="H1034" s="10"/>
      <c r="I1034" s="10"/>
      <c r="J1034" s="10"/>
      <c r="K1034" s="10"/>
      <c r="L1034" s="10"/>
      <c r="M1034" s="14"/>
      <c r="N1034" s="17" t="str">
        <f aca="false">IF($B1034="","",IF($L1034="已完成",IF($M1034="","",$M1034-$B1034),IF(设置!$B$6&lt;$B1034,"",IF((设置!$B$6-$B1034)&gt;=设置!$B$5,"超期"&amp;(设置!$B$6-$B1034)&amp;"天","已等"&amp;(设置!$B$6-$B1034)&amp;"天"))))</f>
        <v/>
      </c>
      <c r="O1034" s="18" t="str">
        <f aca="false">IF(OR($D1034="",$E1034=""),"",COUNTIFS($D$7:$D1034,$D1034,$E$7:$E1034,$E1034))</f>
        <v/>
      </c>
      <c r="P1034" s="16"/>
      <c r="Q1034" s="19"/>
      <c r="R1034" s="10"/>
      <c r="S1034" s="16"/>
      <c r="T1034" s="0" t="str">
        <f aca="false">IF(OR($D1034="",单元查询!$B$3=""),"",IF($D1034&lt;&gt;单元查询!$B$3,"",IF(OR(单元查询!$D$3="",$E1034&amp;""=单元查询!$D$3&amp;""),IF(ISNUMBER($B1034),$B1034*10000,0)+ROW(),"")))</f>
        <v/>
      </c>
      <c r="U1034" s="0" t="str">
        <f aca="false">IF(OR($B1034="",$L1034="已完成"),"",IF(ISNUMBER($B1034),IF(设置!$B$6&lt;$B1034,"",(设置!$B$6-$B1034)*100000+ROW()),""))</f>
        <v/>
      </c>
      <c r="V1034" s="0" t="str">
        <f aca="false">IF(ISNUMBER($O1034),IF($O1034&gt;=2,IF(COUNTIFS($D1034:$D$2006,$D1034,$E1034:$E$2006,$E1034)=1,ROW(),""),""),"")</f>
        <v/>
      </c>
    </row>
    <row r="1035" customFormat="false" ht="15" hidden="false" customHeight="true" outlineLevel="0" collapsed="false">
      <c r="A1035" s="13" t="str">
        <f aca="false">IF(AND($B1035="",$D1035="",$E1035="",$F1035=""),"",IF(OR($B1035="",$D1035="",$E1035=""),"待补",IF($D1035="公共区域","公",IF($D1035="商铺","S",SUBSTITUTE($D1035,"栋","")))&amp;"-"&amp;$E1035&amp;"-"&amp;TEXT(MONTH($B1035),"00")&amp;TEXT(DAY($B1035),"00")&amp;IF(ISNUMBER($O1035),IF($O1035&gt;1,"-"&amp;TEXT($O1035,"00"),""),"")))</f>
        <v/>
      </c>
      <c r="B1035" s="14"/>
      <c r="C1035" s="10"/>
      <c r="D1035" s="10"/>
      <c r="E1035" s="10"/>
      <c r="F1035" s="16"/>
      <c r="G1035" s="10"/>
      <c r="H1035" s="10"/>
      <c r="I1035" s="10"/>
      <c r="J1035" s="10"/>
      <c r="K1035" s="10"/>
      <c r="L1035" s="10"/>
      <c r="M1035" s="14"/>
      <c r="N1035" s="17" t="str">
        <f aca="false">IF($B1035="","",IF($L1035="已完成",IF($M1035="","",$M1035-$B1035),IF(设置!$B$6&lt;$B1035,"",IF((设置!$B$6-$B1035)&gt;=设置!$B$5,"超期"&amp;(设置!$B$6-$B1035)&amp;"天","已等"&amp;(设置!$B$6-$B1035)&amp;"天"))))</f>
        <v/>
      </c>
      <c r="O1035" s="18" t="str">
        <f aca="false">IF(OR($D1035="",$E1035=""),"",COUNTIFS($D$7:$D1035,$D1035,$E$7:$E1035,$E1035))</f>
        <v/>
      </c>
      <c r="P1035" s="16"/>
      <c r="Q1035" s="19"/>
      <c r="R1035" s="10"/>
      <c r="S1035" s="16"/>
      <c r="T1035" s="0" t="str">
        <f aca="false">IF(OR($D1035="",单元查询!$B$3=""),"",IF($D1035&lt;&gt;单元查询!$B$3,"",IF(OR(单元查询!$D$3="",$E1035&amp;""=单元查询!$D$3&amp;""),IF(ISNUMBER($B1035),$B1035*10000,0)+ROW(),"")))</f>
        <v/>
      </c>
      <c r="U1035" s="0" t="str">
        <f aca="false">IF(OR($B1035="",$L1035="已完成"),"",IF(ISNUMBER($B1035),IF(设置!$B$6&lt;$B1035,"",(设置!$B$6-$B1035)*100000+ROW()),""))</f>
        <v/>
      </c>
      <c r="V1035" s="0" t="str">
        <f aca="false">IF(ISNUMBER($O1035),IF($O1035&gt;=2,IF(COUNTIFS($D1035:$D$2006,$D1035,$E1035:$E$2006,$E1035)=1,ROW(),""),""),"")</f>
        <v/>
      </c>
    </row>
    <row r="1036" customFormat="false" ht="15" hidden="false" customHeight="true" outlineLevel="0" collapsed="false">
      <c r="A1036" s="13" t="str">
        <f aca="false">IF(AND($B1036="",$D1036="",$E1036="",$F1036=""),"",IF(OR($B1036="",$D1036="",$E1036=""),"待补",IF($D1036="公共区域","公",IF($D1036="商铺","S",SUBSTITUTE($D1036,"栋","")))&amp;"-"&amp;$E1036&amp;"-"&amp;TEXT(MONTH($B1036),"00")&amp;TEXT(DAY($B1036),"00")&amp;IF(ISNUMBER($O1036),IF($O1036&gt;1,"-"&amp;TEXT($O1036,"00"),""),"")))</f>
        <v/>
      </c>
      <c r="B1036" s="14"/>
      <c r="C1036" s="10"/>
      <c r="D1036" s="10"/>
      <c r="E1036" s="10"/>
      <c r="F1036" s="16"/>
      <c r="G1036" s="10"/>
      <c r="H1036" s="10"/>
      <c r="I1036" s="10"/>
      <c r="J1036" s="10"/>
      <c r="K1036" s="10"/>
      <c r="L1036" s="10"/>
      <c r="M1036" s="14"/>
      <c r="N1036" s="17" t="str">
        <f aca="false">IF($B1036="","",IF($L1036="已完成",IF($M1036="","",$M1036-$B1036),IF(设置!$B$6&lt;$B1036,"",IF((设置!$B$6-$B1036)&gt;=设置!$B$5,"超期"&amp;(设置!$B$6-$B1036)&amp;"天","已等"&amp;(设置!$B$6-$B1036)&amp;"天"))))</f>
        <v/>
      </c>
      <c r="O1036" s="18" t="str">
        <f aca="false">IF(OR($D1036="",$E1036=""),"",COUNTIFS($D$7:$D1036,$D1036,$E$7:$E1036,$E1036))</f>
        <v/>
      </c>
      <c r="P1036" s="16"/>
      <c r="Q1036" s="19"/>
      <c r="R1036" s="10"/>
      <c r="S1036" s="16"/>
      <c r="T1036" s="0" t="str">
        <f aca="false">IF(OR($D1036="",单元查询!$B$3=""),"",IF($D1036&lt;&gt;单元查询!$B$3,"",IF(OR(单元查询!$D$3="",$E1036&amp;""=单元查询!$D$3&amp;""),IF(ISNUMBER($B1036),$B1036*10000,0)+ROW(),"")))</f>
        <v/>
      </c>
      <c r="U1036" s="0" t="str">
        <f aca="false">IF(OR($B1036="",$L1036="已完成"),"",IF(ISNUMBER($B1036),IF(设置!$B$6&lt;$B1036,"",(设置!$B$6-$B1036)*100000+ROW()),""))</f>
        <v/>
      </c>
      <c r="V1036" s="0" t="str">
        <f aca="false">IF(ISNUMBER($O1036),IF($O1036&gt;=2,IF(COUNTIFS($D1036:$D$2006,$D1036,$E1036:$E$2006,$E1036)=1,ROW(),""),""),"")</f>
        <v/>
      </c>
    </row>
    <row r="1037" customFormat="false" ht="15" hidden="false" customHeight="true" outlineLevel="0" collapsed="false">
      <c r="A1037" s="13" t="str">
        <f aca="false">IF(AND($B1037="",$D1037="",$E1037="",$F1037=""),"",IF(OR($B1037="",$D1037="",$E1037=""),"待补",IF($D1037="公共区域","公",IF($D1037="商铺","S",SUBSTITUTE($D1037,"栋","")))&amp;"-"&amp;$E1037&amp;"-"&amp;TEXT(MONTH($B1037),"00")&amp;TEXT(DAY($B1037),"00")&amp;IF(ISNUMBER($O1037),IF($O1037&gt;1,"-"&amp;TEXT($O1037,"00"),""),"")))</f>
        <v/>
      </c>
      <c r="B1037" s="14"/>
      <c r="C1037" s="10"/>
      <c r="D1037" s="10"/>
      <c r="E1037" s="10"/>
      <c r="F1037" s="16"/>
      <c r="G1037" s="10"/>
      <c r="H1037" s="10"/>
      <c r="I1037" s="10"/>
      <c r="J1037" s="10"/>
      <c r="K1037" s="10"/>
      <c r="L1037" s="10"/>
      <c r="M1037" s="14"/>
      <c r="N1037" s="17" t="str">
        <f aca="false">IF($B1037="","",IF($L1037="已完成",IF($M1037="","",$M1037-$B1037),IF(设置!$B$6&lt;$B1037,"",IF((设置!$B$6-$B1037)&gt;=设置!$B$5,"超期"&amp;(设置!$B$6-$B1037)&amp;"天","已等"&amp;(设置!$B$6-$B1037)&amp;"天"))))</f>
        <v/>
      </c>
      <c r="O1037" s="18" t="str">
        <f aca="false">IF(OR($D1037="",$E1037=""),"",COUNTIFS($D$7:$D1037,$D1037,$E$7:$E1037,$E1037))</f>
        <v/>
      </c>
      <c r="P1037" s="16"/>
      <c r="Q1037" s="19"/>
      <c r="R1037" s="10"/>
      <c r="S1037" s="16"/>
      <c r="T1037" s="0" t="str">
        <f aca="false">IF(OR($D1037="",单元查询!$B$3=""),"",IF($D1037&lt;&gt;单元查询!$B$3,"",IF(OR(单元查询!$D$3="",$E1037&amp;""=单元查询!$D$3&amp;""),IF(ISNUMBER($B1037),$B1037*10000,0)+ROW(),"")))</f>
        <v/>
      </c>
      <c r="U1037" s="0" t="str">
        <f aca="false">IF(OR($B1037="",$L1037="已完成"),"",IF(ISNUMBER($B1037),IF(设置!$B$6&lt;$B1037,"",(设置!$B$6-$B1037)*100000+ROW()),""))</f>
        <v/>
      </c>
      <c r="V1037" s="0" t="str">
        <f aca="false">IF(ISNUMBER($O1037),IF($O1037&gt;=2,IF(COUNTIFS($D1037:$D$2006,$D1037,$E1037:$E$2006,$E1037)=1,ROW(),""),""),"")</f>
        <v/>
      </c>
    </row>
    <row r="1038" customFormat="false" ht="15" hidden="false" customHeight="true" outlineLevel="0" collapsed="false">
      <c r="A1038" s="13" t="str">
        <f aca="false">IF(AND($B1038="",$D1038="",$E1038="",$F1038=""),"",IF(OR($B1038="",$D1038="",$E1038=""),"待补",IF($D1038="公共区域","公",IF($D1038="商铺","S",SUBSTITUTE($D1038,"栋","")))&amp;"-"&amp;$E1038&amp;"-"&amp;TEXT(MONTH($B1038),"00")&amp;TEXT(DAY($B1038),"00")&amp;IF(ISNUMBER($O1038),IF($O1038&gt;1,"-"&amp;TEXT($O1038,"00"),""),"")))</f>
        <v/>
      </c>
      <c r="B1038" s="14"/>
      <c r="C1038" s="10"/>
      <c r="D1038" s="10"/>
      <c r="E1038" s="10"/>
      <c r="F1038" s="16"/>
      <c r="G1038" s="10"/>
      <c r="H1038" s="10"/>
      <c r="I1038" s="10"/>
      <c r="J1038" s="10"/>
      <c r="K1038" s="10"/>
      <c r="L1038" s="10"/>
      <c r="M1038" s="14"/>
      <c r="N1038" s="17" t="str">
        <f aca="false">IF($B1038="","",IF($L1038="已完成",IF($M1038="","",$M1038-$B1038),IF(设置!$B$6&lt;$B1038,"",IF((设置!$B$6-$B1038)&gt;=设置!$B$5,"超期"&amp;(设置!$B$6-$B1038)&amp;"天","已等"&amp;(设置!$B$6-$B1038)&amp;"天"))))</f>
        <v/>
      </c>
      <c r="O1038" s="18" t="str">
        <f aca="false">IF(OR($D1038="",$E1038=""),"",COUNTIFS($D$7:$D1038,$D1038,$E$7:$E1038,$E1038))</f>
        <v/>
      </c>
      <c r="P1038" s="16"/>
      <c r="Q1038" s="19"/>
      <c r="R1038" s="10"/>
      <c r="S1038" s="16"/>
      <c r="T1038" s="0" t="str">
        <f aca="false">IF(OR($D1038="",单元查询!$B$3=""),"",IF($D1038&lt;&gt;单元查询!$B$3,"",IF(OR(单元查询!$D$3="",$E1038&amp;""=单元查询!$D$3&amp;""),IF(ISNUMBER($B1038),$B1038*10000,0)+ROW(),"")))</f>
        <v/>
      </c>
      <c r="U1038" s="0" t="str">
        <f aca="false">IF(OR($B1038="",$L1038="已完成"),"",IF(ISNUMBER($B1038),IF(设置!$B$6&lt;$B1038,"",(设置!$B$6-$B1038)*100000+ROW()),""))</f>
        <v/>
      </c>
      <c r="V1038" s="0" t="str">
        <f aca="false">IF(ISNUMBER($O1038),IF($O1038&gt;=2,IF(COUNTIFS($D1038:$D$2006,$D1038,$E1038:$E$2006,$E1038)=1,ROW(),""),""),"")</f>
        <v/>
      </c>
    </row>
    <row r="1039" customFormat="false" ht="15" hidden="false" customHeight="true" outlineLevel="0" collapsed="false">
      <c r="A1039" s="13" t="str">
        <f aca="false">IF(AND($B1039="",$D1039="",$E1039="",$F1039=""),"",IF(OR($B1039="",$D1039="",$E1039=""),"待补",IF($D1039="公共区域","公",IF($D1039="商铺","S",SUBSTITUTE($D1039,"栋","")))&amp;"-"&amp;$E1039&amp;"-"&amp;TEXT(MONTH($B1039),"00")&amp;TEXT(DAY($B1039),"00")&amp;IF(ISNUMBER($O1039),IF($O1039&gt;1,"-"&amp;TEXT($O1039,"00"),""),"")))</f>
        <v/>
      </c>
      <c r="B1039" s="14"/>
      <c r="C1039" s="10"/>
      <c r="D1039" s="10"/>
      <c r="E1039" s="10"/>
      <c r="F1039" s="16"/>
      <c r="G1039" s="10"/>
      <c r="H1039" s="10"/>
      <c r="I1039" s="10"/>
      <c r="J1039" s="10"/>
      <c r="K1039" s="10"/>
      <c r="L1039" s="10"/>
      <c r="M1039" s="14"/>
      <c r="N1039" s="17" t="str">
        <f aca="false">IF($B1039="","",IF($L1039="已完成",IF($M1039="","",$M1039-$B1039),IF(设置!$B$6&lt;$B1039,"",IF((设置!$B$6-$B1039)&gt;=设置!$B$5,"超期"&amp;(设置!$B$6-$B1039)&amp;"天","已等"&amp;(设置!$B$6-$B1039)&amp;"天"))))</f>
        <v/>
      </c>
      <c r="O1039" s="18" t="str">
        <f aca="false">IF(OR($D1039="",$E1039=""),"",COUNTIFS($D$7:$D1039,$D1039,$E$7:$E1039,$E1039))</f>
        <v/>
      </c>
      <c r="P1039" s="16"/>
      <c r="Q1039" s="19"/>
      <c r="R1039" s="10"/>
      <c r="S1039" s="16"/>
      <c r="T1039" s="0" t="str">
        <f aca="false">IF(OR($D1039="",单元查询!$B$3=""),"",IF($D1039&lt;&gt;单元查询!$B$3,"",IF(OR(单元查询!$D$3="",$E1039&amp;""=单元查询!$D$3&amp;""),IF(ISNUMBER($B1039),$B1039*10000,0)+ROW(),"")))</f>
        <v/>
      </c>
      <c r="U1039" s="0" t="str">
        <f aca="false">IF(OR($B1039="",$L1039="已完成"),"",IF(ISNUMBER($B1039),IF(设置!$B$6&lt;$B1039,"",(设置!$B$6-$B1039)*100000+ROW()),""))</f>
        <v/>
      </c>
      <c r="V1039" s="0" t="str">
        <f aca="false">IF(ISNUMBER($O1039),IF($O1039&gt;=2,IF(COUNTIFS($D1039:$D$2006,$D1039,$E1039:$E$2006,$E1039)=1,ROW(),""),""),"")</f>
        <v/>
      </c>
    </row>
    <row r="1040" customFormat="false" ht="15" hidden="false" customHeight="true" outlineLevel="0" collapsed="false">
      <c r="A1040" s="13" t="str">
        <f aca="false">IF(AND($B1040="",$D1040="",$E1040="",$F1040=""),"",IF(OR($B1040="",$D1040="",$E1040=""),"待补",IF($D1040="公共区域","公",IF($D1040="商铺","S",SUBSTITUTE($D1040,"栋","")))&amp;"-"&amp;$E1040&amp;"-"&amp;TEXT(MONTH($B1040),"00")&amp;TEXT(DAY($B1040),"00")&amp;IF(ISNUMBER($O1040),IF($O1040&gt;1,"-"&amp;TEXT($O1040,"00"),""),"")))</f>
        <v/>
      </c>
      <c r="B1040" s="14"/>
      <c r="C1040" s="10"/>
      <c r="D1040" s="10"/>
      <c r="E1040" s="10"/>
      <c r="F1040" s="16"/>
      <c r="G1040" s="10"/>
      <c r="H1040" s="10"/>
      <c r="I1040" s="10"/>
      <c r="J1040" s="10"/>
      <c r="K1040" s="10"/>
      <c r="L1040" s="10"/>
      <c r="M1040" s="14"/>
      <c r="N1040" s="17" t="str">
        <f aca="false">IF($B1040="","",IF($L1040="已完成",IF($M1040="","",$M1040-$B1040),IF(设置!$B$6&lt;$B1040,"",IF((设置!$B$6-$B1040)&gt;=设置!$B$5,"超期"&amp;(设置!$B$6-$B1040)&amp;"天","已等"&amp;(设置!$B$6-$B1040)&amp;"天"))))</f>
        <v/>
      </c>
      <c r="O1040" s="18" t="str">
        <f aca="false">IF(OR($D1040="",$E1040=""),"",COUNTIFS($D$7:$D1040,$D1040,$E$7:$E1040,$E1040))</f>
        <v/>
      </c>
      <c r="P1040" s="16"/>
      <c r="Q1040" s="19"/>
      <c r="R1040" s="10"/>
      <c r="S1040" s="16"/>
      <c r="T1040" s="0" t="str">
        <f aca="false">IF(OR($D1040="",单元查询!$B$3=""),"",IF($D1040&lt;&gt;单元查询!$B$3,"",IF(OR(单元查询!$D$3="",$E1040&amp;""=单元查询!$D$3&amp;""),IF(ISNUMBER($B1040),$B1040*10000,0)+ROW(),"")))</f>
        <v/>
      </c>
      <c r="U1040" s="0" t="str">
        <f aca="false">IF(OR($B1040="",$L1040="已完成"),"",IF(ISNUMBER($B1040),IF(设置!$B$6&lt;$B1040,"",(设置!$B$6-$B1040)*100000+ROW()),""))</f>
        <v/>
      </c>
      <c r="V1040" s="0" t="str">
        <f aca="false">IF(ISNUMBER($O1040),IF($O1040&gt;=2,IF(COUNTIFS($D1040:$D$2006,$D1040,$E1040:$E$2006,$E1040)=1,ROW(),""),""),"")</f>
        <v/>
      </c>
    </row>
    <row r="1041" customFormat="false" ht="15" hidden="false" customHeight="true" outlineLevel="0" collapsed="false">
      <c r="A1041" s="13" t="str">
        <f aca="false">IF(AND($B1041="",$D1041="",$E1041="",$F1041=""),"",IF(OR($B1041="",$D1041="",$E1041=""),"待补",IF($D1041="公共区域","公",IF($D1041="商铺","S",SUBSTITUTE($D1041,"栋","")))&amp;"-"&amp;$E1041&amp;"-"&amp;TEXT(MONTH($B1041),"00")&amp;TEXT(DAY($B1041),"00")&amp;IF(ISNUMBER($O1041),IF($O1041&gt;1,"-"&amp;TEXT($O1041,"00"),""),"")))</f>
        <v/>
      </c>
      <c r="B1041" s="14"/>
      <c r="C1041" s="10"/>
      <c r="D1041" s="10"/>
      <c r="E1041" s="10"/>
      <c r="F1041" s="16"/>
      <c r="G1041" s="10"/>
      <c r="H1041" s="10"/>
      <c r="I1041" s="10"/>
      <c r="J1041" s="10"/>
      <c r="K1041" s="10"/>
      <c r="L1041" s="10"/>
      <c r="M1041" s="14"/>
      <c r="N1041" s="17" t="str">
        <f aca="false">IF($B1041="","",IF($L1041="已完成",IF($M1041="","",$M1041-$B1041),IF(设置!$B$6&lt;$B1041,"",IF((设置!$B$6-$B1041)&gt;=设置!$B$5,"超期"&amp;(设置!$B$6-$B1041)&amp;"天","已等"&amp;(设置!$B$6-$B1041)&amp;"天"))))</f>
        <v/>
      </c>
      <c r="O1041" s="18" t="str">
        <f aca="false">IF(OR($D1041="",$E1041=""),"",COUNTIFS($D$7:$D1041,$D1041,$E$7:$E1041,$E1041))</f>
        <v/>
      </c>
      <c r="P1041" s="16"/>
      <c r="Q1041" s="19"/>
      <c r="R1041" s="10"/>
      <c r="S1041" s="16"/>
      <c r="T1041" s="0" t="str">
        <f aca="false">IF(OR($D1041="",单元查询!$B$3=""),"",IF($D1041&lt;&gt;单元查询!$B$3,"",IF(OR(单元查询!$D$3="",$E1041&amp;""=单元查询!$D$3&amp;""),IF(ISNUMBER($B1041),$B1041*10000,0)+ROW(),"")))</f>
        <v/>
      </c>
      <c r="U1041" s="0" t="str">
        <f aca="false">IF(OR($B1041="",$L1041="已完成"),"",IF(ISNUMBER($B1041),IF(设置!$B$6&lt;$B1041,"",(设置!$B$6-$B1041)*100000+ROW()),""))</f>
        <v/>
      </c>
      <c r="V1041" s="0" t="str">
        <f aca="false">IF(ISNUMBER($O1041),IF($O1041&gt;=2,IF(COUNTIFS($D1041:$D$2006,$D1041,$E1041:$E$2006,$E1041)=1,ROW(),""),""),"")</f>
        <v/>
      </c>
    </row>
    <row r="1042" customFormat="false" ht="15" hidden="false" customHeight="true" outlineLevel="0" collapsed="false">
      <c r="A1042" s="13" t="str">
        <f aca="false">IF(AND($B1042="",$D1042="",$E1042="",$F1042=""),"",IF(OR($B1042="",$D1042="",$E1042=""),"待补",IF($D1042="公共区域","公",IF($D1042="商铺","S",SUBSTITUTE($D1042,"栋","")))&amp;"-"&amp;$E1042&amp;"-"&amp;TEXT(MONTH($B1042),"00")&amp;TEXT(DAY($B1042),"00")&amp;IF(ISNUMBER($O1042),IF($O1042&gt;1,"-"&amp;TEXT($O1042,"00"),""),"")))</f>
        <v/>
      </c>
      <c r="B1042" s="14"/>
      <c r="C1042" s="10"/>
      <c r="D1042" s="10"/>
      <c r="E1042" s="10"/>
      <c r="F1042" s="16"/>
      <c r="G1042" s="10"/>
      <c r="H1042" s="10"/>
      <c r="I1042" s="10"/>
      <c r="J1042" s="10"/>
      <c r="K1042" s="10"/>
      <c r="L1042" s="10"/>
      <c r="M1042" s="14"/>
      <c r="N1042" s="17" t="str">
        <f aca="false">IF($B1042="","",IF($L1042="已完成",IF($M1042="","",$M1042-$B1042),IF(设置!$B$6&lt;$B1042,"",IF((设置!$B$6-$B1042)&gt;=设置!$B$5,"超期"&amp;(设置!$B$6-$B1042)&amp;"天","已等"&amp;(设置!$B$6-$B1042)&amp;"天"))))</f>
        <v/>
      </c>
      <c r="O1042" s="18" t="str">
        <f aca="false">IF(OR($D1042="",$E1042=""),"",COUNTIFS($D$7:$D1042,$D1042,$E$7:$E1042,$E1042))</f>
        <v/>
      </c>
      <c r="P1042" s="16"/>
      <c r="Q1042" s="19"/>
      <c r="R1042" s="10"/>
      <c r="S1042" s="16"/>
      <c r="T1042" s="0" t="str">
        <f aca="false">IF(OR($D1042="",单元查询!$B$3=""),"",IF($D1042&lt;&gt;单元查询!$B$3,"",IF(OR(单元查询!$D$3="",$E1042&amp;""=单元查询!$D$3&amp;""),IF(ISNUMBER($B1042),$B1042*10000,0)+ROW(),"")))</f>
        <v/>
      </c>
      <c r="U1042" s="0" t="str">
        <f aca="false">IF(OR($B1042="",$L1042="已完成"),"",IF(ISNUMBER($B1042),IF(设置!$B$6&lt;$B1042,"",(设置!$B$6-$B1042)*100000+ROW()),""))</f>
        <v/>
      </c>
      <c r="V1042" s="0" t="str">
        <f aca="false">IF(ISNUMBER($O1042),IF($O1042&gt;=2,IF(COUNTIFS($D1042:$D$2006,$D1042,$E1042:$E$2006,$E1042)=1,ROW(),""),""),"")</f>
        <v/>
      </c>
    </row>
    <row r="1043" customFormat="false" ht="15" hidden="false" customHeight="true" outlineLevel="0" collapsed="false">
      <c r="A1043" s="13" t="str">
        <f aca="false">IF(AND($B1043="",$D1043="",$E1043="",$F1043=""),"",IF(OR($B1043="",$D1043="",$E1043=""),"待补",IF($D1043="公共区域","公",IF($D1043="商铺","S",SUBSTITUTE($D1043,"栋","")))&amp;"-"&amp;$E1043&amp;"-"&amp;TEXT(MONTH($B1043),"00")&amp;TEXT(DAY($B1043),"00")&amp;IF(ISNUMBER($O1043),IF($O1043&gt;1,"-"&amp;TEXT($O1043,"00"),""),"")))</f>
        <v/>
      </c>
      <c r="B1043" s="14"/>
      <c r="C1043" s="10"/>
      <c r="D1043" s="10"/>
      <c r="E1043" s="10"/>
      <c r="F1043" s="16"/>
      <c r="G1043" s="10"/>
      <c r="H1043" s="10"/>
      <c r="I1043" s="10"/>
      <c r="J1043" s="10"/>
      <c r="K1043" s="10"/>
      <c r="L1043" s="10"/>
      <c r="M1043" s="14"/>
      <c r="N1043" s="17" t="str">
        <f aca="false">IF($B1043="","",IF($L1043="已完成",IF($M1043="","",$M1043-$B1043),IF(设置!$B$6&lt;$B1043,"",IF((设置!$B$6-$B1043)&gt;=设置!$B$5,"超期"&amp;(设置!$B$6-$B1043)&amp;"天","已等"&amp;(设置!$B$6-$B1043)&amp;"天"))))</f>
        <v/>
      </c>
      <c r="O1043" s="18" t="str">
        <f aca="false">IF(OR($D1043="",$E1043=""),"",COUNTIFS($D$7:$D1043,$D1043,$E$7:$E1043,$E1043))</f>
        <v/>
      </c>
      <c r="P1043" s="16"/>
      <c r="Q1043" s="19"/>
      <c r="R1043" s="10"/>
      <c r="S1043" s="16"/>
      <c r="T1043" s="0" t="str">
        <f aca="false">IF(OR($D1043="",单元查询!$B$3=""),"",IF($D1043&lt;&gt;单元查询!$B$3,"",IF(OR(单元查询!$D$3="",$E1043&amp;""=单元查询!$D$3&amp;""),IF(ISNUMBER($B1043),$B1043*10000,0)+ROW(),"")))</f>
        <v/>
      </c>
      <c r="U1043" s="0" t="str">
        <f aca="false">IF(OR($B1043="",$L1043="已完成"),"",IF(ISNUMBER($B1043),IF(设置!$B$6&lt;$B1043,"",(设置!$B$6-$B1043)*100000+ROW()),""))</f>
        <v/>
      </c>
      <c r="V1043" s="0" t="str">
        <f aca="false">IF(ISNUMBER($O1043),IF($O1043&gt;=2,IF(COUNTIFS($D1043:$D$2006,$D1043,$E1043:$E$2006,$E1043)=1,ROW(),""),""),"")</f>
        <v/>
      </c>
    </row>
    <row r="1044" customFormat="false" ht="15" hidden="false" customHeight="true" outlineLevel="0" collapsed="false">
      <c r="A1044" s="13" t="str">
        <f aca="false">IF(AND($B1044="",$D1044="",$E1044="",$F1044=""),"",IF(OR($B1044="",$D1044="",$E1044=""),"待补",IF($D1044="公共区域","公",IF($D1044="商铺","S",SUBSTITUTE($D1044,"栋","")))&amp;"-"&amp;$E1044&amp;"-"&amp;TEXT(MONTH($B1044),"00")&amp;TEXT(DAY($B1044),"00")&amp;IF(ISNUMBER($O1044),IF($O1044&gt;1,"-"&amp;TEXT($O1044,"00"),""),"")))</f>
        <v/>
      </c>
      <c r="B1044" s="14"/>
      <c r="C1044" s="10"/>
      <c r="D1044" s="10"/>
      <c r="E1044" s="10"/>
      <c r="F1044" s="16"/>
      <c r="G1044" s="10"/>
      <c r="H1044" s="10"/>
      <c r="I1044" s="10"/>
      <c r="J1044" s="10"/>
      <c r="K1044" s="10"/>
      <c r="L1044" s="10"/>
      <c r="M1044" s="14"/>
      <c r="N1044" s="17" t="str">
        <f aca="false">IF($B1044="","",IF($L1044="已完成",IF($M1044="","",$M1044-$B1044),IF(设置!$B$6&lt;$B1044,"",IF((设置!$B$6-$B1044)&gt;=设置!$B$5,"超期"&amp;(设置!$B$6-$B1044)&amp;"天","已等"&amp;(设置!$B$6-$B1044)&amp;"天"))))</f>
        <v/>
      </c>
      <c r="O1044" s="18" t="str">
        <f aca="false">IF(OR($D1044="",$E1044=""),"",COUNTIFS($D$7:$D1044,$D1044,$E$7:$E1044,$E1044))</f>
        <v/>
      </c>
      <c r="P1044" s="16"/>
      <c r="Q1044" s="19"/>
      <c r="R1044" s="10"/>
      <c r="S1044" s="16"/>
      <c r="T1044" s="0" t="str">
        <f aca="false">IF(OR($D1044="",单元查询!$B$3=""),"",IF($D1044&lt;&gt;单元查询!$B$3,"",IF(OR(单元查询!$D$3="",$E1044&amp;""=单元查询!$D$3&amp;""),IF(ISNUMBER($B1044),$B1044*10000,0)+ROW(),"")))</f>
        <v/>
      </c>
      <c r="U1044" s="0" t="str">
        <f aca="false">IF(OR($B1044="",$L1044="已完成"),"",IF(ISNUMBER($B1044),IF(设置!$B$6&lt;$B1044,"",(设置!$B$6-$B1044)*100000+ROW()),""))</f>
        <v/>
      </c>
      <c r="V1044" s="0" t="str">
        <f aca="false">IF(ISNUMBER($O1044),IF($O1044&gt;=2,IF(COUNTIFS($D1044:$D$2006,$D1044,$E1044:$E$2006,$E1044)=1,ROW(),""),""),"")</f>
        <v/>
      </c>
    </row>
    <row r="1045" customFormat="false" ht="15" hidden="false" customHeight="true" outlineLevel="0" collapsed="false">
      <c r="A1045" s="13" t="str">
        <f aca="false">IF(AND($B1045="",$D1045="",$E1045="",$F1045=""),"",IF(OR($B1045="",$D1045="",$E1045=""),"待补",IF($D1045="公共区域","公",IF($D1045="商铺","S",SUBSTITUTE($D1045,"栋","")))&amp;"-"&amp;$E1045&amp;"-"&amp;TEXT(MONTH($B1045),"00")&amp;TEXT(DAY($B1045),"00")&amp;IF(ISNUMBER($O1045),IF($O1045&gt;1,"-"&amp;TEXT($O1045,"00"),""),"")))</f>
        <v/>
      </c>
      <c r="B1045" s="14"/>
      <c r="C1045" s="10"/>
      <c r="D1045" s="10"/>
      <c r="E1045" s="10"/>
      <c r="F1045" s="16"/>
      <c r="G1045" s="10"/>
      <c r="H1045" s="10"/>
      <c r="I1045" s="10"/>
      <c r="J1045" s="10"/>
      <c r="K1045" s="10"/>
      <c r="L1045" s="10"/>
      <c r="M1045" s="14"/>
      <c r="N1045" s="17" t="str">
        <f aca="false">IF($B1045="","",IF($L1045="已完成",IF($M1045="","",$M1045-$B1045),IF(设置!$B$6&lt;$B1045,"",IF((设置!$B$6-$B1045)&gt;=设置!$B$5,"超期"&amp;(设置!$B$6-$B1045)&amp;"天","已等"&amp;(设置!$B$6-$B1045)&amp;"天"))))</f>
        <v/>
      </c>
      <c r="O1045" s="18" t="str">
        <f aca="false">IF(OR($D1045="",$E1045=""),"",COUNTIFS($D$7:$D1045,$D1045,$E$7:$E1045,$E1045))</f>
        <v/>
      </c>
      <c r="P1045" s="16"/>
      <c r="Q1045" s="19"/>
      <c r="R1045" s="10"/>
      <c r="S1045" s="16"/>
      <c r="T1045" s="0" t="str">
        <f aca="false">IF(OR($D1045="",单元查询!$B$3=""),"",IF($D1045&lt;&gt;单元查询!$B$3,"",IF(OR(单元查询!$D$3="",$E1045&amp;""=单元查询!$D$3&amp;""),IF(ISNUMBER($B1045),$B1045*10000,0)+ROW(),"")))</f>
        <v/>
      </c>
      <c r="U1045" s="0" t="str">
        <f aca="false">IF(OR($B1045="",$L1045="已完成"),"",IF(ISNUMBER($B1045),IF(设置!$B$6&lt;$B1045,"",(设置!$B$6-$B1045)*100000+ROW()),""))</f>
        <v/>
      </c>
      <c r="V1045" s="0" t="str">
        <f aca="false">IF(ISNUMBER($O1045),IF($O1045&gt;=2,IF(COUNTIFS($D1045:$D$2006,$D1045,$E1045:$E$2006,$E1045)=1,ROW(),""),""),"")</f>
        <v/>
      </c>
    </row>
    <row r="1046" customFormat="false" ht="15" hidden="false" customHeight="true" outlineLevel="0" collapsed="false">
      <c r="A1046" s="13" t="str">
        <f aca="false">IF(AND($B1046="",$D1046="",$E1046="",$F1046=""),"",IF(OR($B1046="",$D1046="",$E1046=""),"待补",IF($D1046="公共区域","公",IF($D1046="商铺","S",SUBSTITUTE($D1046,"栋","")))&amp;"-"&amp;$E1046&amp;"-"&amp;TEXT(MONTH($B1046),"00")&amp;TEXT(DAY($B1046),"00")&amp;IF(ISNUMBER($O1046),IF($O1046&gt;1,"-"&amp;TEXT($O1046,"00"),""),"")))</f>
        <v/>
      </c>
      <c r="B1046" s="14"/>
      <c r="C1046" s="10"/>
      <c r="D1046" s="10"/>
      <c r="E1046" s="10"/>
      <c r="F1046" s="16"/>
      <c r="G1046" s="10"/>
      <c r="H1046" s="10"/>
      <c r="I1046" s="10"/>
      <c r="J1046" s="10"/>
      <c r="K1046" s="10"/>
      <c r="L1046" s="10"/>
      <c r="M1046" s="14"/>
      <c r="N1046" s="17" t="str">
        <f aca="false">IF($B1046="","",IF($L1046="已完成",IF($M1046="","",$M1046-$B1046),IF(设置!$B$6&lt;$B1046,"",IF((设置!$B$6-$B1046)&gt;=设置!$B$5,"超期"&amp;(设置!$B$6-$B1046)&amp;"天","已等"&amp;(设置!$B$6-$B1046)&amp;"天"))))</f>
        <v/>
      </c>
      <c r="O1046" s="18" t="str">
        <f aca="false">IF(OR($D1046="",$E1046=""),"",COUNTIFS($D$7:$D1046,$D1046,$E$7:$E1046,$E1046))</f>
        <v/>
      </c>
      <c r="P1046" s="16"/>
      <c r="Q1046" s="19"/>
      <c r="R1046" s="10"/>
      <c r="S1046" s="16"/>
      <c r="T1046" s="0" t="str">
        <f aca="false">IF(OR($D1046="",单元查询!$B$3=""),"",IF($D1046&lt;&gt;单元查询!$B$3,"",IF(OR(单元查询!$D$3="",$E1046&amp;""=单元查询!$D$3&amp;""),IF(ISNUMBER($B1046),$B1046*10000,0)+ROW(),"")))</f>
        <v/>
      </c>
      <c r="U1046" s="0" t="str">
        <f aca="false">IF(OR($B1046="",$L1046="已完成"),"",IF(ISNUMBER($B1046),IF(设置!$B$6&lt;$B1046,"",(设置!$B$6-$B1046)*100000+ROW()),""))</f>
        <v/>
      </c>
      <c r="V1046" s="0" t="str">
        <f aca="false">IF(ISNUMBER($O1046),IF($O1046&gt;=2,IF(COUNTIFS($D1046:$D$2006,$D1046,$E1046:$E$2006,$E1046)=1,ROW(),""),""),"")</f>
        <v/>
      </c>
    </row>
    <row r="1047" customFormat="false" ht="15" hidden="false" customHeight="true" outlineLevel="0" collapsed="false">
      <c r="A1047" s="13" t="str">
        <f aca="false">IF(AND($B1047="",$D1047="",$E1047="",$F1047=""),"",IF(OR($B1047="",$D1047="",$E1047=""),"待补",IF($D1047="公共区域","公",IF($D1047="商铺","S",SUBSTITUTE($D1047,"栋","")))&amp;"-"&amp;$E1047&amp;"-"&amp;TEXT(MONTH($B1047),"00")&amp;TEXT(DAY($B1047),"00")&amp;IF(ISNUMBER($O1047),IF($O1047&gt;1,"-"&amp;TEXT($O1047,"00"),""),"")))</f>
        <v/>
      </c>
      <c r="B1047" s="14"/>
      <c r="C1047" s="10"/>
      <c r="D1047" s="10"/>
      <c r="E1047" s="10"/>
      <c r="F1047" s="16"/>
      <c r="G1047" s="10"/>
      <c r="H1047" s="10"/>
      <c r="I1047" s="10"/>
      <c r="J1047" s="10"/>
      <c r="K1047" s="10"/>
      <c r="L1047" s="10"/>
      <c r="M1047" s="14"/>
      <c r="N1047" s="17" t="str">
        <f aca="false">IF($B1047="","",IF($L1047="已完成",IF($M1047="","",$M1047-$B1047),IF(设置!$B$6&lt;$B1047,"",IF((设置!$B$6-$B1047)&gt;=设置!$B$5,"超期"&amp;(设置!$B$6-$B1047)&amp;"天","已等"&amp;(设置!$B$6-$B1047)&amp;"天"))))</f>
        <v/>
      </c>
      <c r="O1047" s="18" t="str">
        <f aca="false">IF(OR($D1047="",$E1047=""),"",COUNTIFS($D$7:$D1047,$D1047,$E$7:$E1047,$E1047))</f>
        <v/>
      </c>
      <c r="P1047" s="16"/>
      <c r="Q1047" s="19"/>
      <c r="R1047" s="10"/>
      <c r="S1047" s="16"/>
      <c r="T1047" s="0" t="str">
        <f aca="false">IF(OR($D1047="",单元查询!$B$3=""),"",IF($D1047&lt;&gt;单元查询!$B$3,"",IF(OR(单元查询!$D$3="",$E1047&amp;""=单元查询!$D$3&amp;""),IF(ISNUMBER($B1047),$B1047*10000,0)+ROW(),"")))</f>
        <v/>
      </c>
      <c r="U1047" s="0" t="str">
        <f aca="false">IF(OR($B1047="",$L1047="已完成"),"",IF(ISNUMBER($B1047),IF(设置!$B$6&lt;$B1047,"",(设置!$B$6-$B1047)*100000+ROW()),""))</f>
        <v/>
      </c>
      <c r="V1047" s="0" t="str">
        <f aca="false">IF(ISNUMBER($O1047),IF($O1047&gt;=2,IF(COUNTIFS($D1047:$D$2006,$D1047,$E1047:$E$2006,$E1047)=1,ROW(),""),""),"")</f>
        <v/>
      </c>
    </row>
    <row r="1048" customFormat="false" ht="15" hidden="false" customHeight="true" outlineLevel="0" collapsed="false">
      <c r="A1048" s="13" t="str">
        <f aca="false">IF(AND($B1048="",$D1048="",$E1048="",$F1048=""),"",IF(OR($B1048="",$D1048="",$E1048=""),"待补",IF($D1048="公共区域","公",IF($D1048="商铺","S",SUBSTITUTE($D1048,"栋","")))&amp;"-"&amp;$E1048&amp;"-"&amp;TEXT(MONTH($B1048),"00")&amp;TEXT(DAY($B1048),"00")&amp;IF(ISNUMBER($O1048),IF($O1048&gt;1,"-"&amp;TEXT($O1048,"00"),""),"")))</f>
        <v/>
      </c>
      <c r="B1048" s="14"/>
      <c r="C1048" s="10"/>
      <c r="D1048" s="10"/>
      <c r="E1048" s="10"/>
      <c r="F1048" s="16"/>
      <c r="G1048" s="10"/>
      <c r="H1048" s="10"/>
      <c r="I1048" s="10"/>
      <c r="J1048" s="10"/>
      <c r="K1048" s="10"/>
      <c r="L1048" s="10"/>
      <c r="M1048" s="14"/>
      <c r="N1048" s="17" t="str">
        <f aca="false">IF($B1048="","",IF($L1048="已完成",IF($M1048="","",$M1048-$B1048),IF(设置!$B$6&lt;$B1048,"",IF((设置!$B$6-$B1048)&gt;=设置!$B$5,"超期"&amp;(设置!$B$6-$B1048)&amp;"天","已等"&amp;(设置!$B$6-$B1048)&amp;"天"))))</f>
        <v/>
      </c>
      <c r="O1048" s="18" t="str">
        <f aca="false">IF(OR($D1048="",$E1048=""),"",COUNTIFS($D$7:$D1048,$D1048,$E$7:$E1048,$E1048))</f>
        <v/>
      </c>
      <c r="P1048" s="16"/>
      <c r="Q1048" s="19"/>
      <c r="R1048" s="10"/>
      <c r="S1048" s="16"/>
      <c r="T1048" s="0" t="str">
        <f aca="false">IF(OR($D1048="",单元查询!$B$3=""),"",IF($D1048&lt;&gt;单元查询!$B$3,"",IF(OR(单元查询!$D$3="",$E1048&amp;""=单元查询!$D$3&amp;""),IF(ISNUMBER($B1048),$B1048*10000,0)+ROW(),"")))</f>
        <v/>
      </c>
      <c r="U1048" s="0" t="str">
        <f aca="false">IF(OR($B1048="",$L1048="已完成"),"",IF(ISNUMBER($B1048),IF(设置!$B$6&lt;$B1048,"",(设置!$B$6-$B1048)*100000+ROW()),""))</f>
        <v/>
      </c>
      <c r="V1048" s="0" t="str">
        <f aca="false">IF(ISNUMBER($O1048),IF($O1048&gt;=2,IF(COUNTIFS($D1048:$D$2006,$D1048,$E1048:$E$2006,$E1048)=1,ROW(),""),""),"")</f>
        <v/>
      </c>
    </row>
    <row r="1049" customFormat="false" ht="15" hidden="false" customHeight="true" outlineLevel="0" collapsed="false">
      <c r="A1049" s="13" t="str">
        <f aca="false">IF(AND($B1049="",$D1049="",$E1049="",$F1049=""),"",IF(OR($B1049="",$D1049="",$E1049=""),"待补",IF($D1049="公共区域","公",IF($D1049="商铺","S",SUBSTITUTE($D1049,"栋","")))&amp;"-"&amp;$E1049&amp;"-"&amp;TEXT(MONTH($B1049),"00")&amp;TEXT(DAY($B1049),"00")&amp;IF(ISNUMBER($O1049),IF($O1049&gt;1,"-"&amp;TEXT($O1049,"00"),""),"")))</f>
        <v/>
      </c>
      <c r="B1049" s="14"/>
      <c r="C1049" s="10"/>
      <c r="D1049" s="10"/>
      <c r="E1049" s="10"/>
      <c r="F1049" s="16"/>
      <c r="G1049" s="10"/>
      <c r="H1049" s="10"/>
      <c r="I1049" s="10"/>
      <c r="J1049" s="10"/>
      <c r="K1049" s="10"/>
      <c r="L1049" s="10"/>
      <c r="M1049" s="14"/>
      <c r="N1049" s="17" t="str">
        <f aca="false">IF($B1049="","",IF($L1049="已完成",IF($M1049="","",$M1049-$B1049),IF(设置!$B$6&lt;$B1049,"",IF((设置!$B$6-$B1049)&gt;=设置!$B$5,"超期"&amp;(设置!$B$6-$B1049)&amp;"天","已等"&amp;(设置!$B$6-$B1049)&amp;"天"))))</f>
        <v/>
      </c>
      <c r="O1049" s="18" t="str">
        <f aca="false">IF(OR($D1049="",$E1049=""),"",COUNTIFS($D$7:$D1049,$D1049,$E$7:$E1049,$E1049))</f>
        <v/>
      </c>
      <c r="P1049" s="16"/>
      <c r="Q1049" s="19"/>
      <c r="R1049" s="10"/>
      <c r="S1049" s="16"/>
      <c r="T1049" s="0" t="str">
        <f aca="false">IF(OR($D1049="",单元查询!$B$3=""),"",IF($D1049&lt;&gt;单元查询!$B$3,"",IF(OR(单元查询!$D$3="",$E1049&amp;""=单元查询!$D$3&amp;""),IF(ISNUMBER($B1049),$B1049*10000,0)+ROW(),"")))</f>
        <v/>
      </c>
      <c r="U1049" s="0" t="str">
        <f aca="false">IF(OR($B1049="",$L1049="已完成"),"",IF(ISNUMBER($B1049),IF(设置!$B$6&lt;$B1049,"",(设置!$B$6-$B1049)*100000+ROW()),""))</f>
        <v/>
      </c>
      <c r="V1049" s="0" t="str">
        <f aca="false">IF(ISNUMBER($O1049),IF($O1049&gt;=2,IF(COUNTIFS($D1049:$D$2006,$D1049,$E1049:$E$2006,$E1049)=1,ROW(),""),""),"")</f>
        <v/>
      </c>
    </row>
    <row r="1050" customFormat="false" ht="15" hidden="false" customHeight="true" outlineLevel="0" collapsed="false">
      <c r="A1050" s="13" t="str">
        <f aca="false">IF(AND($B1050="",$D1050="",$E1050="",$F1050=""),"",IF(OR($B1050="",$D1050="",$E1050=""),"待补",IF($D1050="公共区域","公",IF($D1050="商铺","S",SUBSTITUTE($D1050,"栋","")))&amp;"-"&amp;$E1050&amp;"-"&amp;TEXT(MONTH($B1050),"00")&amp;TEXT(DAY($B1050),"00")&amp;IF(ISNUMBER($O1050),IF($O1050&gt;1,"-"&amp;TEXT($O1050,"00"),""),"")))</f>
        <v/>
      </c>
      <c r="B1050" s="14"/>
      <c r="C1050" s="10"/>
      <c r="D1050" s="10"/>
      <c r="E1050" s="10"/>
      <c r="F1050" s="16"/>
      <c r="G1050" s="10"/>
      <c r="H1050" s="10"/>
      <c r="I1050" s="10"/>
      <c r="J1050" s="10"/>
      <c r="K1050" s="10"/>
      <c r="L1050" s="10"/>
      <c r="M1050" s="14"/>
      <c r="N1050" s="17" t="str">
        <f aca="false">IF($B1050="","",IF($L1050="已完成",IF($M1050="","",$M1050-$B1050),IF(设置!$B$6&lt;$B1050,"",IF((设置!$B$6-$B1050)&gt;=设置!$B$5,"超期"&amp;(设置!$B$6-$B1050)&amp;"天","已等"&amp;(设置!$B$6-$B1050)&amp;"天"))))</f>
        <v/>
      </c>
      <c r="O1050" s="18" t="str">
        <f aca="false">IF(OR($D1050="",$E1050=""),"",COUNTIFS($D$7:$D1050,$D1050,$E$7:$E1050,$E1050))</f>
        <v/>
      </c>
      <c r="P1050" s="16"/>
      <c r="Q1050" s="19"/>
      <c r="R1050" s="10"/>
      <c r="S1050" s="16"/>
      <c r="T1050" s="0" t="str">
        <f aca="false">IF(OR($D1050="",单元查询!$B$3=""),"",IF($D1050&lt;&gt;单元查询!$B$3,"",IF(OR(单元查询!$D$3="",$E1050&amp;""=单元查询!$D$3&amp;""),IF(ISNUMBER($B1050),$B1050*10000,0)+ROW(),"")))</f>
        <v/>
      </c>
      <c r="U1050" s="0" t="str">
        <f aca="false">IF(OR($B1050="",$L1050="已完成"),"",IF(ISNUMBER($B1050),IF(设置!$B$6&lt;$B1050,"",(设置!$B$6-$B1050)*100000+ROW()),""))</f>
        <v/>
      </c>
      <c r="V1050" s="0" t="str">
        <f aca="false">IF(ISNUMBER($O1050),IF($O1050&gt;=2,IF(COUNTIFS($D1050:$D$2006,$D1050,$E1050:$E$2006,$E1050)=1,ROW(),""),""),"")</f>
        <v/>
      </c>
    </row>
    <row r="1051" customFormat="false" ht="15" hidden="false" customHeight="true" outlineLevel="0" collapsed="false">
      <c r="A1051" s="13" t="str">
        <f aca="false">IF(AND($B1051="",$D1051="",$E1051="",$F1051=""),"",IF(OR($B1051="",$D1051="",$E1051=""),"待补",IF($D1051="公共区域","公",IF($D1051="商铺","S",SUBSTITUTE($D1051,"栋","")))&amp;"-"&amp;$E1051&amp;"-"&amp;TEXT(MONTH($B1051),"00")&amp;TEXT(DAY($B1051),"00")&amp;IF(ISNUMBER($O1051),IF($O1051&gt;1,"-"&amp;TEXT($O1051,"00"),""),"")))</f>
        <v/>
      </c>
      <c r="B1051" s="14"/>
      <c r="C1051" s="10"/>
      <c r="D1051" s="10"/>
      <c r="E1051" s="10"/>
      <c r="F1051" s="16"/>
      <c r="G1051" s="10"/>
      <c r="H1051" s="10"/>
      <c r="I1051" s="10"/>
      <c r="J1051" s="10"/>
      <c r="K1051" s="10"/>
      <c r="L1051" s="10"/>
      <c r="M1051" s="14"/>
      <c r="N1051" s="17" t="str">
        <f aca="false">IF($B1051="","",IF($L1051="已完成",IF($M1051="","",$M1051-$B1051),IF(设置!$B$6&lt;$B1051,"",IF((设置!$B$6-$B1051)&gt;=设置!$B$5,"超期"&amp;(设置!$B$6-$B1051)&amp;"天","已等"&amp;(设置!$B$6-$B1051)&amp;"天"))))</f>
        <v/>
      </c>
      <c r="O1051" s="18" t="str">
        <f aca="false">IF(OR($D1051="",$E1051=""),"",COUNTIFS($D$7:$D1051,$D1051,$E$7:$E1051,$E1051))</f>
        <v/>
      </c>
      <c r="P1051" s="16"/>
      <c r="Q1051" s="19"/>
      <c r="R1051" s="10"/>
      <c r="S1051" s="16"/>
      <c r="T1051" s="0" t="str">
        <f aca="false">IF(OR($D1051="",单元查询!$B$3=""),"",IF($D1051&lt;&gt;单元查询!$B$3,"",IF(OR(单元查询!$D$3="",$E1051&amp;""=单元查询!$D$3&amp;""),IF(ISNUMBER($B1051),$B1051*10000,0)+ROW(),"")))</f>
        <v/>
      </c>
      <c r="U1051" s="0" t="str">
        <f aca="false">IF(OR($B1051="",$L1051="已完成"),"",IF(ISNUMBER($B1051),IF(设置!$B$6&lt;$B1051,"",(设置!$B$6-$B1051)*100000+ROW()),""))</f>
        <v/>
      </c>
      <c r="V1051" s="0" t="str">
        <f aca="false">IF(ISNUMBER($O1051),IF($O1051&gt;=2,IF(COUNTIFS($D1051:$D$2006,$D1051,$E1051:$E$2006,$E1051)=1,ROW(),""),""),"")</f>
        <v/>
      </c>
    </row>
    <row r="1052" customFormat="false" ht="15" hidden="false" customHeight="true" outlineLevel="0" collapsed="false">
      <c r="A1052" s="13" t="str">
        <f aca="false">IF(AND($B1052="",$D1052="",$E1052="",$F1052=""),"",IF(OR($B1052="",$D1052="",$E1052=""),"待补",IF($D1052="公共区域","公",IF($D1052="商铺","S",SUBSTITUTE($D1052,"栋","")))&amp;"-"&amp;$E1052&amp;"-"&amp;TEXT(MONTH($B1052),"00")&amp;TEXT(DAY($B1052),"00")&amp;IF(ISNUMBER($O1052),IF($O1052&gt;1,"-"&amp;TEXT($O1052,"00"),""),"")))</f>
        <v/>
      </c>
      <c r="B1052" s="14"/>
      <c r="C1052" s="10"/>
      <c r="D1052" s="10"/>
      <c r="E1052" s="10"/>
      <c r="F1052" s="16"/>
      <c r="G1052" s="10"/>
      <c r="H1052" s="10"/>
      <c r="I1052" s="10"/>
      <c r="J1052" s="10"/>
      <c r="K1052" s="10"/>
      <c r="L1052" s="10"/>
      <c r="M1052" s="14"/>
      <c r="N1052" s="17" t="str">
        <f aca="false">IF($B1052="","",IF($L1052="已完成",IF($M1052="","",$M1052-$B1052),IF(设置!$B$6&lt;$B1052,"",IF((设置!$B$6-$B1052)&gt;=设置!$B$5,"超期"&amp;(设置!$B$6-$B1052)&amp;"天","已等"&amp;(设置!$B$6-$B1052)&amp;"天"))))</f>
        <v/>
      </c>
      <c r="O1052" s="18" t="str">
        <f aca="false">IF(OR($D1052="",$E1052=""),"",COUNTIFS($D$7:$D1052,$D1052,$E$7:$E1052,$E1052))</f>
        <v/>
      </c>
      <c r="P1052" s="16"/>
      <c r="Q1052" s="19"/>
      <c r="R1052" s="10"/>
      <c r="S1052" s="16"/>
      <c r="T1052" s="0" t="str">
        <f aca="false">IF(OR($D1052="",单元查询!$B$3=""),"",IF($D1052&lt;&gt;单元查询!$B$3,"",IF(OR(单元查询!$D$3="",$E1052&amp;""=单元查询!$D$3&amp;""),IF(ISNUMBER($B1052),$B1052*10000,0)+ROW(),"")))</f>
        <v/>
      </c>
      <c r="U1052" s="0" t="str">
        <f aca="false">IF(OR($B1052="",$L1052="已完成"),"",IF(ISNUMBER($B1052),IF(设置!$B$6&lt;$B1052,"",(设置!$B$6-$B1052)*100000+ROW()),""))</f>
        <v/>
      </c>
      <c r="V1052" s="0" t="str">
        <f aca="false">IF(ISNUMBER($O1052),IF($O1052&gt;=2,IF(COUNTIFS($D1052:$D$2006,$D1052,$E1052:$E$2006,$E1052)=1,ROW(),""),""),"")</f>
        <v/>
      </c>
    </row>
    <row r="1053" customFormat="false" ht="15" hidden="false" customHeight="true" outlineLevel="0" collapsed="false">
      <c r="A1053" s="13" t="str">
        <f aca="false">IF(AND($B1053="",$D1053="",$E1053="",$F1053=""),"",IF(OR($B1053="",$D1053="",$E1053=""),"待补",IF($D1053="公共区域","公",IF($D1053="商铺","S",SUBSTITUTE($D1053,"栋","")))&amp;"-"&amp;$E1053&amp;"-"&amp;TEXT(MONTH($B1053),"00")&amp;TEXT(DAY($B1053),"00")&amp;IF(ISNUMBER($O1053),IF($O1053&gt;1,"-"&amp;TEXT($O1053,"00"),""),"")))</f>
        <v/>
      </c>
      <c r="B1053" s="14"/>
      <c r="C1053" s="10"/>
      <c r="D1053" s="10"/>
      <c r="E1053" s="10"/>
      <c r="F1053" s="16"/>
      <c r="G1053" s="10"/>
      <c r="H1053" s="10"/>
      <c r="I1053" s="10"/>
      <c r="J1053" s="10"/>
      <c r="K1053" s="10"/>
      <c r="L1053" s="10"/>
      <c r="M1053" s="14"/>
      <c r="N1053" s="17" t="str">
        <f aca="false">IF($B1053="","",IF($L1053="已完成",IF($M1053="","",$M1053-$B1053),IF(设置!$B$6&lt;$B1053,"",IF((设置!$B$6-$B1053)&gt;=设置!$B$5,"超期"&amp;(设置!$B$6-$B1053)&amp;"天","已等"&amp;(设置!$B$6-$B1053)&amp;"天"))))</f>
        <v/>
      </c>
      <c r="O1053" s="18" t="str">
        <f aca="false">IF(OR($D1053="",$E1053=""),"",COUNTIFS($D$7:$D1053,$D1053,$E$7:$E1053,$E1053))</f>
        <v/>
      </c>
      <c r="P1053" s="16"/>
      <c r="Q1053" s="19"/>
      <c r="R1053" s="10"/>
      <c r="S1053" s="16"/>
      <c r="T1053" s="0" t="str">
        <f aca="false">IF(OR($D1053="",单元查询!$B$3=""),"",IF($D1053&lt;&gt;单元查询!$B$3,"",IF(OR(单元查询!$D$3="",$E1053&amp;""=单元查询!$D$3&amp;""),IF(ISNUMBER($B1053),$B1053*10000,0)+ROW(),"")))</f>
        <v/>
      </c>
      <c r="U1053" s="0" t="str">
        <f aca="false">IF(OR($B1053="",$L1053="已完成"),"",IF(ISNUMBER($B1053),IF(设置!$B$6&lt;$B1053,"",(设置!$B$6-$B1053)*100000+ROW()),""))</f>
        <v/>
      </c>
      <c r="V1053" s="0" t="str">
        <f aca="false">IF(ISNUMBER($O1053),IF($O1053&gt;=2,IF(COUNTIFS($D1053:$D$2006,$D1053,$E1053:$E$2006,$E1053)=1,ROW(),""),""),"")</f>
        <v/>
      </c>
    </row>
    <row r="1054" customFormat="false" ht="15" hidden="false" customHeight="true" outlineLevel="0" collapsed="false">
      <c r="A1054" s="13" t="str">
        <f aca="false">IF(AND($B1054="",$D1054="",$E1054="",$F1054=""),"",IF(OR($B1054="",$D1054="",$E1054=""),"待补",IF($D1054="公共区域","公",IF($D1054="商铺","S",SUBSTITUTE($D1054,"栋","")))&amp;"-"&amp;$E1054&amp;"-"&amp;TEXT(MONTH($B1054),"00")&amp;TEXT(DAY($B1054),"00")&amp;IF(ISNUMBER($O1054),IF($O1054&gt;1,"-"&amp;TEXT($O1054,"00"),""),"")))</f>
        <v/>
      </c>
      <c r="B1054" s="14"/>
      <c r="C1054" s="10"/>
      <c r="D1054" s="10"/>
      <c r="E1054" s="10"/>
      <c r="F1054" s="16"/>
      <c r="G1054" s="10"/>
      <c r="H1054" s="10"/>
      <c r="I1054" s="10"/>
      <c r="J1054" s="10"/>
      <c r="K1054" s="10"/>
      <c r="L1054" s="10"/>
      <c r="M1054" s="14"/>
      <c r="N1054" s="17" t="str">
        <f aca="false">IF($B1054="","",IF($L1054="已完成",IF($M1054="","",$M1054-$B1054),IF(设置!$B$6&lt;$B1054,"",IF((设置!$B$6-$B1054)&gt;=设置!$B$5,"超期"&amp;(设置!$B$6-$B1054)&amp;"天","已等"&amp;(设置!$B$6-$B1054)&amp;"天"))))</f>
        <v/>
      </c>
      <c r="O1054" s="18" t="str">
        <f aca="false">IF(OR($D1054="",$E1054=""),"",COUNTIFS($D$7:$D1054,$D1054,$E$7:$E1054,$E1054))</f>
        <v/>
      </c>
      <c r="P1054" s="16"/>
      <c r="Q1054" s="19"/>
      <c r="R1054" s="10"/>
      <c r="S1054" s="16"/>
      <c r="T1054" s="0" t="str">
        <f aca="false">IF(OR($D1054="",单元查询!$B$3=""),"",IF($D1054&lt;&gt;单元查询!$B$3,"",IF(OR(单元查询!$D$3="",$E1054&amp;""=单元查询!$D$3&amp;""),IF(ISNUMBER($B1054),$B1054*10000,0)+ROW(),"")))</f>
        <v/>
      </c>
      <c r="U1054" s="0" t="str">
        <f aca="false">IF(OR($B1054="",$L1054="已完成"),"",IF(ISNUMBER($B1054),IF(设置!$B$6&lt;$B1054,"",(设置!$B$6-$B1054)*100000+ROW()),""))</f>
        <v/>
      </c>
      <c r="V1054" s="0" t="str">
        <f aca="false">IF(ISNUMBER($O1054),IF($O1054&gt;=2,IF(COUNTIFS($D1054:$D$2006,$D1054,$E1054:$E$2006,$E1054)=1,ROW(),""),""),"")</f>
        <v/>
      </c>
    </row>
    <row r="1055" customFormat="false" ht="15" hidden="false" customHeight="true" outlineLevel="0" collapsed="false">
      <c r="A1055" s="13" t="str">
        <f aca="false">IF(AND($B1055="",$D1055="",$E1055="",$F1055=""),"",IF(OR($B1055="",$D1055="",$E1055=""),"待补",IF($D1055="公共区域","公",IF($D1055="商铺","S",SUBSTITUTE($D1055,"栋","")))&amp;"-"&amp;$E1055&amp;"-"&amp;TEXT(MONTH($B1055),"00")&amp;TEXT(DAY($B1055),"00")&amp;IF(ISNUMBER($O1055),IF($O1055&gt;1,"-"&amp;TEXT($O1055,"00"),""),"")))</f>
        <v/>
      </c>
      <c r="B1055" s="14"/>
      <c r="C1055" s="10"/>
      <c r="D1055" s="10"/>
      <c r="E1055" s="10"/>
      <c r="F1055" s="16"/>
      <c r="G1055" s="10"/>
      <c r="H1055" s="10"/>
      <c r="I1055" s="10"/>
      <c r="J1055" s="10"/>
      <c r="K1055" s="10"/>
      <c r="L1055" s="10"/>
      <c r="M1055" s="14"/>
      <c r="N1055" s="17" t="str">
        <f aca="false">IF($B1055="","",IF($L1055="已完成",IF($M1055="","",$M1055-$B1055),IF(设置!$B$6&lt;$B1055,"",IF((设置!$B$6-$B1055)&gt;=设置!$B$5,"超期"&amp;(设置!$B$6-$B1055)&amp;"天","已等"&amp;(设置!$B$6-$B1055)&amp;"天"))))</f>
        <v/>
      </c>
      <c r="O1055" s="18" t="str">
        <f aca="false">IF(OR($D1055="",$E1055=""),"",COUNTIFS($D$7:$D1055,$D1055,$E$7:$E1055,$E1055))</f>
        <v/>
      </c>
      <c r="P1055" s="16"/>
      <c r="Q1055" s="19"/>
      <c r="R1055" s="10"/>
      <c r="S1055" s="16"/>
      <c r="T1055" s="0" t="str">
        <f aca="false">IF(OR($D1055="",单元查询!$B$3=""),"",IF($D1055&lt;&gt;单元查询!$B$3,"",IF(OR(单元查询!$D$3="",$E1055&amp;""=单元查询!$D$3&amp;""),IF(ISNUMBER($B1055),$B1055*10000,0)+ROW(),"")))</f>
        <v/>
      </c>
      <c r="U1055" s="0" t="str">
        <f aca="false">IF(OR($B1055="",$L1055="已完成"),"",IF(ISNUMBER($B1055),IF(设置!$B$6&lt;$B1055,"",(设置!$B$6-$B1055)*100000+ROW()),""))</f>
        <v/>
      </c>
      <c r="V1055" s="0" t="str">
        <f aca="false">IF(ISNUMBER($O1055),IF($O1055&gt;=2,IF(COUNTIFS($D1055:$D$2006,$D1055,$E1055:$E$2006,$E1055)=1,ROW(),""),""),"")</f>
        <v/>
      </c>
    </row>
    <row r="1056" customFormat="false" ht="15" hidden="false" customHeight="true" outlineLevel="0" collapsed="false">
      <c r="A1056" s="13" t="str">
        <f aca="false">IF(AND($B1056="",$D1056="",$E1056="",$F1056=""),"",IF(OR($B1056="",$D1056="",$E1056=""),"待补",IF($D1056="公共区域","公",IF($D1056="商铺","S",SUBSTITUTE($D1056,"栋","")))&amp;"-"&amp;$E1056&amp;"-"&amp;TEXT(MONTH($B1056),"00")&amp;TEXT(DAY($B1056),"00")&amp;IF(ISNUMBER($O1056),IF($O1056&gt;1,"-"&amp;TEXT($O1056,"00"),""),"")))</f>
        <v/>
      </c>
      <c r="B1056" s="14"/>
      <c r="C1056" s="10"/>
      <c r="D1056" s="10"/>
      <c r="E1056" s="10"/>
      <c r="F1056" s="16"/>
      <c r="G1056" s="10"/>
      <c r="H1056" s="10"/>
      <c r="I1056" s="10"/>
      <c r="J1056" s="10"/>
      <c r="K1056" s="10"/>
      <c r="L1056" s="10"/>
      <c r="M1056" s="14"/>
      <c r="N1056" s="17" t="str">
        <f aca="false">IF($B1056="","",IF($L1056="已完成",IF($M1056="","",$M1056-$B1056),IF(设置!$B$6&lt;$B1056,"",IF((设置!$B$6-$B1056)&gt;=设置!$B$5,"超期"&amp;(设置!$B$6-$B1056)&amp;"天","已等"&amp;(设置!$B$6-$B1056)&amp;"天"))))</f>
        <v/>
      </c>
      <c r="O1056" s="18" t="str">
        <f aca="false">IF(OR($D1056="",$E1056=""),"",COUNTIFS($D$7:$D1056,$D1056,$E$7:$E1056,$E1056))</f>
        <v/>
      </c>
      <c r="P1056" s="16"/>
      <c r="Q1056" s="19"/>
      <c r="R1056" s="10"/>
      <c r="S1056" s="16"/>
      <c r="T1056" s="0" t="str">
        <f aca="false">IF(OR($D1056="",单元查询!$B$3=""),"",IF($D1056&lt;&gt;单元查询!$B$3,"",IF(OR(单元查询!$D$3="",$E1056&amp;""=单元查询!$D$3&amp;""),IF(ISNUMBER($B1056),$B1056*10000,0)+ROW(),"")))</f>
        <v/>
      </c>
      <c r="U1056" s="0" t="str">
        <f aca="false">IF(OR($B1056="",$L1056="已完成"),"",IF(ISNUMBER($B1056),IF(设置!$B$6&lt;$B1056,"",(设置!$B$6-$B1056)*100000+ROW()),""))</f>
        <v/>
      </c>
      <c r="V1056" s="0" t="str">
        <f aca="false">IF(ISNUMBER($O1056),IF($O1056&gt;=2,IF(COUNTIFS($D1056:$D$2006,$D1056,$E1056:$E$2006,$E1056)=1,ROW(),""),""),"")</f>
        <v/>
      </c>
    </row>
    <row r="1057" customFormat="false" ht="15" hidden="false" customHeight="true" outlineLevel="0" collapsed="false">
      <c r="A1057" s="13" t="str">
        <f aca="false">IF(AND($B1057="",$D1057="",$E1057="",$F1057=""),"",IF(OR($B1057="",$D1057="",$E1057=""),"待补",IF($D1057="公共区域","公",IF($D1057="商铺","S",SUBSTITUTE($D1057,"栋","")))&amp;"-"&amp;$E1057&amp;"-"&amp;TEXT(MONTH($B1057),"00")&amp;TEXT(DAY($B1057),"00")&amp;IF(ISNUMBER($O1057),IF($O1057&gt;1,"-"&amp;TEXT($O1057,"00"),""),"")))</f>
        <v/>
      </c>
      <c r="B1057" s="14"/>
      <c r="C1057" s="10"/>
      <c r="D1057" s="10"/>
      <c r="E1057" s="10"/>
      <c r="F1057" s="16"/>
      <c r="G1057" s="10"/>
      <c r="H1057" s="10"/>
      <c r="I1057" s="10"/>
      <c r="J1057" s="10"/>
      <c r="K1057" s="10"/>
      <c r="L1057" s="10"/>
      <c r="M1057" s="14"/>
      <c r="N1057" s="17" t="str">
        <f aca="false">IF($B1057="","",IF($L1057="已完成",IF($M1057="","",$M1057-$B1057),IF(设置!$B$6&lt;$B1057,"",IF((设置!$B$6-$B1057)&gt;=设置!$B$5,"超期"&amp;(设置!$B$6-$B1057)&amp;"天","已等"&amp;(设置!$B$6-$B1057)&amp;"天"))))</f>
        <v/>
      </c>
      <c r="O1057" s="18" t="str">
        <f aca="false">IF(OR($D1057="",$E1057=""),"",COUNTIFS($D$7:$D1057,$D1057,$E$7:$E1057,$E1057))</f>
        <v/>
      </c>
      <c r="P1057" s="16"/>
      <c r="Q1057" s="19"/>
      <c r="R1057" s="10"/>
      <c r="S1057" s="16"/>
      <c r="T1057" s="0" t="str">
        <f aca="false">IF(OR($D1057="",单元查询!$B$3=""),"",IF($D1057&lt;&gt;单元查询!$B$3,"",IF(OR(单元查询!$D$3="",$E1057&amp;""=单元查询!$D$3&amp;""),IF(ISNUMBER($B1057),$B1057*10000,0)+ROW(),"")))</f>
        <v/>
      </c>
      <c r="U1057" s="0" t="str">
        <f aca="false">IF(OR($B1057="",$L1057="已完成"),"",IF(ISNUMBER($B1057),IF(设置!$B$6&lt;$B1057,"",(设置!$B$6-$B1057)*100000+ROW()),""))</f>
        <v/>
      </c>
      <c r="V1057" s="0" t="str">
        <f aca="false">IF(ISNUMBER($O1057),IF($O1057&gt;=2,IF(COUNTIFS($D1057:$D$2006,$D1057,$E1057:$E$2006,$E1057)=1,ROW(),""),""),"")</f>
        <v/>
      </c>
    </row>
    <row r="1058" customFormat="false" ht="15" hidden="false" customHeight="true" outlineLevel="0" collapsed="false">
      <c r="A1058" s="13" t="str">
        <f aca="false">IF(AND($B1058="",$D1058="",$E1058="",$F1058=""),"",IF(OR($B1058="",$D1058="",$E1058=""),"待补",IF($D1058="公共区域","公",IF($D1058="商铺","S",SUBSTITUTE($D1058,"栋","")))&amp;"-"&amp;$E1058&amp;"-"&amp;TEXT(MONTH($B1058),"00")&amp;TEXT(DAY($B1058),"00")&amp;IF(ISNUMBER($O1058),IF($O1058&gt;1,"-"&amp;TEXT($O1058,"00"),""),"")))</f>
        <v/>
      </c>
      <c r="B1058" s="14"/>
      <c r="C1058" s="10"/>
      <c r="D1058" s="10"/>
      <c r="E1058" s="10"/>
      <c r="F1058" s="16"/>
      <c r="G1058" s="10"/>
      <c r="H1058" s="10"/>
      <c r="I1058" s="10"/>
      <c r="J1058" s="10"/>
      <c r="K1058" s="10"/>
      <c r="L1058" s="10"/>
      <c r="M1058" s="14"/>
      <c r="N1058" s="17" t="str">
        <f aca="false">IF($B1058="","",IF($L1058="已完成",IF($M1058="","",$M1058-$B1058),IF(设置!$B$6&lt;$B1058,"",IF((设置!$B$6-$B1058)&gt;=设置!$B$5,"超期"&amp;(设置!$B$6-$B1058)&amp;"天","已等"&amp;(设置!$B$6-$B1058)&amp;"天"))))</f>
        <v/>
      </c>
      <c r="O1058" s="18" t="str">
        <f aca="false">IF(OR($D1058="",$E1058=""),"",COUNTIFS($D$7:$D1058,$D1058,$E$7:$E1058,$E1058))</f>
        <v/>
      </c>
      <c r="P1058" s="16"/>
      <c r="Q1058" s="19"/>
      <c r="R1058" s="10"/>
      <c r="S1058" s="16"/>
      <c r="T1058" s="0" t="str">
        <f aca="false">IF(OR($D1058="",单元查询!$B$3=""),"",IF($D1058&lt;&gt;单元查询!$B$3,"",IF(OR(单元查询!$D$3="",$E1058&amp;""=单元查询!$D$3&amp;""),IF(ISNUMBER($B1058),$B1058*10000,0)+ROW(),"")))</f>
        <v/>
      </c>
      <c r="U1058" s="0" t="str">
        <f aca="false">IF(OR($B1058="",$L1058="已完成"),"",IF(ISNUMBER($B1058),IF(设置!$B$6&lt;$B1058,"",(设置!$B$6-$B1058)*100000+ROW()),""))</f>
        <v/>
      </c>
      <c r="V1058" s="0" t="str">
        <f aca="false">IF(ISNUMBER($O1058),IF($O1058&gt;=2,IF(COUNTIFS($D1058:$D$2006,$D1058,$E1058:$E$2006,$E1058)=1,ROW(),""),""),"")</f>
        <v/>
      </c>
    </row>
    <row r="1059" customFormat="false" ht="15" hidden="false" customHeight="true" outlineLevel="0" collapsed="false">
      <c r="A1059" s="13" t="str">
        <f aca="false">IF(AND($B1059="",$D1059="",$E1059="",$F1059=""),"",IF(OR($B1059="",$D1059="",$E1059=""),"待补",IF($D1059="公共区域","公",IF($D1059="商铺","S",SUBSTITUTE($D1059,"栋","")))&amp;"-"&amp;$E1059&amp;"-"&amp;TEXT(MONTH($B1059),"00")&amp;TEXT(DAY($B1059),"00")&amp;IF(ISNUMBER($O1059),IF($O1059&gt;1,"-"&amp;TEXT($O1059,"00"),""),"")))</f>
        <v/>
      </c>
      <c r="B1059" s="14"/>
      <c r="C1059" s="10"/>
      <c r="D1059" s="10"/>
      <c r="E1059" s="10"/>
      <c r="F1059" s="16"/>
      <c r="G1059" s="10"/>
      <c r="H1059" s="10"/>
      <c r="I1059" s="10"/>
      <c r="J1059" s="10"/>
      <c r="K1059" s="10"/>
      <c r="L1059" s="10"/>
      <c r="M1059" s="14"/>
      <c r="N1059" s="17" t="str">
        <f aca="false">IF($B1059="","",IF($L1059="已完成",IF($M1059="","",$M1059-$B1059),IF(设置!$B$6&lt;$B1059,"",IF((设置!$B$6-$B1059)&gt;=设置!$B$5,"超期"&amp;(设置!$B$6-$B1059)&amp;"天","已等"&amp;(设置!$B$6-$B1059)&amp;"天"))))</f>
        <v/>
      </c>
      <c r="O1059" s="18" t="str">
        <f aca="false">IF(OR($D1059="",$E1059=""),"",COUNTIFS($D$7:$D1059,$D1059,$E$7:$E1059,$E1059))</f>
        <v/>
      </c>
      <c r="P1059" s="16"/>
      <c r="Q1059" s="19"/>
      <c r="R1059" s="10"/>
      <c r="S1059" s="16"/>
      <c r="T1059" s="0" t="str">
        <f aca="false">IF(OR($D1059="",单元查询!$B$3=""),"",IF($D1059&lt;&gt;单元查询!$B$3,"",IF(OR(单元查询!$D$3="",$E1059&amp;""=单元查询!$D$3&amp;""),IF(ISNUMBER($B1059),$B1059*10000,0)+ROW(),"")))</f>
        <v/>
      </c>
      <c r="U1059" s="0" t="str">
        <f aca="false">IF(OR($B1059="",$L1059="已完成"),"",IF(ISNUMBER($B1059),IF(设置!$B$6&lt;$B1059,"",(设置!$B$6-$B1059)*100000+ROW()),""))</f>
        <v/>
      </c>
      <c r="V1059" s="0" t="str">
        <f aca="false">IF(ISNUMBER($O1059),IF($O1059&gt;=2,IF(COUNTIFS($D1059:$D$2006,$D1059,$E1059:$E$2006,$E1059)=1,ROW(),""),""),"")</f>
        <v/>
      </c>
    </row>
    <row r="1060" customFormat="false" ht="15" hidden="false" customHeight="true" outlineLevel="0" collapsed="false">
      <c r="A1060" s="13" t="str">
        <f aca="false">IF(AND($B1060="",$D1060="",$E1060="",$F1060=""),"",IF(OR($B1060="",$D1060="",$E1060=""),"待补",IF($D1060="公共区域","公",IF($D1060="商铺","S",SUBSTITUTE($D1060,"栋","")))&amp;"-"&amp;$E1060&amp;"-"&amp;TEXT(MONTH($B1060),"00")&amp;TEXT(DAY($B1060),"00")&amp;IF(ISNUMBER($O1060),IF($O1060&gt;1,"-"&amp;TEXT($O1060,"00"),""),"")))</f>
        <v/>
      </c>
      <c r="B1060" s="14"/>
      <c r="C1060" s="10"/>
      <c r="D1060" s="10"/>
      <c r="E1060" s="10"/>
      <c r="F1060" s="16"/>
      <c r="G1060" s="10"/>
      <c r="H1060" s="10"/>
      <c r="I1060" s="10"/>
      <c r="J1060" s="10"/>
      <c r="K1060" s="10"/>
      <c r="L1060" s="10"/>
      <c r="M1060" s="14"/>
      <c r="N1060" s="17" t="str">
        <f aca="false">IF($B1060="","",IF($L1060="已完成",IF($M1060="","",$M1060-$B1060),IF(设置!$B$6&lt;$B1060,"",IF((设置!$B$6-$B1060)&gt;=设置!$B$5,"超期"&amp;(设置!$B$6-$B1060)&amp;"天","已等"&amp;(设置!$B$6-$B1060)&amp;"天"))))</f>
        <v/>
      </c>
      <c r="O1060" s="18" t="str">
        <f aca="false">IF(OR($D1060="",$E1060=""),"",COUNTIFS($D$7:$D1060,$D1060,$E$7:$E1060,$E1060))</f>
        <v/>
      </c>
      <c r="P1060" s="16"/>
      <c r="Q1060" s="19"/>
      <c r="R1060" s="10"/>
      <c r="S1060" s="16"/>
      <c r="T1060" s="0" t="str">
        <f aca="false">IF(OR($D1060="",单元查询!$B$3=""),"",IF($D1060&lt;&gt;单元查询!$B$3,"",IF(OR(单元查询!$D$3="",$E1060&amp;""=单元查询!$D$3&amp;""),IF(ISNUMBER($B1060),$B1060*10000,0)+ROW(),"")))</f>
        <v/>
      </c>
      <c r="U1060" s="0" t="str">
        <f aca="false">IF(OR($B1060="",$L1060="已完成"),"",IF(ISNUMBER($B1060),IF(设置!$B$6&lt;$B1060,"",(设置!$B$6-$B1060)*100000+ROW()),""))</f>
        <v/>
      </c>
      <c r="V1060" s="0" t="str">
        <f aca="false">IF(ISNUMBER($O1060),IF($O1060&gt;=2,IF(COUNTIFS($D1060:$D$2006,$D1060,$E1060:$E$2006,$E1060)=1,ROW(),""),""),"")</f>
        <v/>
      </c>
    </row>
    <row r="1061" customFormat="false" ht="15" hidden="false" customHeight="true" outlineLevel="0" collapsed="false">
      <c r="A1061" s="13" t="str">
        <f aca="false">IF(AND($B1061="",$D1061="",$E1061="",$F1061=""),"",IF(OR($B1061="",$D1061="",$E1061=""),"待补",IF($D1061="公共区域","公",IF($D1061="商铺","S",SUBSTITUTE($D1061,"栋","")))&amp;"-"&amp;$E1061&amp;"-"&amp;TEXT(MONTH($B1061),"00")&amp;TEXT(DAY($B1061),"00")&amp;IF(ISNUMBER($O1061),IF($O1061&gt;1,"-"&amp;TEXT($O1061,"00"),""),"")))</f>
        <v/>
      </c>
      <c r="B1061" s="14"/>
      <c r="C1061" s="10"/>
      <c r="D1061" s="10"/>
      <c r="E1061" s="10"/>
      <c r="F1061" s="16"/>
      <c r="G1061" s="10"/>
      <c r="H1061" s="10"/>
      <c r="I1061" s="10"/>
      <c r="J1061" s="10"/>
      <c r="K1061" s="10"/>
      <c r="L1061" s="10"/>
      <c r="M1061" s="14"/>
      <c r="N1061" s="17" t="str">
        <f aca="false">IF($B1061="","",IF($L1061="已完成",IF($M1061="","",$M1061-$B1061),IF(设置!$B$6&lt;$B1061,"",IF((设置!$B$6-$B1061)&gt;=设置!$B$5,"超期"&amp;(设置!$B$6-$B1061)&amp;"天","已等"&amp;(设置!$B$6-$B1061)&amp;"天"))))</f>
        <v/>
      </c>
      <c r="O1061" s="18" t="str">
        <f aca="false">IF(OR($D1061="",$E1061=""),"",COUNTIFS($D$7:$D1061,$D1061,$E$7:$E1061,$E1061))</f>
        <v/>
      </c>
      <c r="P1061" s="16"/>
      <c r="Q1061" s="19"/>
      <c r="R1061" s="10"/>
      <c r="S1061" s="16"/>
      <c r="T1061" s="0" t="str">
        <f aca="false">IF(OR($D1061="",单元查询!$B$3=""),"",IF($D1061&lt;&gt;单元查询!$B$3,"",IF(OR(单元查询!$D$3="",$E1061&amp;""=单元查询!$D$3&amp;""),IF(ISNUMBER($B1061),$B1061*10000,0)+ROW(),"")))</f>
        <v/>
      </c>
      <c r="U1061" s="0" t="str">
        <f aca="false">IF(OR($B1061="",$L1061="已完成"),"",IF(ISNUMBER($B1061),IF(设置!$B$6&lt;$B1061,"",(设置!$B$6-$B1061)*100000+ROW()),""))</f>
        <v/>
      </c>
      <c r="V1061" s="0" t="str">
        <f aca="false">IF(ISNUMBER($O1061),IF($O1061&gt;=2,IF(COUNTIFS($D1061:$D$2006,$D1061,$E1061:$E$2006,$E1061)=1,ROW(),""),""),"")</f>
        <v/>
      </c>
    </row>
    <row r="1062" customFormat="false" ht="15" hidden="false" customHeight="true" outlineLevel="0" collapsed="false">
      <c r="A1062" s="13" t="str">
        <f aca="false">IF(AND($B1062="",$D1062="",$E1062="",$F1062=""),"",IF(OR($B1062="",$D1062="",$E1062=""),"待补",IF($D1062="公共区域","公",IF($D1062="商铺","S",SUBSTITUTE($D1062,"栋","")))&amp;"-"&amp;$E1062&amp;"-"&amp;TEXT(MONTH($B1062),"00")&amp;TEXT(DAY($B1062),"00")&amp;IF(ISNUMBER($O1062),IF($O1062&gt;1,"-"&amp;TEXT($O1062,"00"),""),"")))</f>
        <v/>
      </c>
      <c r="B1062" s="14"/>
      <c r="C1062" s="10"/>
      <c r="D1062" s="10"/>
      <c r="E1062" s="10"/>
      <c r="F1062" s="16"/>
      <c r="G1062" s="10"/>
      <c r="H1062" s="10"/>
      <c r="I1062" s="10"/>
      <c r="J1062" s="10"/>
      <c r="K1062" s="10"/>
      <c r="L1062" s="10"/>
      <c r="M1062" s="14"/>
      <c r="N1062" s="17" t="str">
        <f aca="false">IF($B1062="","",IF($L1062="已完成",IF($M1062="","",$M1062-$B1062),IF(设置!$B$6&lt;$B1062,"",IF((设置!$B$6-$B1062)&gt;=设置!$B$5,"超期"&amp;(设置!$B$6-$B1062)&amp;"天","已等"&amp;(设置!$B$6-$B1062)&amp;"天"))))</f>
        <v/>
      </c>
      <c r="O1062" s="18" t="str">
        <f aca="false">IF(OR($D1062="",$E1062=""),"",COUNTIFS($D$7:$D1062,$D1062,$E$7:$E1062,$E1062))</f>
        <v/>
      </c>
      <c r="P1062" s="16"/>
      <c r="Q1062" s="19"/>
      <c r="R1062" s="10"/>
      <c r="S1062" s="16"/>
      <c r="T1062" s="0" t="str">
        <f aca="false">IF(OR($D1062="",单元查询!$B$3=""),"",IF($D1062&lt;&gt;单元查询!$B$3,"",IF(OR(单元查询!$D$3="",$E1062&amp;""=单元查询!$D$3&amp;""),IF(ISNUMBER($B1062),$B1062*10000,0)+ROW(),"")))</f>
        <v/>
      </c>
      <c r="U1062" s="0" t="str">
        <f aca="false">IF(OR($B1062="",$L1062="已完成"),"",IF(ISNUMBER($B1062),IF(设置!$B$6&lt;$B1062,"",(设置!$B$6-$B1062)*100000+ROW()),""))</f>
        <v/>
      </c>
      <c r="V1062" s="0" t="str">
        <f aca="false">IF(ISNUMBER($O1062),IF($O1062&gt;=2,IF(COUNTIFS($D1062:$D$2006,$D1062,$E1062:$E$2006,$E1062)=1,ROW(),""),""),"")</f>
        <v/>
      </c>
    </row>
    <row r="1063" customFormat="false" ht="15" hidden="false" customHeight="true" outlineLevel="0" collapsed="false">
      <c r="A1063" s="13" t="str">
        <f aca="false">IF(AND($B1063="",$D1063="",$E1063="",$F1063=""),"",IF(OR($B1063="",$D1063="",$E1063=""),"待补",IF($D1063="公共区域","公",IF($D1063="商铺","S",SUBSTITUTE($D1063,"栋","")))&amp;"-"&amp;$E1063&amp;"-"&amp;TEXT(MONTH($B1063),"00")&amp;TEXT(DAY($B1063),"00")&amp;IF(ISNUMBER($O1063),IF($O1063&gt;1,"-"&amp;TEXT($O1063,"00"),""),"")))</f>
        <v/>
      </c>
      <c r="B1063" s="14"/>
      <c r="C1063" s="10"/>
      <c r="D1063" s="10"/>
      <c r="E1063" s="10"/>
      <c r="F1063" s="16"/>
      <c r="G1063" s="10"/>
      <c r="H1063" s="10"/>
      <c r="I1063" s="10"/>
      <c r="J1063" s="10"/>
      <c r="K1063" s="10"/>
      <c r="L1063" s="10"/>
      <c r="M1063" s="14"/>
      <c r="N1063" s="17" t="str">
        <f aca="false">IF($B1063="","",IF($L1063="已完成",IF($M1063="","",$M1063-$B1063),IF(设置!$B$6&lt;$B1063,"",IF((设置!$B$6-$B1063)&gt;=设置!$B$5,"超期"&amp;(设置!$B$6-$B1063)&amp;"天","已等"&amp;(设置!$B$6-$B1063)&amp;"天"))))</f>
        <v/>
      </c>
      <c r="O1063" s="18" t="str">
        <f aca="false">IF(OR($D1063="",$E1063=""),"",COUNTIFS($D$7:$D1063,$D1063,$E$7:$E1063,$E1063))</f>
        <v/>
      </c>
      <c r="P1063" s="16"/>
      <c r="Q1063" s="19"/>
      <c r="R1063" s="10"/>
      <c r="S1063" s="16"/>
      <c r="T1063" s="0" t="str">
        <f aca="false">IF(OR($D1063="",单元查询!$B$3=""),"",IF($D1063&lt;&gt;单元查询!$B$3,"",IF(OR(单元查询!$D$3="",$E1063&amp;""=单元查询!$D$3&amp;""),IF(ISNUMBER($B1063),$B1063*10000,0)+ROW(),"")))</f>
        <v/>
      </c>
      <c r="U1063" s="0" t="str">
        <f aca="false">IF(OR($B1063="",$L1063="已完成"),"",IF(ISNUMBER($B1063),IF(设置!$B$6&lt;$B1063,"",(设置!$B$6-$B1063)*100000+ROW()),""))</f>
        <v/>
      </c>
      <c r="V1063" s="0" t="str">
        <f aca="false">IF(ISNUMBER($O1063),IF($O1063&gt;=2,IF(COUNTIFS($D1063:$D$2006,$D1063,$E1063:$E$2006,$E1063)=1,ROW(),""),""),"")</f>
        <v/>
      </c>
    </row>
    <row r="1064" customFormat="false" ht="15" hidden="false" customHeight="true" outlineLevel="0" collapsed="false">
      <c r="A1064" s="13" t="str">
        <f aca="false">IF(AND($B1064="",$D1064="",$E1064="",$F1064=""),"",IF(OR($B1064="",$D1064="",$E1064=""),"待补",IF($D1064="公共区域","公",IF($D1064="商铺","S",SUBSTITUTE($D1064,"栋","")))&amp;"-"&amp;$E1064&amp;"-"&amp;TEXT(MONTH($B1064),"00")&amp;TEXT(DAY($B1064),"00")&amp;IF(ISNUMBER($O1064),IF($O1064&gt;1,"-"&amp;TEXT($O1064,"00"),""),"")))</f>
        <v/>
      </c>
      <c r="B1064" s="14"/>
      <c r="C1064" s="10"/>
      <c r="D1064" s="10"/>
      <c r="E1064" s="10"/>
      <c r="F1064" s="16"/>
      <c r="G1064" s="10"/>
      <c r="H1064" s="10"/>
      <c r="I1064" s="10"/>
      <c r="J1064" s="10"/>
      <c r="K1064" s="10"/>
      <c r="L1064" s="10"/>
      <c r="M1064" s="14"/>
      <c r="N1064" s="17" t="str">
        <f aca="false">IF($B1064="","",IF($L1064="已完成",IF($M1064="","",$M1064-$B1064),IF(设置!$B$6&lt;$B1064,"",IF((设置!$B$6-$B1064)&gt;=设置!$B$5,"超期"&amp;(设置!$B$6-$B1064)&amp;"天","已等"&amp;(设置!$B$6-$B1064)&amp;"天"))))</f>
        <v/>
      </c>
      <c r="O1064" s="18" t="str">
        <f aca="false">IF(OR($D1064="",$E1064=""),"",COUNTIFS($D$7:$D1064,$D1064,$E$7:$E1064,$E1064))</f>
        <v/>
      </c>
      <c r="P1064" s="16"/>
      <c r="Q1064" s="19"/>
      <c r="R1064" s="10"/>
      <c r="S1064" s="16"/>
      <c r="T1064" s="0" t="str">
        <f aca="false">IF(OR($D1064="",单元查询!$B$3=""),"",IF($D1064&lt;&gt;单元查询!$B$3,"",IF(OR(单元查询!$D$3="",$E1064&amp;""=单元查询!$D$3&amp;""),IF(ISNUMBER($B1064),$B1064*10000,0)+ROW(),"")))</f>
        <v/>
      </c>
      <c r="U1064" s="0" t="str">
        <f aca="false">IF(OR($B1064="",$L1064="已完成"),"",IF(ISNUMBER($B1064),IF(设置!$B$6&lt;$B1064,"",(设置!$B$6-$B1064)*100000+ROW()),""))</f>
        <v/>
      </c>
      <c r="V1064" s="0" t="str">
        <f aca="false">IF(ISNUMBER($O1064),IF($O1064&gt;=2,IF(COUNTIFS($D1064:$D$2006,$D1064,$E1064:$E$2006,$E1064)=1,ROW(),""),""),"")</f>
        <v/>
      </c>
    </row>
    <row r="1065" customFormat="false" ht="15" hidden="false" customHeight="true" outlineLevel="0" collapsed="false">
      <c r="A1065" s="13" t="str">
        <f aca="false">IF(AND($B1065="",$D1065="",$E1065="",$F1065=""),"",IF(OR($B1065="",$D1065="",$E1065=""),"待补",IF($D1065="公共区域","公",IF($D1065="商铺","S",SUBSTITUTE($D1065,"栋","")))&amp;"-"&amp;$E1065&amp;"-"&amp;TEXT(MONTH($B1065),"00")&amp;TEXT(DAY($B1065),"00")&amp;IF(ISNUMBER($O1065),IF($O1065&gt;1,"-"&amp;TEXT($O1065,"00"),""),"")))</f>
        <v/>
      </c>
      <c r="B1065" s="14"/>
      <c r="C1065" s="10"/>
      <c r="D1065" s="10"/>
      <c r="E1065" s="10"/>
      <c r="F1065" s="16"/>
      <c r="G1065" s="10"/>
      <c r="H1065" s="10"/>
      <c r="I1065" s="10"/>
      <c r="J1065" s="10"/>
      <c r="K1065" s="10"/>
      <c r="L1065" s="10"/>
      <c r="M1065" s="14"/>
      <c r="N1065" s="17" t="str">
        <f aca="false">IF($B1065="","",IF($L1065="已完成",IF($M1065="","",$M1065-$B1065),IF(设置!$B$6&lt;$B1065,"",IF((设置!$B$6-$B1065)&gt;=设置!$B$5,"超期"&amp;(设置!$B$6-$B1065)&amp;"天","已等"&amp;(设置!$B$6-$B1065)&amp;"天"))))</f>
        <v/>
      </c>
      <c r="O1065" s="18" t="str">
        <f aca="false">IF(OR($D1065="",$E1065=""),"",COUNTIFS($D$7:$D1065,$D1065,$E$7:$E1065,$E1065))</f>
        <v/>
      </c>
      <c r="P1065" s="16"/>
      <c r="Q1065" s="19"/>
      <c r="R1065" s="10"/>
      <c r="S1065" s="16"/>
      <c r="T1065" s="0" t="str">
        <f aca="false">IF(OR($D1065="",单元查询!$B$3=""),"",IF($D1065&lt;&gt;单元查询!$B$3,"",IF(OR(单元查询!$D$3="",$E1065&amp;""=单元查询!$D$3&amp;""),IF(ISNUMBER($B1065),$B1065*10000,0)+ROW(),"")))</f>
        <v/>
      </c>
      <c r="U1065" s="0" t="str">
        <f aca="false">IF(OR($B1065="",$L1065="已完成"),"",IF(ISNUMBER($B1065),IF(设置!$B$6&lt;$B1065,"",(设置!$B$6-$B1065)*100000+ROW()),""))</f>
        <v/>
      </c>
      <c r="V1065" s="0" t="str">
        <f aca="false">IF(ISNUMBER($O1065),IF($O1065&gt;=2,IF(COUNTIFS($D1065:$D$2006,$D1065,$E1065:$E$2006,$E1065)=1,ROW(),""),""),"")</f>
        <v/>
      </c>
    </row>
    <row r="1066" customFormat="false" ht="15" hidden="false" customHeight="true" outlineLevel="0" collapsed="false">
      <c r="A1066" s="13" t="str">
        <f aca="false">IF(AND($B1066="",$D1066="",$E1066="",$F1066=""),"",IF(OR($B1066="",$D1066="",$E1066=""),"待补",IF($D1066="公共区域","公",IF($D1066="商铺","S",SUBSTITUTE($D1066,"栋","")))&amp;"-"&amp;$E1066&amp;"-"&amp;TEXT(MONTH($B1066),"00")&amp;TEXT(DAY($B1066),"00")&amp;IF(ISNUMBER($O1066),IF($O1066&gt;1,"-"&amp;TEXT($O1066,"00"),""),"")))</f>
        <v/>
      </c>
      <c r="B1066" s="14"/>
      <c r="C1066" s="10"/>
      <c r="D1066" s="10"/>
      <c r="E1066" s="10"/>
      <c r="F1066" s="16"/>
      <c r="G1066" s="10"/>
      <c r="H1066" s="10"/>
      <c r="I1066" s="10"/>
      <c r="J1066" s="10"/>
      <c r="K1066" s="10"/>
      <c r="L1066" s="10"/>
      <c r="M1066" s="14"/>
      <c r="N1066" s="17" t="str">
        <f aca="false">IF($B1066="","",IF($L1066="已完成",IF($M1066="","",$M1066-$B1066),IF(设置!$B$6&lt;$B1066,"",IF((设置!$B$6-$B1066)&gt;=设置!$B$5,"超期"&amp;(设置!$B$6-$B1066)&amp;"天","已等"&amp;(设置!$B$6-$B1066)&amp;"天"))))</f>
        <v/>
      </c>
      <c r="O1066" s="18" t="str">
        <f aca="false">IF(OR($D1066="",$E1066=""),"",COUNTIFS($D$7:$D1066,$D1066,$E$7:$E1066,$E1066))</f>
        <v/>
      </c>
      <c r="P1066" s="16"/>
      <c r="Q1066" s="19"/>
      <c r="R1066" s="10"/>
      <c r="S1066" s="16"/>
      <c r="T1066" s="0" t="str">
        <f aca="false">IF(OR($D1066="",单元查询!$B$3=""),"",IF($D1066&lt;&gt;单元查询!$B$3,"",IF(OR(单元查询!$D$3="",$E1066&amp;""=单元查询!$D$3&amp;""),IF(ISNUMBER($B1066),$B1066*10000,0)+ROW(),"")))</f>
        <v/>
      </c>
      <c r="U1066" s="0" t="str">
        <f aca="false">IF(OR($B1066="",$L1066="已完成"),"",IF(ISNUMBER($B1066),IF(设置!$B$6&lt;$B1066,"",(设置!$B$6-$B1066)*100000+ROW()),""))</f>
        <v/>
      </c>
      <c r="V1066" s="0" t="str">
        <f aca="false">IF(ISNUMBER($O1066),IF($O1066&gt;=2,IF(COUNTIFS($D1066:$D$2006,$D1066,$E1066:$E$2006,$E1066)=1,ROW(),""),""),"")</f>
        <v/>
      </c>
    </row>
    <row r="1067" customFormat="false" ht="15" hidden="false" customHeight="true" outlineLevel="0" collapsed="false">
      <c r="A1067" s="13" t="str">
        <f aca="false">IF(AND($B1067="",$D1067="",$E1067="",$F1067=""),"",IF(OR($B1067="",$D1067="",$E1067=""),"待补",IF($D1067="公共区域","公",IF($D1067="商铺","S",SUBSTITUTE($D1067,"栋","")))&amp;"-"&amp;$E1067&amp;"-"&amp;TEXT(MONTH($B1067),"00")&amp;TEXT(DAY($B1067),"00")&amp;IF(ISNUMBER($O1067),IF($O1067&gt;1,"-"&amp;TEXT($O1067,"00"),""),"")))</f>
        <v/>
      </c>
      <c r="B1067" s="14"/>
      <c r="C1067" s="10"/>
      <c r="D1067" s="10"/>
      <c r="E1067" s="10"/>
      <c r="F1067" s="16"/>
      <c r="G1067" s="10"/>
      <c r="H1067" s="10"/>
      <c r="I1067" s="10"/>
      <c r="J1067" s="10"/>
      <c r="K1067" s="10"/>
      <c r="L1067" s="10"/>
      <c r="M1067" s="14"/>
      <c r="N1067" s="17" t="str">
        <f aca="false">IF($B1067="","",IF($L1067="已完成",IF($M1067="","",$M1067-$B1067),IF(设置!$B$6&lt;$B1067,"",IF((设置!$B$6-$B1067)&gt;=设置!$B$5,"超期"&amp;(设置!$B$6-$B1067)&amp;"天","已等"&amp;(设置!$B$6-$B1067)&amp;"天"))))</f>
        <v/>
      </c>
      <c r="O1067" s="18" t="str">
        <f aca="false">IF(OR($D1067="",$E1067=""),"",COUNTIFS($D$7:$D1067,$D1067,$E$7:$E1067,$E1067))</f>
        <v/>
      </c>
      <c r="P1067" s="16"/>
      <c r="Q1067" s="19"/>
      <c r="R1067" s="10"/>
      <c r="S1067" s="16"/>
      <c r="T1067" s="0" t="str">
        <f aca="false">IF(OR($D1067="",单元查询!$B$3=""),"",IF($D1067&lt;&gt;单元查询!$B$3,"",IF(OR(单元查询!$D$3="",$E1067&amp;""=单元查询!$D$3&amp;""),IF(ISNUMBER($B1067),$B1067*10000,0)+ROW(),"")))</f>
        <v/>
      </c>
      <c r="U1067" s="0" t="str">
        <f aca="false">IF(OR($B1067="",$L1067="已完成"),"",IF(ISNUMBER($B1067),IF(设置!$B$6&lt;$B1067,"",(设置!$B$6-$B1067)*100000+ROW()),""))</f>
        <v/>
      </c>
      <c r="V1067" s="0" t="str">
        <f aca="false">IF(ISNUMBER($O1067),IF($O1067&gt;=2,IF(COUNTIFS($D1067:$D$2006,$D1067,$E1067:$E$2006,$E1067)=1,ROW(),""),""),"")</f>
        <v/>
      </c>
    </row>
    <row r="1068" customFormat="false" ht="15" hidden="false" customHeight="true" outlineLevel="0" collapsed="false">
      <c r="A1068" s="13" t="str">
        <f aca="false">IF(AND($B1068="",$D1068="",$E1068="",$F1068=""),"",IF(OR($B1068="",$D1068="",$E1068=""),"待补",IF($D1068="公共区域","公",IF($D1068="商铺","S",SUBSTITUTE($D1068,"栋","")))&amp;"-"&amp;$E1068&amp;"-"&amp;TEXT(MONTH($B1068),"00")&amp;TEXT(DAY($B1068),"00")&amp;IF(ISNUMBER($O1068),IF($O1068&gt;1,"-"&amp;TEXT($O1068,"00"),""),"")))</f>
        <v/>
      </c>
      <c r="B1068" s="14"/>
      <c r="C1068" s="10"/>
      <c r="D1068" s="10"/>
      <c r="E1068" s="10"/>
      <c r="F1068" s="16"/>
      <c r="G1068" s="10"/>
      <c r="H1068" s="10"/>
      <c r="I1068" s="10"/>
      <c r="J1068" s="10"/>
      <c r="K1068" s="10"/>
      <c r="L1068" s="10"/>
      <c r="M1068" s="14"/>
      <c r="N1068" s="17" t="str">
        <f aca="false">IF($B1068="","",IF($L1068="已完成",IF($M1068="","",$M1068-$B1068),IF(设置!$B$6&lt;$B1068,"",IF((设置!$B$6-$B1068)&gt;=设置!$B$5,"超期"&amp;(设置!$B$6-$B1068)&amp;"天","已等"&amp;(设置!$B$6-$B1068)&amp;"天"))))</f>
        <v/>
      </c>
      <c r="O1068" s="18" t="str">
        <f aca="false">IF(OR($D1068="",$E1068=""),"",COUNTIFS($D$7:$D1068,$D1068,$E$7:$E1068,$E1068))</f>
        <v/>
      </c>
      <c r="P1068" s="16"/>
      <c r="Q1068" s="19"/>
      <c r="R1068" s="10"/>
      <c r="S1068" s="16"/>
      <c r="T1068" s="0" t="str">
        <f aca="false">IF(OR($D1068="",单元查询!$B$3=""),"",IF($D1068&lt;&gt;单元查询!$B$3,"",IF(OR(单元查询!$D$3="",$E1068&amp;""=单元查询!$D$3&amp;""),IF(ISNUMBER($B1068),$B1068*10000,0)+ROW(),"")))</f>
        <v/>
      </c>
      <c r="U1068" s="0" t="str">
        <f aca="false">IF(OR($B1068="",$L1068="已完成"),"",IF(ISNUMBER($B1068),IF(设置!$B$6&lt;$B1068,"",(设置!$B$6-$B1068)*100000+ROW()),""))</f>
        <v/>
      </c>
      <c r="V1068" s="0" t="str">
        <f aca="false">IF(ISNUMBER($O1068),IF($O1068&gt;=2,IF(COUNTIFS($D1068:$D$2006,$D1068,$E1068:$E$2006,$E1068)=1,ROW(),""),""),"")</f>
        <v/>
      </c>
    </row>
    <row r="1069" customFormat="false" ht="15" hidden="false" customHeight="true" outlineLevel="0" collapsed="false">
      <c r="A1069" s="13" t="str">
        <f aca="false">IF(AND($B1069="",$D1069="",$E1069="",$F1069=""),"",IF(OR($B1069="",$D1069="",$E1069=""),"待补",IF($D1069="公共区域","公",IF($D1069="商铺","S",SUBSTITUTE($D1069,"栋","")))&amp;"-"&amp;$E1069&amp;"-"&amp;TEXT(MONTH($B1069),"00")&amp;TEXT(DAY($B1069),"00")&amp;IF(ISNUMBER($O1069),IF($O1069&gt;1,"-"&amp;TEXT($O1069,"00"),""),"")))</f>
        <v/>
      </c>
      <c r="B1069" s="14"/>
      <c r="C1069" s="10"/>
      <c r="D1069" s="10"/>
      <c r="E1069" s="10"/>
      <c r="F1069" s="16"/>
      <c r="G1069" s="10"/>
      <c r="H1069" s="10"/>
      <c r="I1069" s="10"/>
      <c r="J1069" s="10"/>
      <c r="K1069" s="10"/>
      <c r="L1069" s="10"/>
      <c r="M1069" s="14"/>
      <c r="N1069" s="17" t="str">
        <f aca="false">IF($B1069="","",IF($L1069="已完成",IF($M1069="","",$M1069-$B1069),IF(设置!$B$6&lt;$B1069,"",IF((设置!$B$6-$B1069)&gt;=设置!$B$5,"超期"&amp;(设置!$B$6-$B1069)&amp;"天","已等"&amp;(设置!$B$6-$B1069)&amp;"天"))))</f>
        <v/>
      </c>
      <c r="O1069" s="18" t="str">
        <f aca="false">IF(OR($D1069="",$E1069=""),"",COUNTIFS($D$7:$D1069,$D1069,$E$7:$E1069,$E1069))</f>
        <v/>
      </c>
      <c r="P1069" s="16"/>
      <c r="Q1069" s="19"/>
      <c r="R1069" s="10"/>
      <c r="S1069" s="16"/>
      <c r="T1069" s="0" t="str">
        <f aca="false">IF(OR($D1069="",单元查询!$B$3=""),"",IF($D1069&lt;&gt;单元查询!$B$3,"",IF(OR(单元查询!$D$3="",$E1069&amp;""=单元查询!$D$3&amp;""),IF(ISNUMBER($B1069),$B1069*10000,0)+ROW(),"")))</f>
        <v/>
      </c>
      <c r="U1069" s="0" t="str">
        <f aca="false">IF(OR($B1069="",$L1069="已完成"),"",IF(ISNUMBER($B1069),IF(设置!$B$6&lt;$B1069,"",(设置!$B$6-$B1069)*100000+ROW()),""))</f>
        <v/>
      </c>
      <c r="V1069" s="0" t="str">
        <f aca="false">IF(ISNUMBER($O1069),IF($O1069&gt;=2,IF(COUNTIFS($D1069:$D$2006,$D1069,$E1069:$E$2006,$E1069)=1,ROW(),""),""),"")</f>
        <v/>
      </c>
    </row>
    <row r="1070" customFormat="false" ht="15" hidden="false" customHeight="true" outlineLevel="0" collapsed="false">
      <c r="A1070" s="13" t="str">
        <f aca="false">IF(AND($B1070="",$D1070="",$E1070="",$F1070=""),"",IF(OR($B1070="",$D1070="",$E1070=""),"待补",IF($D1070="公共区域","公",IF($D1070="商铺","S",SUBSTITUTE($D1070,"栋","")))&amp;"-"&amp;$E1070&amp;"-"&amp;TEXT(MONTH($B1070),"00")&amp;TEXT(DAY($B1070),"00")&amp;IF(ISNUMBER($O1070),IF($O1070&gt;1,"-"&amp;TEXT($O1070,"00"),""),"")))</f>
        <v/>
      </c>
      <c r="B1070" s="14"/>
      <c r="C1070" s="10"/>
      <c r="D1070" s="10"/>
      <c r="E1070" s="10"/>
      <c r="F1070" s="16"/>
      <c r="G1070" s="10"/>
      <c r="H1070" s="10"/>
      <c r="I1070" s="10"/>
      <c r="J1070" s="10"/>
      <c r="K1070" s="10"/>
      <c r="L1070" s="10"/>
      <c r="M1070" s="14"/>
      <c r="N1070" s="17" t="str">
        <f aca="false">IF($B1070="","",IF($L1070="已完成",IF($M1070="","",$M1070-$B1070),IF(设置!$B$6&lt;$B1070,"",IF((设置!$B$6-$B1070)&gt;=设置!$B$5,"超期"&amp;(设置!$B$6-$B1070)&amp;"天","已等"&amp;(设置!$B$6-$B1070)&amp;"天"))))</f>
        <v/>
      </c>
      <c r="O1070" s="18" t="str">
        <f aca="false">IF(OR($D1070="",$E1070=""),"",COUNTIFS($D$7:$D1070,$D1070,$E$7:$E1070,$E1070))</f>
        <v/>
      </c>
      <c r="P1070" s="16"/>
      <c r="Q1070" s="19"/>
      <c r="R1070" s="10"/>
      <c r="S1070" s="16"/>
      <c r="T1070" s="0" t="str">
        <f aca="false">IF(OR($D1070="",单元查询!$B$3=""),"",IF($D1070&lt;&gt;单元查询!$B$3,"",IF(OR(单元查询!$D$3="",$E1070&amp;""=单元查询!$D$3&amp;""),IF(ISNUMBER($B1070),$B1070*10000,0)+ROW(),"")))</f>
        <v/>
      </c>
      <c r="U1070" s="0" t="str">
        <f aca="false">IF(OR($B1070="",$L1070="已完成"),"",IF(ISNUMBER($B1070),IF(设置!$B$6&lt;$B1070,"",(设置!$B$6-$B1070)*100000+ROW()),""))</f>
        <v/>
      </c>
      <c r="V1070" s="0" t="str">
        <f aca="false">IF(ISNUMBER($O1070),IF($O1070&gt;=2,IF(COUNTIFS($D1070:$D$2006,$D1070,$E1070:$E$2006,$E1070)=1,ROW(),""),""),"")</f>
        <v/>
      </c>
    </row>
    <row r="1071" customFormat="false" ht="15" hidden="false" customHeight="true" outlineLevel="0" collapsed="false">
      <c r="A1071" s="13" t="str">
        <f aca="false">IF(AND($B1071="",$D1071="",$E1071="",$F1071=""),"",IF(OR($B1071="",$D1071="",$E1071=""),"待补",IF($D1071="公共区域","公",IF($D1071="商铺","S",SUBSTITUTE($D1071,"栋","")))&amp;"-"&amp;$E1071&amp;"-"&amp;TEXT(MONTH($B1071),"00")&amp;TEXT(DAY($B1071),"00")&amp;IF(ISNUMBER($O1071),IF($O1071&gt;1,"-"&amp;TEXT($O1071,"00"),""),"")))</f>
        <v/>
      </c>
      <c r="B1071" s="14"/>
      <c r="C1071" s="10"/>
      <c r="D1071" s="10"/>
      <c r="E1071" s="10"/>
      <c r="F1071" s="16"/>
      <c r="G1071" s="10"/>
      <c r="H1071" s="10"/>
      <c r="I1071" s="10"/>
      <c r="J1071" s="10"/>
      <c r="K1071" s="10"/>
      <c r="L1071" s="10"/>
      <c r="M1071" s="14"/>
      <c r="N1071" s="17" t="str">
        <f aca="false">IF($B1071="","",IF($L1071="已完成",IF($M1071="","",$M1071-$B1071),IF(设置!$B$6&lt;$B1071,"",IF((设置!$B$6-$B1071)&gt;=设置!$B$5,"超期"&amp;(设置!$B$6-$B1071)&amp;"天","已等"&amp;(设置!$B$6-$B1071)&amp;"天"))))</f>
        <v/>
      </c>
      <c r="O1071" s="18" t="str">
        <f aca="false">IF(OR($D1071="",$E1071=""),"",COUNTIFS($D$7:$D1071,$D1071,$E$7:$E1071,$E1071))</f>
        <v/>
      </c>
      <c r="P1071" s="16"/>
      <c r="Q1071" s="19"/>
      <c r="R1071" s="10"/>
      <c r="S1071" s="16"/>
      <c r="T1071" s="0" t="str">
        <f aca="false">IF(OR($D1071="",单元查询!$B$3=""),"",IF($D1071&lt;&gt;单元查询!$B$3,"",IF(OR(单元查询!$D$3="",$E1071&amp;""=单元查询!$D$3&amp;""),IF(ISNUMBER($B1071),$B1071*10000,0)+ROW(),"")))</f>
        <v/>
      </c>
      <c r="U1071" s="0" t="str">
        <f aca="false">IF(OR($B1071="",$L1071="已完成"),"",IF(ISNUMBER($B1071),IF(设置!$B$6&lt;$B1071,"",(设置!$B$6-$B1071)*100000+ROW()),""))</f>
        <v/>
      </c>
      <c r="V1071" s="0" t="str">
        <f aca="false">IF(ISNUMBER($O1071),IF($O1071&gt;=2,IF(COUNTIFS($D1071:$D$2006,$D1071,$E1071:$E$2006,$E1071)=1,ROW(),""),""),"")</f>
        <v/>
      </c>
    </row>
    <row r="1072" customFormat="false" ht="15" hidden="false" customHeight="true" outlineLevel="0" collapsed="false">
      <c r="A1072" s="13" t="str">
        <f aca="false">IF(AND($B1072="",$D1072="",$E1072="",$F1072=""),"",IF(OR($B1072="",$D1072="",$E1072=""),"待补",IF($D1072="公共区域","公",IF($D1072="商铺","S",SUBSTITUTE($D1072,"栋","")))&amp;"-"&amp;$E1072&amp;"-"&amp;TEXT(MONTH($B1072),"00")&amp;TEXT(DAY($B1072),"00")&amp;IF(ISNUMBER($O1072),IF($O1072&gt;1,"-"&amp;TEXT($O1072,"00"),""),"")))</f>
        <v/>
      </c>
      <c r="B1072" s="14"/>
      <c r="C1072" s="10"/>
      <c r="D1072" s="10"/>
      <c r="E1072" s="10"/>
      <c r="F1072" s="16"/>
      <c r="G1072" s="10"/>
      <c r="H1072" s="10"/>
      <c r="I1072" s="10"/>
      <c r="J1072" s="10"/>
      <c r="K1072" s="10"/>
      <c r="L1072" s="10"/>
      <c r="M1072" s="14"/>
      <c r="N1072" s="17" t="str">
        <f aca="false">IF($B1072="","",IF($L1072="已完成",IF($M1072="","",$M1072-$B1072),IF(设置!$B$6&lt;$B1072,"",IF((设置!$B$6-$B1072)&gt;=设置!$B$5,"超期"&amp;(设置!$B$6-$B1072)&amp;"天","已等"&amp;(设置!$B$6-$B1072)&amp;"天"))))</f>
        <v/>
      </c>
      <c r="O1072" s="18" t="str">
        <f aca="false">IF(OR($D1072="",$E1072=""),"",COUNTIFS($D$7:$D1072,$D1072,$E$7:$E1072,$E1072))</f>
        <v/>
      </c>
      <c r="P1072" s="16"/>
      <c r="Q1072" s="19"/>
      <c r="R1072" s="10"/>
      <c r="S1072" s="16"/>
      <c r="T1072" s="0" t="str">
        <f aca="false">IF(OR($D1072="",单元查询!$B$3=""),"",IF($D1072&lt;&gt;单元查询!$B$3,"",IF(OR(单元查询!$D$3="",$E1072&amp;""=单元查询!$D$3&amp;""),IF(ISNUMBER($B1072),$B1072*10000,0)+ROW(),"")))</f>
        <v/>
      </c>
      <c r="U1072" s="0" t="str">
        <f aca="false">IF(OR($B1072="",$L1072="已完成"),"",IF(ISNUMBER($B1072),IF(设置!$B$6&lt;$B1072,"",(设置!$B$6-$B1072)*100000+ROW()),""))</f>
        <v/>
      </c>
      <c r="V1072" s="0" t="str">
        <f aca="false">IF(ISNUMBER($O1072),IF($O1072&gt;=2,IF(COUNTIFS($D1072:$D$2006,$D1072,$E1072:$E$2006,$E1072)=1,ROW(),""),""),"")</f>
        <v/>
      </c>
    </row>
    <row r="1073" customFormat="false" ht="15" hidden="false" customHeight="true" outlineLevel="0" collapsed="false">
      <c r="A1073" s="13" t="str">
        <f aca="false">IF(AND($B1073="",$D1073="",$E1073="",$F1073=""),"",IF(OR($B1073="",$D1073="",$E1073=""),"待补",IF($D1073="公共区域","公",IF($D1073="商铺","S",SUBSTITUTE($D1073,"栋","")))&amp;"-"&amp;$E1073&amp;"-"&amp;TEXT(MONTH($B1073),"00")&amp;TEXT(DAY($B1073),"00")&amp;IF(ISNUMBER($O1073),IF($O1073&gt;1,"-"&amp;TEXT($O1073,"00"),""),"")))</f>
        <v/>
      </c>
      <c r="B1073" s="14"/>
      <c r="C1073" s="10"/>
      <c r="D1073" s="10"/>
      <c r="E1073" s="10"/>
      <c r="F1073" s="16"/>
      <c r="G1073" s="10"/>
      <c r="H1073" s="10"/>
      <c r="I1073" s="10"/>
      <c r="J1073" s="10"/>
      <c r="K1073" s="10"/>
      <c r="L1073" s="10"/>
      <c r="M1073" s="14"/>
      <c r="N1073" s="17" t="str">
        <f aca="false">IF($B1073="","",IF($L1073="已完成",IF($M1073="","",$M1073-$B1073),IF(设置!$B$6&lt;$B1073,"",IF((设置!$B$6-$B1073)&gt;=设置!$B$5,"超期"&amp;(设置!$B$6-$B1073)&amp;"天","已等"&amp;(设置!$B$6-$B1073)&amp;"天"))))</f>
        <v/>
      </c>
      <c r="O1073" s="18" t="str">
        <f aca="false">IF(OR($D1073="",$E1073=""),"",COUNTIFS($D$7:$D1073,$D1073,$E$7:$E1073,$E1073))</f>
        <v/>
      </c>
      <c r="P1073" s="16"/>
      <c r="Q1073" s="19"/>
      <c r="R1073" s="10"/>
      <c r="S1073" s="16"/>
      <c r="T1073" s="0" t="str">
        <f aca="false">IF(OR($D1073="",单元查询!$B$3=""),"",IF($D1073&lt;&gt;单元查询!$B$3,"",IF(OR(单元查询!$D$3="",$E1073&amp;""=单元查询!$D$3&amp;""),IF(ISNUMBER($B1073),$B1073*10000,0)+ROW(),"")))</f>
        <v/>
      </c>
      <c r="U1073" s="0" t="str">
        <f aca="false">IF(OR($B1073="",$L1073="已完成"),"",IF(ISNUMBER($B1073),IF(设置!$B$6&lt;$B1073,"",(设置!$B$6-$B1073)*100000+ROW()),""))</f>
        <v/>
      </c>
      <c r="V1073" s="0" t="str">
        <f aca="false">IF(ISNUMBER($O1073),IF($O1073&gt;=2,IF(COUNTIFS($D1073:$D$2006,$D1073,$E1073:$E$2006,$E1073)=1,ROW(),""),""),"")</f>
        <v/>
      </c>
    </row>
    <row r="1074" customFormat="false" ht="15" hidden="false" customHeight="true" outlineLevel="0" collapsed="false">
      <c r="A1074" s="13" t="str">
        <f aca="false">IF(AND($B1074="",$D1074="",$E1074="",$F1074=""),"",IF(OR($B1074="",$D1074="",$E1074=""),"待补",IF($D1074="公共区域","公",IF($D1074="商铺","S",SUBSTITUTE($D1074,"栋","")))&amp;"-"&amp;$E1074&amp;"-"&amp;TEXT(MONTH($B1074),"00")&amp;TEXT(DAY($B1074),"00")&amp;IF(ISNUMBER($O1074),IF($O1074&gt;1,"-"&amp;TEXT($O1074,"00"),""),"")))</f>
        <v/>
      </c>
      <c r="B1074" s="14"/>
      <c r="C1074" s="10"/>
      <c r="D1074" s="10"/>
      <c r="E1074" s="10"/>
      <c r="F1074" s="16"/>
      <c r="G1074" s="10"/>
      <c r="H1074" s="10"/>
      <c r="I1074" s="10"/>
      <c r="J1074" s="10"/>
      <c r="K1074" s="10"/>
      <c r="L1074" s="10"/>
      <c r="M1074" s="14"/>
      <c r="N1074" s="17" t="str">
        <f aca="false">IF($B1074="","",IF($L1074="已完成",IF($M1074="","",$M1074-$B1074),IF(设置!$B$6&lt;$B1074,"",IF((设置!$B$6-$B1074)&gt;=设置!$B$5,"超期"&amp;(设置!$B$6-$B1074)&amp;"天","已等"&amp;(设置!$B$6-$B1074)&amp;"天"))))</f>
        <v/>
      </c>
      <c r="O1074" s="18" t="str">
        <f aca="false">IF(OR($D1074="",$E1074=""),"",COUNTIFS($D$7:$D1074,$D1074,$E$7:$E1074,$E1074))</f>
        <v/>
      </c>
      <c r="P1074" s="16"/>
      <c r="Q1074" s="19"/>
      <c r="R1074" s="10"/>
      <c r="S1074" s="16"/>
      <c r="T1074" s="0" t="str">
        <f aca="false">IF(OR($D1074="",单元查询!$B$3=""),"",IF($D1074&lt;&gt;单元查询!$B$3,"",IF(OR(单元查询!$D$3="",$E1074&amp;""=单元查询!$D$3&amp;""),IF(ISNUMBER($B1074),$B1074*10000,0)+ROW(),"")))</f>
        <v/>
      </c>
      <c r="U1074" s="0" t="str">
        <f aca="false">IF(OR($B1074="",$L1074="已完成"),"",IF(ISNUMBER($B1074),IF(设置!$B$6&lt;$B1074,"",(设置!$B$6-$B1074)*100000+ROW()),""))</f>
        <v/>
      </c>
      <c r="V1074" s="0" t="str">
        <f aca="false">IF(ISNUMBER($O1074),IF($O1074&gt;=2,IF(COUNTIFS($D1074:$D$2006,$D1074,$E1074:$E$2006,$E1074)=1,ROW(),""),""),"")</f>
        <v/>
      </c>
    </row>
    <row r="1075" customFormat="false" ht="15" hidden="false" customHeight="true" outlineLevel="0" collapsed="false">
      <c r="A1075" s="13" t="str">
        <f aca="false">IF(AND($B1075="",$D1075="",$E1075="",$F1075=""),"",IF(OR($B1075="",$D1075="",$E1075=""),"待补",IF($D1075="公共区域","公",IF($D1075="商铺","S",SUBSTITUTE($D1075,"栋","")))&amp;"-"&amp;$E1075&amp;"-"&amp;TEXT(MONTH($B1075),"00")&amp;TEXT(DAY($B1075),"00")&amp;IF(ISNUMBER($O1075),IF($O1075&gt;1,"-"&amp;TEXT($O1075,"00"),""),"")))</f>
        <v/>
      </c>
      <c r="B1075" s="14"/>
      <c r="C1075" s="10"/>
      <c r="D1075" s="10"/>
      <c r="E1075" s="10"/>
      <c r="F1075" s="16"/>
      <c r="G1075" s="10"/>
      <c r="H1075" s="10"/>
      <c r="I1075" s="10"/>
      <c r="J1075" s="10"/>
      <c r="K1075" s="10"/>
      <c r="L1075" s="10"/>
      <c r="M1075" s="14"/>
      <c r="N1075" s="17" t="str">
        <f aca="false">IF($B1075="","",IF($L1075="已完成",IF($M1075="","",$M1075-$B1075),IF(设置!$B$6&lt;$B1075,"",IF((设置!$B$6-$B1075)&gt;=设置!$B$5,"超期"&amp;(设置!$B$6-$B1075)&amp;"天","已等"&amp;(设置!$B$6-$B1075)&amp;"天"))))</f>
        <v/>
      </c>
      <c r="O1075" s="18" t="str">
        <f aca="false">IF(OR($D1075="",$E1075=""),"",COUNTIFS($D$7:$D1075,$D1075,$E$7:$E1075,$E1075))</f>
        <v/>
      </c>
      <c r="P1075" s="16"/>
      <c r="Q1075" s="19"/>
      <c r="R1075" s="10"/>
      <c r="S1075" s="16"/>
      <c r="T1075" s="0" t="str">
        <f aca="false">IF(OR($D1075="",单元查询!$B$3=""),"",IF($D1075&lt;&gt;单元查询!$B$3,"",IF(OR(单元查询!$D$3="",$E1075&amp;""=单元查询!$D$3&amp;""),IF(ISNUMBER($B1075),$B1075*10000,0)+ROW(),"")))</f>
        <v/>
      </c>
      <c r="U1075" s="0" t="str">
        <f aca="false">IF(OR($B1075="",$L1075="已完成"),"",IF(ISNUMBER($B1075),IF(设置!$B$6&lt;$B1075,"",(设置!$B$6-$B1075)*100000+ROW()),""))</f>
        <v/>
      </c>
      <c r="V1075" s="0" t="str">
        <f aca="false">IF(ISNUMBER($O1075),IF($O1075&gt;=2,IF(COUNTIFS($D1075:$D$2006,$D1075,$E1075:$E$2006,$E1075)=1,ROW(),""),""),"")</f>
        <v/>
      </c>
    </row>
    <row r="1076" customFormat="false" ht="15" hidden="false" customHeight="true" outlineLevel="0" collapsed="false">
      <c r="A1076" s="13" t="str">
        <f aca="false">IF(AND($B1076="",$D1076="",$E1076="",$F1076=""),"",IF(OR($B1076="",$D1076="",$E1076=""),"待补",IF($D1076="公共区域","公",IF($D1076="商铺","S",SUBSTITUTE($D1076,"栋","")))&amp;"-"&amp;$E1076&amp;"-"&amp;TEXT(MONTH($B1076),"00")&amp;TEXT(DAY($B1076),"00")&amp;IF(ISNUMBER($O1076),IF($O1076&gt;1,"-"&amp;TEXT($O1076,"00"),""),"")))</f>
        <v/>
      </c>
      <c r="B1076" s="14"/>
      <c r="C1076" s="10"/>
      <c r="D1076" s="10"/>
      <c r="E1076" s="10"/>
      <c r="F1076" s="16"/>
      <c r="G1076" s="10"/>
      <c r="H1076" s="10"/>
      <c r="I1076" s="10"/>
      <c r="J1076" s="10"/>
      <c r="K1076" s="10"/>
      <c r="L1076" s="10"/>
      <c r="M1076" s="14"/>
      <c r="N1076" s="17" t="str">
        <f aca="false">IF($B1076="","",IF($L1076="已完成",IF($M1076="","",$M1076-$B1076),IF(设置!$B$6&lt;$B1076,"",IF((设置!$B$6-$B1076)&gt;=设置!$B$5,"超期"&amp;(设置!$B$6-$B1076)&amp;"天","已等"&amp;(设置!$B$6-$B1076)&amp;"天"))))</f>
        <v/>
      </c>
      <c r="O1076" s="18" t="str">
        <f aca="false">IF(OR($D1076="",$E1076=""),"",COUNTIFS($D$7:$D1076,$D1076,$E$7:$E1076,$E1076))</f>
        <v/>
      </c>
      <c r="P1076" s="16"/>
      <c r="Q1076" s="19"/>
      <c r="R1076" s="10"/>
      <c r="S1076" s="16"/>
      <c r="T1076" s="0" t="str">
        <f aca="false">IF(OR($D1076="",单元查询!$B$3=""),"",IF($D1076&lt;&gt;单元查询!$B$3,"",IF(OR(单元查询!$D$3="",$E1076&amp;""=单元查询!$D$3&amp;""),IF(ISNUMBER($B1076),$B1076*10000,0)+ROW(),"")))</f>
        <v/>
      </c>
      <c r="U1076" s="0" t="str">
        <f aca="false">IF(OR($B1076="",$L1076="已完成"),"",IF(ISNUMBER($B1076),IF(设置!$B$6&lt;$B1076,"",(设置!$B$6-$B1076)*100000+ROW()),""))</f>
        <v/>
      </c>
      <c r="V1076" s="0" t="str">
        <f aca="false">IF(ISNUMBER($O1076),IF($O1076&gt;=2,IF(COUNTIFS($D1076:$D$2006,$D1076,$E1076:$E$2006,$E1076)=1,ROW(),""),""),"")</f>
        <v/>
      </c>
    </row>
    <row r="1077" customFormat="false" ht="15" hidden="false" customHeight="true" outlineLevel="0" collapsed="false">
      <c r="A1077" s="13" t="str">
        <f aca="false">IF(AND($B1077="",$D1077="",$E1077="",$F1077=""),"",IF(OR($B1077="",$D1077="",$E1077=""),"待补",IF($D1077="公共区域","公",IF($D1077="商铺","S",SUBSTITUTE($D1077,"栋","")))&amp;"-"&amp;$E1077&amp;"-"&amp;TEXT(MONTH($B1077),"00")&amp;TEXT(DAY($B1077),"00")&amp;IF(ISNUMBER($O1077),IF($O1077&gt;1,"-"&amp;TEXT($O1077,"00"),""),"")))</f>
        <v/>
      </c>
      <c r="B1077" s="14"/>
      <c r="C1077" s="10"/>
      <c r="D1077" s="10"/>
      <c r="E1077" s="10"/>
      <c r="F1077" s="16"/>
      <c r="G1077" s="10"/>
      <c r="H1077" s="10"/>
      <c r="I1077" s="10"/>
      <c r="J1077" s="10"/>
      <c r="K1077" s="10"/>
      <c r="L1077" s="10"/>
      <c r="M1077" s="14"/>
      <c r="N1077" s="17" t="str">
        <f aca="false">IF($B1077="","",IF($L1077="已完成",IF($M1077="","",$M1077-$B1077),IF(设置!$B$6&lt;$B1077,"",IF((设置!$B$6-$B1077)&gt;=设置!$B$5,"超期"&amp;(设置!$B$6-$B1077)&amp;"天","已等"&amp;(设置!$B$6-$B1077)&amp;"天"))))</f>
        <v/>
      </c>
      <c r="O1077" s="18" t="str">
        <f aca="false">IF(OR($D1077="",$E1077=""),"",COUNTIFS($D$7:$D1077,$D1077,$E$7:$E1077,$E1077))</f>
        <v/>
      </c>
      <c r="P1077" s="16"/>
      <c r="Q1077" s="19"/>
      <c r="R1077" s="10"/>
      <c r="S1077" s="16"/>
      <c r="T1077" s="0" t="str">
        <f aca="false">IF(OR($D1077="",单元查询!$B$3=""),"",IF($D1077&lt;&gt;单元查询!$B$3,"",IF(OR(单元查询!$D$3="",$E1077&amp;""=单元查询!$D$3&amp;""),IF(ISNUMBER($B1077),$B1077*10000,0)+ROW(),"")))</f>
        <v/>
      </c>
      <c r="U1077" s="0" t="str">
        <f aca="false">IF(OR($B1077="",$L1077="已完成"),"",IF(ISNUMBER($B1077),IF(设置!$B$6&lt;$B1077,"",(设置!$B$6-$B1077)*100000+ROW()),""))</f>
        <v/>
      </c>
      <c r="V1077" s="0" t="str">
        <f aca="false">IF(ISNUMBER($O1077),IF($O1077&gt;=2,IF(COUNTIFS($D1077:$D$2006,$D1077,$E1077:$E$2006,$E1077)=1,ROW(),""),""),"")</f>
        <v/>
      </c>
    </row>
    <row r="1078" customFormat="false" ht="15" hidden="false" customHeight="true" outlineLevel="0" collapsed="false">
      <c r="A1078" s="13" t="str">
        <f aca="false">IF(AND($B1078="",$D1078="",$E1078="",$F1078=""),"",IF(OR($B1078="",$D1078="",$E1078=""),"待补",IF($D1078="公共区域","公",IF($D1078="商铺","S",SUBSTITUTE($D1078,"栋","")))&amp;"-"&amp;$E1078&amp;"-"&amp;TEXT(MONTH($B1078),"00")&amp;TEXT(DAY($B1078),"00")&amp;IF(ISNUMBER($O1078),IF($O1078&gt;1,"-"&amp;TEXT($O1078,"00"),""),"")))</f>
        <v/>
      </c>
      <c r="B1078" s="14"/>
      <c r="C1078" s="10"/>
      <c r="D1078" s="10"/>
      <c r="E1078" s="10"/>
      <c r="F1078" s="16"/>
      <c r="G1078" s="10"/>
      <c r="H1078" s="10"/>
      <c r="I1078" s="10"/>
      <c r="J1078" s="10"/>
      <c r="K1078" s="10"/>
      <c r="L1078" s="10"/>
      <c r="M1078" s="14"/>
      <c r="N1078" s="17" t="str">
        <f aca="false">IF($B1078="","",IF($L1078="已完成",IF($M1078="","",$M1078-$B1078),IF(设置!$B$6&lt;$B1078,"",IF((设置!$B$6-$B1078)&gt;=设置!$B$5,"超期"&amp;(设置!$B$6-$B1078)&amp;"天","已等"&amp;(设置!$B$6-$B1078)&amp;"天"))))</f>
        <v/>
      </c>
      <c r="O1078" s="18" t="str">
        <f aca="false">IF(OR($D1078="",$E1078=""),"",COUNTIFS($D$7:$D1078,$D1078,$E$7:$E1078,$E1078))</f>
        <v/>
      </c>
      <c r="P1078" s="16"/>
      <c r="Q1078" s="19"/>
      <c r="R1078" s="10"/>
      <c r="S1078" s="16"/>
      <c r="T1078" s="0" t="str">
        <f aca="false">IF(OR($D1078="",单元查询!$B$3=""),"",IF($D1078&lt;&gt;单元查询!$B$3,"",IF(OR(单元查询!$D$3="",$E1078&amp;""=单元查询!$D$3&amp;""),IF(ISNUMBER($B1078),$B1078*10000,0)+ROW(),"")))</f>
        <v/>
      </c>
      <c r="U1078" s="0" t="str">
        <f aca="false">IF(OR($B1078="",$L1078="已完成"),"",IF(ISNUMBER($B1078),IF(设置!$B$6&lt;$B1078,"",(设置!$B$6-$B1078)*100000+ROW()),""))</f>
        <v/>
      </c>
      <c r="V1078" s="0" t="str">
        <f aca="false">IF(ISNUMBER($O1078),IF($O1078&gt;=2,IF(COUNTIFS($D1078:$D$2006,$D1078,$E1078:$E$2006,$E1078)=1,ROW(),""),""),"")</f>
        <v/>
      </c>
    </row>
    <row r="1079" customFormat="false" ht="15" hidden="false" customHeight="true" outlineLevel="0" collapsed="false">
      <c r="A1079" s="13" t="str">
        <f aca="false">IF(AND($B1079="",$D1079="",$E1079="",$F1079=""),"",IF(OR($B1079="",$D1079="",$E1079=""),"待补",IF($D1079="公共区域","公",IF($D1079="商铺","S",SUBSTITUTE($D1079,"栋","")))&amp;"-"&amp;$E1079&amp;"-"&amp;TEXT(MONTH($B1079),"00")&amp;TEXT(DAY($B1079),"00")&amp;IF(ISNUMBER($O1079),IF($O1079&gt;1,"-"&amp;TEXT($O1079,"00"),""),"")))</f>
        <v/>
      </c>
      <c r="B1079" s="14"/>
      <c r="C1079" s="10"/>
      <c r="D1079" s="10"/>
      <c r="E1079" s="10"/>
      <c r="F1079" s="16"/>
      <c r="G1079" s="10"/>
      <c r="H1079" s="10"/>
      <c r="I1079" s="10"/>
      <c r="J1079" s="10"/>
      <c r="K1079" s="10"/>
      <c r="L1079" s="10"/>
      <c r="M1079" s="14"/>
      <c r="N1079" s="17" t="str">
        <f aca="false">IF($B1079="","",IF($L1079="已完成",IF($M1079="","",$M1079-$B1079),IF(设置!$B$6&lt;$B1079,"",IF((设置!$B$6-$B1079)&gt;=设置!$B$5,"超期"&amp;(设置!$B$6-$B1079)&amp;"天","已等"&amp;(设置!$B$6-$B1079)&amp;"天"))))</f>
        <v/>
      </c>
      <c r="O1079" s="18" t="str">
        <f aca="false">IF(OR($D1079="",$E1079=""),"",COUNTIFS($D$7:$D1079,$D1079,$E$7:$E1079,$E1079))</f>
        <v/>
      </c>
      <c r="P1079" s="16"/>
      <c r="Q1079" s="19"/>
      <c r="R1079" s="10"/>
      <c r="S1079" s="16"/>
      <c r="T1079" s="0" t="str">
        <f aca="false">IF(OR($D1079="",单元查询!$B$3=""),"",IF($D1079&lt;&gt;单元查询!$B$3,"",IF(OR(单元查询!$D$3="",$E1079&amp;""=单元查询!$D$3&amp;""),IF(ISNUMBER($B1079),$B1079*10000,0)+ROW(),"")))</f>
        <v/>
      </c>
      <c r="U1079" s="0" t="str">
        <f aca="false">IF(OR($B1079="",$L1079="已完成"),"",IF(ISNUMBER($B1079),IF(设置!$B$6&lt;$B1079,"",(设置!$B$6-$B1079)*100000+ROW()),""))</f>
        <v/>
      </c>
      <c r="V1079" s="0" t="str">
        <f aca="false">IF(ISNUMBER($O1079),IF($O1079&gt;=2,IF(COUNTIFS($D1079:$D$2006,$D1079,$E1079:$E$2006,$E1079)=1,ROW(),""),""),"")</f>
        <v/>
      </c>
    </row>
    <row r="1080" customFormat="false" ht="15" hidden="false" customHeight="true" outlineLevel="0" collapsed="false">
      <c r="A1080" s="13" t="str">
        <f aca="false">IF(AND($B1080="",$D1080="",$E1080="",$F1080=""),"",IF(OR($B1080="",$D1080="",$E1080=""),"待补",IF($D1080="公共区域","公",IF($D1080="商铺","S",SUBSTITUTE($D1080,"栋","")))&amp;"-"&amp;$E1080&amp;"-"&amp;TEXT(MONTH($B1080),"00")&amp;TEXT(DAY($B1080),"00")&amp;IF(ISNUMBER($O1080),IF($O1080&gt;1,"-"&amp;TEXT($O1080,"00"),""),"")))</f>
        <v/>
      </c>
      <c r="B1080" s="14"/>
      <c r="C1080" s="10"/>
      <c r="D1080" s="10"/>
      <c r="E1080" s="10"/>
      <c r="F1080" s="16"/>
      <c r="G1080" s="10"/>
      <c r="H1080" s="10"/>
      <c r="I1080" s="10"/>
      <c r="J1080" s="10"/>
      <c r="K1080" s="10"/>
      <c r="L1080" s="10"/>
      <c r="M1080" s="14"/>
      <c r="N1080" s="17" t="str">
        <f aca="false">IF($B1080="","",IF($L1080="已完成",IF($M1080="","",$M1080-$B1080),IF(设置!$B$6&lt;$B1080,"",IF((设置!$B$6-$B1080)&gt;=设置!$B$5,"超期"&amp;(设置!$B$6-$B1080)&amp;"天","已等"&amp;(设置!$B$6-$B1080)&amp;"天"))))</f>
        <v/>
      </c>
      <c r="O1080" s="18" t="str">
        <f aca="false">IF(OR($D1080="",$E1080=""),"",COUNTIFS($D$7:$D1080,$D1080,$E$7:$E1080,$E1080))</f>
        <v/>
      </c>
      <c r="P1080" s="16"/>
      <c r="Q1080" s="19"/>
      <c r="R1080" s="10"/>
      <c r="S1080" s="16"/>
      <c r="T1080" s="0" t="str">
        <f aca="false">IF(OR($D1080="",单元查询!$B$3=""),"",IF($D1080&lt;&gt;单元查询!$B$3,"",IF(OR(单元查询!$D$3="",$E1080&amp;""=单元查询!$D$3&amp;""),IF(ISNUMBER($B1080),$B1080*10000,0)+ROW(),"")))</f>
        <v/>
      </c>
      <c r="U1080" s="0" t="str">
        <f aca="false">IF(OR($B1080="",$L1080="已完成"),"",IF(ISNUMBER($B1080),IF(设置!$B$6&lt;$B1080,"",(设置!$B$6-$B1080)*100000+ROW()),""))</f>
        <v/>
      </c>
      <c r="V1080" s="0" t="str">
        <f aca="false">IF(ISNUMBER($O1080),IF($O1080&gt;=2,IF(COUNTIFS($D1080:$D$2006,$D1080,$E1080:$E$2006,$E1080)=1,ROW(),""),""),"")</f>
        <v/>
      </c>
    </row>
    <row r="1081" customFormat="false" ht="15" hidden="false" customHeight="true" outlineLevel="0" collapsed="false">
      <c r="A1081" s="13" t="str">
        <f aca="false">IF(AND($B1081="",$D1081="",$E1081="",$F1081=""),"",IF(OR($B1081="",$D1081="",$E1081=""),"待补",IF($D1081="公共区域","公",IF($D1081="商铺","S",SUBSTITUTE($D1081,"栋","")))&amp;"-"&amp;$E1081&amp;"-"&amp;TEXT(MONTH($B1081),"00")&amp;TEXT(DAY($B1081),"00")&amp;IF(ISNUMBER($O1081),IF($O1081&gt;1,"-"&amp;TEXT($O1081,"00"),""),"")))</f>
        <v/>
      </c>
      <c r="B1081" s="14"/>
      <c r="C1081" s="10"/>
      <c r="D1081" s="10"/>
      <c r="E1081" s="10"/>
      <c r="F1081" s="16"/>
      <c r="G1081" s="10"/>
      <c r="H1081" s="10"/>
      <c r="I1081" s="10"/>
      <c r="J1081" s="10"/>
      <c r="K1081" s="10"/>
      <c r="L1081" s="10"/>
      <c r="M1081" s="14"/>
      <c r="N1081" s="17" t="str">
        <f aca="false">IF($B1081="","",IF($L1081="已完成",IF($M1081="","",$M1081-$B1081),IF(设置!$B$6&lt;$B1081,"",IF((设置!$B$6-$B1081)&gt;=设置!$B$5,"超期"&amp;(设置!$B$6-$B1081)&amp;"天","已等"&amp;(设置!$B$6-$B1081)&amp;"天"))))</f>
        <v/>
      </c>
      <c r="O1081" s="18" t="str">
        <f aca="false">IF(OR($D1081="",$E1081=""),"",COUNTIFS($D$7:$D1081,$D1081,$E$7:$E1081,$E1081))</f>
        <v/>
      </c>
      <c r="P1081" s="16"/>
      <c r="Q1081" s="19"/>
      <c r="R1081" s="10"/>
      <c r="S1081" s="16"/>
      <c r="T1081" s="0" t="str">
        <f aca="false">IF(OR($D1081="",单元查询!$B$3=""),"",IF($D1081&lt;&gt;单元查询!$B$3,"",IF(OR(单元查询!$D$3="",$E1081&amp;""=单元查询!$D$3&amp;""),IF(ISNUMBER($B1081),$B1081*10000,0)+ROW(),"")))</f>
        <v/>
      </c>
      <c r="U1081" s="0" t="str">
        <f aca="false">IF(OR($B1081="",$L1081="已完成"),"",IF(ISNUMBER($B1081),IF(设置!$B$6&lt;$B1081,"",(设置!$B$6-$B1081)*100000+ROW()),""))</f>
        <v/>
      </c>
      <c r="V1081" s="0" t="str">
        <f aca="false">IF(ISNUMBER($O1081),IF($O1081&gt;=2,IF(COUNTIFS($D1081:$D$2006,$D1081,$E1081:$E$2006,$E1081)=1,ROW(),""),""),"")</f>
        <v/>
      </c>
    </row>
    <row r="1082" customFormat="false" ht="15" hidden="false" customHeight="true" outlineLevel="0" collapsed="false">
      <c r="A1082" s="13" t="str">
        <f aca="false">IF(AND($B1082="",$D1082="",$E1082="",$F1082=""),"",IF(OR($B1082="",$D1082="",$E1082=""),"待补",IF($D1082="公共区域","公",IF($D1082="商铺","S",SUBSTITUTE($D1082,"栋","")))&amp;"-"&amp;$E1082&amp;"-"&amp;TEXT(MONTH($B1082),"00")&amp;TEXT(DAY($B1082),"00")&amp;IF(ISNUMBER($O1082),IF($O1082&gt;1,"-"&amp;TEXT($O1082,"00"),""),"")))</f>
        <v/>
      </c>
      <c r="B1082" s="14"/>
      <c r="C1082" s="10"/>
      <c r="D1082" s="10"/>
      <c r="E1082" s="10"/>
      <c r="F1082" s="16"/>
      <c r="G1082" s="10"/>
      <c r="H1082" s="10"/>
      <c r="I1082" s="10"/>
      <c r="J1082" s="10"/>
      <c r="K1082" s="10"/>
      <c r="L1082" s="10"/>
      <c r="M1082" s="14"/>
      <c r="N1082" s="17" t="str">
        <f aca="false">IF($B1082="","",IF($L1082="已完成",IF($M1082="","",$M1082-$B1082),IF(设置!$B$6&lt;$B1082,"",IF((设置!$B$6-$B1082)&gt;=设置!$B$5,"超期"&amp;(设置!$B$6-$B1082)&amp;"天","已等"&amp;(设置!$B$6-$B1082)&amp;"天"))))</f>
        <v/>
      </c>
      <c r="O1082" s="18" t="str">
        <f aca="false">IF(OR($D1082="",$E1082=""),"",COUNTIFS($D$7:$D1082,$D1082,$E$7:$E1082,$E1082))</f>
        <v/>
      </c>
      <c r="P1082" s="16"/>
      <c r="Q1082" s="19"/>
      <c r="R1082" s="10"/>
      <c r="S1082" s="16"/>
      <c r="T1082" s="0" t="str">
        <f aca="false">IF(OR($D1082="",单元查询!$B$3=""),"",IF($D1082&lt;&gt;单元查询!$B$3,"",IF(OR(单元查询!$D$3="",$E1082&amp;""=单元查询!$D$3&amp;""),IF(ISNUMBER($B1082),$B1082*10000,0)+ROW(),"")))</f>
        <v/>
      </c>
      <c r="U1082" s="0" t="str">
        <f aca="false">IF(OR($B1082="",$L1082="已完成"),"",IF(ISNUMBER($B1082),IF(设置!$B$6&lt;$B1082,"",(设置!$B$6-$B1082)*100000+ROW()),""))</f>
        <v/>
      </c>
      <c r="V1082" s="0" t="str">
        <f aca="false">IF(ISNUMBER($O1082),IF($O1082&gt;=2,IF(COUNTIFS($D1082:$D$2006,$D1082,$E1082:$E$2006,$E1082)=1,ROW(),""),""),"")</f>
        <v/>
      </c>
    </row>
    <row r="1083" customFormat="false" ht="15" hidden="false" customHeight="true" outlineLevel="0" collapsed="false">
      <c r="A1083" s="13" t="str">
        <f aca="false">IF(AND($B1083="",$D1083="",$E1083="",$F1083=""),"",IF(OR($B1083="",$D1083="",$E1083=""),"待补",IF($D1083="公共区域","公",IF($D1083="商铺","S",SUBSTITUTE($D1083,"栋","")))&amp;"-"&amp;$E1083&amp;"-"&amp;TEXT(MONTH($B1083),"00")&amp;TEXT(DAY($B1083),"00")&amp;IF(ISNUMBER($O1083),IF($O1083&gt;1,"-"&amp;TEXT($O1083,"00"),""),"")))</f>
        <v/>
      </c>
      <c r="B1083" s="14"/>
      <c r="C1083" s="10"/>
      <c r="D1083" s="10"/>
      <c r="E1083" s="10"/>
      <c r="F1083" s="16"/>
      <c r="G1083" s="10"/>
      <c r="H1083" s="10"/>
      <c r="I1083" s="10"/>
      <c r="J1083" s="10"/>
      <c r="K1083" s="10"/>
      <c r="L1083" s="10"/>
      <c r="M1083" s="14"/>
      <c r="N1083" s="17" t="str">
        <f aca="false">IF($B1083="","",IF($L1083="已完成",IF($M1083="","",$M1083-$B1083),IF(设置!$B$6&lt;$B1083,"",IF((设置!$B$6-$B1083)&gt;=设置!$B$5,"超期"&amp;(设置!$B$6-$B1083)&amp;"天","已等"&amp;(设置!$B$6-$B1083)&amp;"天"))))</f>
        <v/>
      </c>
      <c r="O1083" s="18" t="str">
        <f aca="false">IF(OR($D1083="",$E1083=""),"",COUNTIFS($D$7:$D1083,$D1083,$E$7:$E1083,$E1083))</f>
        <v/>
      </c>
      <c r="P1083" s="16"/>
      <c r="Q1083" s="19"/>
      <c r="R1083" s="10"/>
      <c r="S1083" s="16"/>
      <c r="T1083" s="0" t="str">
        <f aca="false">IF(OR($D1083="",单元查询!$B$3=""),"",IF($D1083&lt;&gt;单元查询!$B$3,"",IF(OR(单元查询!$D$3="",$E1083&amp;""=单元查询!$D$3&amp;""),IF(ISNUMBER($B1083),$B1083*10000,0)+ROW(),"")))</f>
        <v/>
      </c>
      <c r="U1083" s="0" t="str">
        <f aca="false">IF(OR($B1083="",$L1083="已完成"),"",IF(ISNUMBER($B1083),IF(设置!$B$6&lt;$B1083,"",(设置!$B$6-$B1083)*100000+ROW()),""))</f>
        <v/>
      </c>
      <c r="V1083" s="0" t="str">
        <f aca="false">IF(ISNUMBER($O1083),IF($O1083&gt;=2,IF(COUNTIFS($D1083:$D$2006,$D1083,$E1083:$E$2006,$E1083)=1,ROW(),""),""),"")</f>
        <v/>
      </c>
    </row>
    <row r="1084" customFormat="false" ht="15" hidden="false" customHeight="true" outlineLevel="0" collapsed="false">
      <c r="A1084" s="13" t="str">
        <f aca="false">IF(AND($B1084="",$D1084="",$E1084="",$F1084=""),"",IF(OR($B1084="",$D1084="",$E1084=""),"待补",IF($D1084="公共区域","公",IF($D1084="商铺","S",SUBSTITUTE($D1084,"栋","")))&amp;"-"&amp;$E1084&amp;"-"&amp;TEXT(MONTH($B1084),"00")&amp;TEXT(DAY($B1084),"00")&amp;IF(ISNUMBER($O1084),IF($O1084&gt;1,"-"&amp;TEXT($O1084,"00"),""),"")))</f>
        <v/>
      </c>
      <c r="B1084" s="14"/>
      <c r="C1084" s="10"/>
      <c r="D1084" s="10"/>
      <c r="E1084" s="10"/>
      <c r="F1084" s="16"/>
      <c r="G1084" s="10"/>
      <c r="H1084" s="10"/>
      <c r="I1084" s="10"/>
      <c r="J1084" s="10"/>
      <c r="K1084" s="10"/>
      <c r="L1084" s="10"/>
      <c r="M1084" s="14"/>
      <c r="N1084" s="17" t="str">
        <f aca="false">IF($B1084="","",IF($L1084="已完成",IF($M1084="","",$M1084-$B1084),IF(设置!$B$6&lt;$B1084,"",IF((设置!$B$6-$B1084)&gt;=设置!$B$5,"超期"&amp;(设置!$B$6-$B1084)&amp;"天","已等"&amp;(设置!$B$6-$B1084)&amp;"天"))))</f>
        <v/>
      </c>
      <c r="O1084" s="18" t="str">
        <f aca="false">IF(OR($D1084="",$E1084=""),"",COUNTIFS($D$7:$D1084,$D1084,$E$7:$E1084,$E1084))</f>
        <v/>
      </c>
      <c r="P1084" s="16"/>
      <c r="Q1084" s="19"/>
      <c r="R1084" s="10"/>
      <c r="S1084" s="16"/>
      <c r="T1084" s="0" t="str">
        <f aca="false">IF(OR($D1084="",单元查询!$B$3=""),"",IF($D1084&lt;&gt;单元查询!$B$3,"",IF(OR(单元查询!$D$3="",$E1084&amp;""=单元查询!$D$3&amp;""),IF(ISNUMBER($B1084),$B1084*10000,0)+ROW(),"")))</f>
        <v/>
      </c>
      <c r="U1084" s="0" t="str">
        <f aca="false">IF(OR($B1084="",$L1084="已完成"),"",IF(ISNUMBER($B1084),IF(设置!$B$6&lt;$B1084,"",(设置!$B$6-$B1084)*100000+ROW()),""))</f>
        <v/>
      </c>
      <c r="V1084" s="0" t="str">
        <f aca="false">IF(ISNUMBER($O1084),IF($O1084&gt;=2,IF(COUNTIFS($D1084:$D$2006,$D1084,$E1084:$E$2006,$E1084)=1,ROW(),""),""),"")</f>
        <v/>
      </c>
    </row>
    <row r="1085" customFormat="false" ht="15" hidden="false" customHeight="true" outlineLevel="0" collapsed="false">
      <c r="A1085" s="13" t="str">
        <f aca="false">IF(AND($B1085="",$D1085="",$E1085="",$F1085=""),"",IF(OR($B1085="",$D1085="",$E1085=""),"待补",IF($D1085="公共区域","公",IF($D1085="商铺","S",SUBSTITUTE($D1085,"栋","")))&amp;"-"&amp;$E1085&amp;"-"&amp;TEXT(MONTH($B1085),"00")&amp;TEXT(DAY($B1085),"00")&amp;IF(ISNUMBER($O1085),IF($O1085&gt;1,"-"&amp;TEXT($O1085,"00"),""),"")))</f>
        <v/>
      </c>
      <c r="B1085" s="14"/>
      <c r="C1085" s="10"/>
      <c r="D1085" s="10"/>
      <c r="E1085" s="10"/>
      <c r="F1085" s="16"/>
      <c r="G1085" s="10"/>
      <c r="H1085" s="10"/>
      <c r="I1085" s="10"/>
      <c r="J1085" s="10"/>
      <c r="K1085" s="10"/>
      <c r="L1085" s="10"/>
      <c r="M1085" s="14"/>
      <c r="N1085" s="17" t="str">
        <f aca="false">IF($B1085="","",IF($L1085="已完成",IF($M1085="","",$M1085-$B1085),IF(设置!$B$6&lt;$B1085,"",IF((设置!$B$6-$B1085)&gt;=设置!$B$5,"超期"&amp;(设置!$B$6-$B1085)&amp;"天","已等"&amp;(设置!$B$6-$B1085)&amp;"天"))))</f>
        <v/>
      </c>
      <c r="O1085" s="18" t="str">
        <f aca="false">IF(OR($D1085="",$E1085=""),"",COUNTIFS($D$7:$D1085,$D1085,$E$7:$E1085,$E1085))</f>
        <v/>
      </c>
      <c r="P1085" s="16"/>
      <c r="Q1085" s="19"/>
      <c r="R1085" s="10"/>
      <c r="S1085" s="16"/>
      <c r="T1085" s="0" t="str">
        <f aca="false">IF(OR($D1085="",单元查询!$B$3=""),"",IF($D1085&lt;&gt;单元查询!$B$3,"",IF(OR(单元查询!$D$3="",$E1085&amp;""=单元查询!$D$3&amp;""),IF(ISNUMBER($B1085),$B1085*10000,0)+ROW(),"")))</f>
        <v/>
      </c>
      <c r="U1085" s="0" t="str">
        <f aca="false">IF(OR($B1085="",$L1085="已完成"),"",IF(ISNUMBER($B1085),IF(设置!$B$6&lt;$B1085,"",(设置!$B$6-$B1085)*100000+ROW()),""))</f>
        <v/>
      </c>
      <c r="V1085" s="0" t="str">
        <f aca="false">IF(ISNUMBER($O1085),IF($O1085&gt;=2,IF(COUNTIFS($D1085:$D$2006,$D1085,$E1085:$E$2006,$E1085)=1,ROW(),""),""),"")</f>
        <v/>
      </c>
    </row>
    <row r="1086" customFormat="false" ht="15" hidden="false" customHeight="true" outlineLevel="0" collapsed="false">
      <c r="A1086" s="13" t="str">
        <f aca="false">IF(AND($B1086="",$D1086="",$E1086="",$F1086=""),"",IF(OR($B1086="",$D1086="",$E1086=""),"待补",IF($D1086="公共区域","公",IF($D1086="商铺","S",SUBSTITUTE($D1086,"栋","")))&amp;"-"&amp;$E1086&amp;"-"&amp;TEXT(MONTH($B1086),"00")&amp;TEXT(DAY($B1086),"00")&amp;IF(ISNUMBER($O1086),IF($O1086&gt;1,"-"&amp;TEXT($O1086,"00"),""),"")))</f>
        <v/>
      </c>
      <c r="B1086" s="14"/>
      <c r="C1086" s="10"/>
      <c r="D1086" s="10"/>
      <c r="E1086" s="10"/>
      <c r="F1086" s="16"/>
      <c r="G1086" s="10"/>
      <c r="H1086" s="10"/>
      <c r="I1086" s="10"/>
      <c r="J1086" s="10"/>
      <c r="K1086" s="10"/>
      <c r="L1086" s="10"/>
      <c r="M1086" s="14"/>
      <c r="N1086" s="17" t="str">
        <f aca="false">IF($B1086="","",IF($L1086="已完成",IF($M1086="","",$M1086-$B1086),IF(设置!$B$6&lt;$B1086,"",IF((设置!$B$6-$B1086)&gt;=设置!$B$5,"超期"&amp;(设置!$B$6-$B1086)&amp;"天","已等"&amp;(设置!$B$6-$B1086)&amp;"天"))))</f>
        <v/>
      </c>
      <c r="O1086" s="18" t="str">
        <f aca="false">IF(OR($D1086="",$E1086=""),"",COUNTIFS($D$7:$D1086,$D1086,$E$7:$E1086,$E1086))</f>
        <v/>
      </c>
      <c r="P1086" s="16"/>
      <c r="Q1086" s="19"/>
      <c r="R1086" s="10"/>
      <c r="S1086" s="16"/>
      <c r="T1086" s="0" t="str">
        <f aca="false">IF(OR($D1086="",单元查询!$B$3=""),"",IF($D1086&lt;&gt;单元查询!$B$3,"",IF(OR(单元查询!$D$3="",$E1086&amp;""=单元查询!$D$3&amp;""),IF(ISNUMBER($B1086),$B1086*10000,0)+ROW(),"")))</f>
        <v/>
      </c>
      <c r="U1086" s="0" t="str">
        <f aca="false">IF(OR($B1086="",$L1086="已完成"),"",IF(ISNUMBER($B1086),IF(设置!$B$6&lt;$B1086,"",(设置!$B$6-$B1086)*100000+ROW()),""))</f>
        <v/>
      </c>
      <c r="V1086" s="0" t="str">
        <f aca="false">IF(ISNUMBER($O1086),IF($O1086&gt;=2,IF(COUNTIFS($D1086:$D$2006,$D1086,$E1086:$E$2006,$E1086)=1,ROW(),""),""),"")</f>
        <v/>
      </c>
    </row>
    <row r="1087" customFormat="false" ht="15" hidden="false" customHeight="true" outlineLevel="0" collapsed="false">
      <c r="A1087" s="13" t="str">
        <f aca="false">IF(AND($B1087="",$D1087="",$E1087="",$F1087=""),"",IF(OR($B1087="",$D1087="",$E1087=""),"待补",IF($D1087="公共区域","公",IF($D1087="商铺","S",SUBSTITUTE($D1087,"栋","")))&amp;"-"&amp;$E1087&amp;"-"&amp;TEXT(MONTH($B1087),"00")&amp;TEXT(DAY($B1087),"00")&amp;IF(ISNUMBER($O1087),IF($O1087&gt;1,"-"&amp;TEXT($O1087,"00"),""),"")))</f>
        <v/>
      </c>
      <c r="B1087" s="14"/>
      <c r="C1087" s="10"/>
      <c r="D1087" s="10"/>
      <c r="E1087" s="10"/>
      <c r="F1087" s="16"/>
      <c r="G1087" s="10"/>
      <c r="H1087" s="10"/>
      <c r="I1087" s="10"/>
      <c r="J1087" s="10"/>
      <c r="K1087" s="10"/>
      <c r="L1087" s="10"/>
      <c r="M1087" s="14"/>
      <c r="N1087" s="17" t="str">
        <f aca="false">IF($B1087="","",IF($L1087="已完成",IF($M1087="","",$M1087-$B1087),IF(设置!$B$6&lt;$B1087,"",IF((设置!$B$6-$B1087)&gt;=设置!$B$5,"超期"&amp;(设置!$B$6-$B1087)&amp;"天","已等"&amp;(设置!$B$6-$B1087)&amp;"天"))))</f>
        <v/>
      </c>
      <c r="O1087" s="18" t="str">
        <f aca="false">IF(OR($D1087="",$E1087=""),"",COUNTIFS($D$7:$D1087,$D1087,$E$7:$E1087,$E1087))</f>
        <v/>
      </c>
      <c r="P1087" s="16"/>
      <c r="Q1087" s="19"/>
      <c r="R1087" s="10"/>
      <c r="S1087" s="16"/>
      <c r="T1087" s="0" t="str">
        <f aca="false">IF(OR($D1087="",单元查询!$B$3=""),"",IF($D1087&lt;&gt;单元查询!$B$3,"",IF(OR(单元查询!$D$3="",$E1087&amp;""=单元查询!$D$3&amp;""),IF(ISNUMBER($B1087),$B1087*10000,0)+ROW(),"")))</f>
        <v/>
      </c>
      <c r="U1087" s="0" t="str">
        <f aca="false">IF(OR($B1087="",$L1087="已完成"),"",IF(ISNUMBER($B1087),IF(设置!$B$6&lt;$B1087,"",(设置!$B$6-$B1087)*100000+ROW()),""))</f>
        <v/>
      </c>
      <c r="V1087" s="0" t="str">
        <f aca="false">IF(ISNUMBER($O1087),IF($O1087&gt;=2,IF(COUNTIFS($D1087:$D$2006,$D1087,$E1087:$E$2006,$E1087)=1,ROW(),""),""),"")</f>
        <v/>
      </c>
    </row>
    <row r="1088" customFormat="false" ht="15" hidden="false" customHeight="true" outlineLevel="0" collapsed="false">
      <c r="A1088" s="13" t="str">
        <f aca="false">IF(AND($B1088="",$D1088="",$E1088="",$F1088=""),"",IF(OR($B1088="",$D1088="",$E1088=""),"待补",IF($D1088="公共区域","公",IF($D1088="商铺","S",SUBSTITUTE($D1088,"栋","")))&amp;"-"&amp;$E1088&amp;"-"&amp;TEXT(MONTH($B1088),"00")&amp;TEXT(DAY($B1088),"00")&amp;IF(ISNUMBER($O1088),IF($O1088&gt;1,"-"&amp;TEXT($O1088,"00"),""),"")))</f>
        <v/>
      </c>
      <c r="B1088" s="14"/>
      <c r="C1088" s="10"/>
      <c r="D1088" s="10"/>
      <c r="E1088" s="10"/>
      <c r="F1088" s="16"/>
      <c r="G1088" s="10"/>
      <c r="H1088" s="10"/>
      <c r="I1088" s="10"/>
      <c r="J1088" s="10"/>
      <c r="K1088" s="10"/>
      <c r="L1088" s="10"/>
      <c r="M1088" s="14"/>
      <c r="N1088" s="17" t="str">
        <f aca="false">IF($B1088="","",IF($L1088="已完成",IF($M1088="","",$M1088-$B1088),IF(设置!$B$6&lt;$B1088,"",IF((设置!$B$6-$B1088)&gt;=设置!$B$5,"超期"&amp;(设置!$B$6-$B1088)&amp;"天","已等"&amp;(设置!$B$6-$B1088)&amp;"天"))))</f>
        <v/>
      </c>
      <c r="O1088" s="18" t="str">
        <f aca="false">IF(OR($D1088="",$E1088=""),"",COUNTIFS($D$7:$D1088,$D1088,$E$7:$E1088,$E1088))</f>
        <v/>
      </c>
      <c r="P1088" s="16"/>
      <c r="Q1088" s="19"/>
      <c r="R1088" s="10"/>
      <c r="S1088" s="16"/>
      <c r="T1088" s="0" t="str">
        <f aca="false">IF(OR($D1088="",单元查询!$B$3=""),"",IF($D1088&lt;&gt;单元查询!$B$3,"",IF(OR(单元查询!$D$3="",$E1088&amp;""=单元查询!$D$3&amp;""),IF(ISNUMBER($B1088),$B1088*10000,0)+ROW(),"")))</f>
        <v/>
      </c>
      <c r="U1088" s="0" t="str">
        <f aca="false">IF(OR($B1088="",$L1088="已完成"),"",IF(ISNUMBER($B1088),IF(设置!$B$6&lt;$B1088,"",(设置!$B$6-$B1088)*100000+ROW()),""))</f>
        <v/>
      </c>
      <c r="V1088" s="0" t="str">
        <f aca="false">IF(ISNUMBER($O1088),IF($O1088&gt;=2,IF(COUNTIFS($D1088:$D$2006,$D1088,$E1088:$E$2006,$E1088)=1,ROW(),""),""),"")</f>
        <v/>
      </c>
    </row>
    <row r="1089" customFormat="false" ht="15" hidden="false" customHeight="true" outlineLevel="0" collapsed="false">
      <c r="A1089" s="13" t="str">
        <f aca="false">IF(AND($B1089="",$D1089="",$E1089="",$F1089=""),"",IF(OR($B1089="",$D1089="",$E1089=""),"待补",IF($D1089="公共区域","公",IF($D1089="商铺","S",SUBSTITUTE($D1089,"栋","")))&amp;"-"&amp;$E1089&amp;"-"&amp;TEXT(MONTH($B1089),"00")&amp;TEXT(DAY($B1089),"00")&amp;IF(ISNUMBER($O1089),IF($O1089&gt;1,"-"&amp;TEXT($O1089,"00"),""),"")))</f>
        <v/>
      </c>
      <c r="B1089" s="14"/>
      <c r="C1089" s="10"/>
      <c r="D1089" s="10"/>
      <c r="E1089" s="10"/>
      <c r="F1089" s="16"/>
      <c r="G1089" s="10"/>
      <c r="H1089" s="10"/>
      <c r="I1089" s="10"/>
      <c r="J1089" s="10"/>
      <c r="K1089" s="10"/>
      <c r="L1089" s="10"/>
      <c r="M1089" s="14"/>
      <c r="N1089" s="17" t="str">
        <f aca="false">IF($B1089="","",IF($L1089="已完成",IF($M1089="","",$M1089-$B1089),IF(设置!$B$6&lt;$B1089,"",IF((设置!$B$6-$B1089)&gt;=设置!$B$5,"超期"&amp;(设置!$B$6-$B1089)&amp;"天","已等"&amp;(设置!$B$6-$B1089)&amp;"天"))))</f>
        <v/>
      </c>
      <c r="O1089" s="18" t="str">
        <f aca="false">IF(OR($D1089="",$E1089=""),"",COUNTIFS($D$7:$D1089,$D1089,$E$7:$E1089,$E1089))</f>
        <v/>
      </c>
      <c r="P1089" s="16"/>
      <c r="Q1089" s="19"/>
      <c r="R1089" s="10"/>
      <c r="S1089" s="16"/>
      <c r="T1089" s="0" t="str">
        <f aca="false">IF(OR($D1089="",单元查询!$B$3=""),"",IF($D1089&lt;&gt;单元查询!$B$3,"",IF(OR(单元查询!$D$3="",$E1089&amp;""=单元查询!$D$3&amp;""),IF(ISNUMBER($B1089),$B1089*10000,0)+ROW(),"")))</f>
        <v/>
      </c>
      <c r="U1089" s="0" t="str">
        <f aca="false">IF(OR($B1089="",$L1089="已完成"),"",IF(ISNUMBER($B1089),IF(设置!$B$6&lt;$B1089,"",(设置!$B$6-$B1089)*100000+ROW()),""))</f>
        <v/>
      </c>
      <c r="V1089" s="0" t="str">
        <f aca="false">IF(ISNUMBER($O1089),IF($O1089&gt;=2,IF(COUNTIFS($D1089:$D$2006,$D1089,$E1089:$E$2006,$E1089)=1,ROW(),""),""),"")</f>
        <v/>
      </c>
    </row>
    <row r="1090" customFormat="false" ht="15" hidden="false" customHeight="true" outlineLevel="0" collapsed="false">
      <c r="A1090" s="13" t="str">
        <f aca="false">IF(AND($B1090="",$D1090="",$E1090="",$F1090=""),"",IF(OR($B1090="",$D1090="",$E1090=""),"待补",IF($D1090="公共区域","公",IF($D1090="商铺","S",SUBSTITUTE($D1090,"栋","")))&amp;"-"&amp;$E1090&amp;"-"&amp;TEXT(MONTH($B1090),"00")&amp;TEXT(DAY($B1090),"00")&amp;IF(ISNUMBER($O1090),IF($O1090&gt;1,"-"&amp;TEXT($O1090,"00"),""),"")))</f>
        <v/>
      </c>
      <c r="B1090" s="14"/>
      <c r="C1090" s="10"/>
      <c r="D1090" s="10"/>
      <c r="E1090" s="10"/>
      <c r="F1090" s="16"/>
      <c r="G1090" s="10"/>
      <c r="H1090" s="10"/>
      <c r="I1090" s="10"/>
      <c r="J1090" s="10"/>
      <c r="K1090" s="10"/>
      <c r="L1090" s="10"/>
      <c r="M1090" s="14"/>
      <c r="N1090" s="17" t="str">
        <f aca="false">IF($B1090="","",IF($L1090="已完成",IF($M1090="","",$M1090-$B1090),IF(设置!$B$6&lt;$B1090,"",IF((设置!$B$6-$B1090)&gt;=设置!$B$5,"超期"&amp;(设置!$B$6-$B1090)&amp;"天","已等"&amp;(设置!$B$6-$B1090)&amp;"天"))))</f>
        <v/>
      </c>
      <c r="O1090" s="18" t="str">
        <f aca="false">IF(OR($D1090="",$E1090=""),"",COUNTIFS($D$7:$D1090,$D1090,$E$7:$E1090,$E1090))</f>
        <v/>
      </c>
      <c r="P1090" s="16"/>
      <c r="Q1090" s="19"/>
      <c r="R1090" s="10"/>
      <c r="S1090" s="16"/>
      <c r="T1090" s="0" t="str">
        <f aca="false">IF(OR($D1090="",单元查询!$B$3=""),"",IF($D1090&lt;&gt;单元查询!$B$3,"",IF(OR(单元查询!$D$3="",$E1090&amp;""=单元查询!$D$3&amp;""),IF(ISNUMBER($B1090),$B1090*10000,0)+ROW(),"")))</f>
        <v/>
      </c>
      <c r="U1090" s="0" t="str">
        <f aca="false">IF(OR($B1090="",$L1090="已完成"),"",IF(ISNUMBER($B1090),IF(设置!$B$6&lt;$B1090,"",(设置!$B$6-$B1090)*100000+ROW()),""))</f>
        <v/>
      </c>
      <c r="V1090" s="0" t="str">
        <f aca="false">IF(ISNUMBER($O1090),IF($O1090&gt;=2,IF(COUNTIFS($D1090:$D$2006,$D1090,$E1090:$E$2006,$E1090)=1,ROW(),""),""),"")</f>
        <v/>
      </c>
    </row>
    <row r="1091" customFormat="false" ht="15" hidden="false" customHeight="true" outlineLevel="0" collapsed="false">
      <c r="A1091" s="13" t="str">
        <f aca="false">IF(AND($B1091="",$D1091="",$E1091="",$F1091=""),"",IF(OR($B1091="",$D1091="",$E1091=""),"待补",IF($D1091="公共区域","公",IF($D1091="商铺","S",SUBSTITUTE($D1091,"栋","")))&amp;"-"&amp;$E1091&amp;"-"&amp;TEXT(MONTH($B1091),"00")&amp;TEXT(DAY($B1091),"00")&amp;IF(ISNUMBER($O1091),IF($O1091&gt;1,"-"&amp;TEXT($O1091,"00"),""),"")))</f>
        <v/>
      </c>
      <c r="B1091" s="14"/>
      <c r="C1091" s="10"/>
      <c r="D1091" s="10"/>
      <c r="E1091" s="10"/>
      <c r="F1091" s="16"/>
      <c r="G1091" s="10"/>
      <c r="H1091" s="10"/>
      <c r="I1091" s="10"/>
      <c r="J1091" s="10"/>
      <c r="K1091" s="10"/>
      <c r="L1091" s="10"/>
      <c r="M1091" s="14"/>
      <c r="N1091" s="17" t="str">
        <f aca="false">IF($B1091="","",IF($L1091="已完成",IF($M1091="","",$M1091-$B1091),IF(设置!$B$6&lt;$B1091,"",IF((设置!$B$6-$B1091)&gt;=设置!$B$5,"超期"&amp;(设置!$B$6-$B1091)&amp;"天","已等"&amp;(设置!$B$6-$B1091)&amp;"天"))))</f>
        <v/>
      </c>
      <c r="O1091" s="18" t="str">
        <f aca="false">IF(OR($D1091="",$E1091=""),"",COUNTIFS($D$7:$D1091,$D1091,$E$7:$E1091,$E1091))</f>
        <v/>
      </c>
      <c r="P1091" s="16"/>
      <c r="Q1091" s="19"/>
      <c r="R1091" s="10"/>
      <c r="S1091" s="16"/>
      <c r="T1091" s="0" t="str">
        <f aca="false">IF(OR($D1091="",单元查询!$B$3=""),"",IF($D1091&lt;&gt;单元查询!$B$3,"",IF(OR(单元查询!$D$3="",$E1091&amp;""=单元查询!$D$3&amp;""),IF(ISNUMBER($B1091),$B1091*10000,0)+ROW(),"")))</f>
        <v/>
      </c>
      <c r="U1091" s="0" t="str">
        <f aca="false">IF(OR($B1091="",$L1091="已完成"),"",IF(ISNUMBER($B1091),IF(设置!$B$6&lt;$B1091,"",(设置!$B$6-$B1091)*100000+ROW()),""))</f>
        <v/>
      </c>
      <c r="V1091" s="0" t="str">
        <f aca="false">IF(ISNUMBER($O1091),IF($O1091&gt;=2,IF(COUNTIFS($D1091:$D$2006,$D1091,$E1091:$E$2006,$E1091)=1,ROW(),""),""),"")</f>
        <v/>
      </c>
    </row>
    <row r="1092" customFormat="false" ht="15" hidden="false" customHeight="true" outlineLevel="0" collapsed="false">
      <c r="A1092" s="13" t="str">
        <f aca="false">IF(AND($B1092="",$D1092="",$E1092="",$F1092=""),"",IF(OR($B1092="",$D1092="",$E1092=""),"待补",IF($D1092="公共区域","公",IF($D1092="商铺","S",SUBSTITUTE($D1092,"栋","")))&amp;"-"&amp;$E1092&amp;"-"&amp;TEXT(MONTH($B1092),"00")&amp;TEXT(DAY($B1092),"00")&amp;IF(ISNUMBER($O1092),IF($O1092&gt;1,"-"&amp;TEXT($O1092,"00"),""),"")))</f>
        <v/>
      </c>
      <c r="B1092" s="14"/>
      <c r="C1092" s="10"/>
      <c r="D1092" s="10"/>
      <c r="E1092" s="10"/>
      <c r="F1092" s="16"/>
      <c r="G1092" s="10"/>
      <c r="H1092" s="10"/>
      <c r="I1092" s="10"/>
      <c r="J1092" s="10"/>
      <c r="K1092" s="10"/>
      <c r="L1092" s="10"/>
      <c r="M1092" s="14"/>
      <c r="N1092" s="17" t="str">
        <f aca="false">IF($B1092="","",IF($L1092="已完成",IF($M1092="","",$M1092-$B1092),IF(设置!$B$6&lt;$B1092,"",IF((设置!$B$6-$B1092)&gt;=设置!$B$5,"超期"&amp;(设置!$B$6-$B1092)&amp;"天","已等"&amp;(设置!$B$6-$B1092)&amp;"天"))))</f>
        <v/>
      </c>
      <c r="O1092" s="18" t="str">
        <f aca="false">IF(OR($D1092="",$E1092=""),"",COUNTIFS($D$7:$D1092,$D1092,$E$7:$E1092,$E1092))</f>
        <v/>
      </c>
      <c r="P1092" s="16"/>
      <c r="Q1092" s="19"/>
      <c r="R1092" s="10"/>
      <c r="S1092" s="16"/>
      <c r="T1092" s="0" t="str">
        <f aca="false">IF(OR($D1092="",单元查询!$B$3=""),"",IF($D1092&lt;&gt;单元查询!$B$3,"",IF(OR(单元查询!$D$3="",$E1092&amp;""=单元查询!$D$3&amp;""),IF(ISNUMBER($B1092),$B1092*10000,0)+ROW(),"")))</f>
        <v/>
      </c>
      <c r="U1092" s="0" t="str">
        <f aca="false">IF(OR($B1092="",$L1092="已完成"),"",IF(ISNUMBER($B1092),IF(设置!$B$6&lt;$B1092,"",(设置!$B$6-$B1092)*100000+ROW()),""))</f>
        <v/>
      </c>
      <c r="V1092" s="0" t="str">
        <f aca="false">IF(ISNUMBER($O1092),IF($O1092&gt;=2,IF(COUNTIFS($D1092:$D$2006,$D1092,$E1092:$E$2006,$E1092)=1,ROW(),""),""),"")</f>
        <v/>
      </c>
    </row>
    <row r="1093" customFormat="false" ht="15" hidden="false" customHeight="true" outlineLevel="0" collapsed="false">
      <c r="A1093" s="13" t="str">
        <f aca="false">IF(AND($B1093="",$D1093="",$E1093="",$F1093=""),"",IF(OR($B1093="",$D1093="",$E1093=""),"待补",IF($D1093="公共区域","公",IF($D1093="商铺","S",SUBSTITUTE($D1093,"栋","")))&amp;"-"&amp;$E1093&amp;"-"&amp;TEXT(MONTH($B1093),"00")&amp;TEXT(DAY($B1093),"00")&amp;IF(ISNUMBER($O1093),IF($O1093&gt;1,"-"&amp;TEXT($O1093,"00"),""),"")))</f>
        <v/>
      </c>
      <c r="B1093" s="14"/>
      <c r="C1093" s="10"/>
      <c r="D1093" s="10"/>
      <c r="E1093" s="10"/>
      <c r="F1093" s="16"/>
      <c r="G1093" s="10"/>
      <c r="H1093" s="10"/>
      <c r="I1093" s="10"/>
      <c r="J1093" s="10"/>
      <c r="K1093" s="10"/>
      <c r="L1093" s="10"/>
      <c r="M1093" s="14"/>
      <c r="N1093" s="17" t="str">
        <f aca="false">IF($B1093="","",IF($L1093="已完成",IF($M1093="","",$M1093-$B1093),IF(设置!$B$6&lt;$B1093,"",IF((设置!$B$6-$B1093)&gt;=设置!$B$5,"超期"&amp;(设置!$B$6-$B1093)&amp;"天","已等"&amp;(设置!$B$6-$B1093)&amp;"天"))))</f>
        <v/>
      </c>
      <c r="O1093" s="18" t="str">
        <f aca="false">IF(OR($D1093="",$E1093=""),"",COUNTIFS($D$7:$D1093,$D1093,$E$7:$E1093,$E1093))</f>
        <v/>
      </c>
      <c r="P1093" s="16"/>
      <c r="Q1093" s="19"/>
      <c r="R1093" s="10"/>
      <c r="S1093" s="16"/>
      <c r="T1093" s="0" t="str">
        <f aca="false">IF(OR($D1093="",单元查询!$B$3=""),"",IF($D1093&lt;&gt;单元查询!$B$3,"",IF(OR(单元查询!$D$3="",$E1093&amp;""=单元查询!$D$3&amp;""),IF(ISNUMBER($B1093),$B1093*10000,0)+ROW(),"")))</f>
        <v/>
      </c>
      <c r="U1093" s="0" t="str">
        <f aca="false">IF(OR($B1093="",$L1093="已完成"),"",IF(ISNUMBER($B1093),IF(设置!$B$6&lt;$B1093,"",(设置!$B$6-$B1093)*100000+ROW()),""))</f>
        <v/>
      </c>
      <c r="V1093" s="0" t="str">
        <f aca="false">IF(ISNUMBER($O1093),IF($O1093&gt;=2,IF(COUNTIFS($D1093:$D$2006,$D1093,$E1093:$E$2006,$E1093)=1,ROW(),""),""),"")</f>
        <v/>
      </c>
    </row>
    <row r="1094" customFormat="false" ht="15" hidden="false" customHeight="true" outlineLevel="0" collapsed="false">
      <c r="A1094" s="13" t="str">
        <f aca="false">IF(AND($B1094="",$D1094="",$E1094="",$F1094=""),"",IF(OR($B1094="",$D1094="",$E1094=""),"待补",IF($D1094="公共区域","公",IF($D1094="商铺","S",SUBSTITUTE($D1094,"栋","")))&amp;"-"&amp;$E1094&amp;"-"&amp;TEXT(MONTH($B1094),"00")&amp;TEXT(DAY($B1094),"00")&amp;IF(ISNUMBER($O1094),IF($O1094&gt;1,"-"&amp;TEXT($O1094,"00"),""),"")))</f>
        <v/>
      </c>
      <c r="B1094" s="14"/>
      <c r="C1094" s="10"/>
      <c r="D1094" s="10"/>
      <c r="E1094" s="10"/>
      <c r="F1094" s="16"/>
      <c r="G1094" s="10"/>
      <c r="H1094" s="10"/>
      <c r="I1094" s="10"/>
      <c r="J1094" s="10"/>
      <c r="K1094" s="10"/>
      <c r="L1094" s="10"/>
      <c r="M1094" s="14"/>
      <c r="N1094" s="17" t="str">
        <f aca="false">IF($B1094="","",IF($L1094="已完成",IF($M1094="","",$M1094-$B1094),IF(设置!$B$6&lt;$B1094,"",IF((设置!$B$6-$B1094)&gt;=设置!$B$5,"超期"&amp;(设置!$B$6-$B1094)&amp;"天","已等"&amp;(设置!$B$6-$B1094)&amp;"天"))))</f>
        <v/>
      </c>
      <c r="O1094" s="18" t="str">
        <f aca="false">IF(OR($D1094="",$E1094=""),"",COUNTIFS($D$7:$D1094,$D1094,$E$7:$E1094,$E1094))</f>
        <v/>
      </c>
      <c r="P1094" s="16"/>
      <c r="Q1094" s="19"/>
      <c r="R1094" s="10"/>
      <c r="S1094" s="16"/>
      <c r="T1094" s="0" t="str">
        <f aca="false">IF(OR($D1094="",单元查询!$B$3=""),"",IF($D1094&lt;&gt;单元查询!$B$3,"",IF(OR(单元查询!$D$3="",$E1094&amp;""=单元查询!$D$3&amp;""),IF(ISNUMBER($B1094),$B1094*10000,0)+ROW(),"")))</f>
        <v/>
      </c>
      <c r="U1094" s="0" t="str">
        <f aca="false">IF(OR($B1094="",$L1094="已完成"),"",IF(ISNUMBER($B1094),IF(设置!$B$6&lt;$B1094,"",(设置!$B$6-$B1094)*100000+ROW()),""))</f>
        <v/>
      </c>
      <c r="V1094" s="0" t="str">
        <f aca="false">IF(ISNUMBER($O1094),IF($O1094&gt;=2,IF(COUNTIFS($D1094:$D$2006,$D1094,$E1094:$E$2006,$E1094)=1,ROW(),""),""),"")</f>
        <v/>
      </c>
    </row>
    <row r="1095" customFormat="false" ht="15" hidden="false" customHeight="true" outlineLevel="0" collapsed="false">
      <c r="A1095" s="13" t="str">
        <f aca="false">IF(AND($B1095="",$D1095="",$E1095="",$F1095=""),"",IF(OR($B1095="",$D1095="",$E1095=""),"待补",IF($D1095="公共区域","公",IF($D1095="商铺","S",SUBSTITUTE($D1095,"栋","")))&amp;"-"&amp;$E1095&amp;"-"&amp;TEXT(MONTH($B1095),"00")&amp;TEXT(DAY($B1095),"00")&amp;IF(ISNUMBER($O1095),IF($O1095&gt;1,"-"&amp;TEXT($O1095,"00"),""),"")))</f>
        <v/>
      </c>
      <c r="B1095" s="14"/>
      <c r="C1095" s="10"/>
      <c r="D1095" s="10"/>
      <c r="E1095" s="10"/>
      <c r="F1095" s="16"/>
      <c r="G1095" s="10"/>
      <c r="H1095" s="10"/>
      <c r="I1095" s="10"/>
      <c r="J1095" s="10"/>
      <c r="K1095" s="10"/>
      <c r="L1095" s="10"/>
      <c r="M1095" s="14"/>
      <c r="N1095" s="17" t="str">
        <f aca="false">IF($B1095="","",IF($L1095="已完成",IF($M1095="","",$M1095-$B1095),IF(设置!$B$6&lt;$B1095,"",IF((设置!$B$6-$B1095)&gt;=设置!$B$5,"超期"&amp;(设置!$B$6-$B1095)&amp;"天","已等"&amp;(设置!$B$6-$B1095)&amp;"天"))))</f>
        <v/>
      </c>
      <c r="O1095" s="18" t="str">
        <f aca="false">IF(OR($D1095="",$E1095=""),"",COUNTIFS($D$7:$D1095,$D1095,$E$7:$E1095,$E1095))</f>
        <v/>
      </c>
      <c r="P1095" s="16"/>
      <c r="Q1095" s="19"/>
      <c r="R1095" s="10"/>
      <c r="S1095" s="16"/>
      <c r="T1095" s="0" t="str">
        <f aca="false">IF(OR($D1095="",单元查询!$B$3=""),"",IF($D1095&lt;&gt;单元查询!$B$3,"",IF(OR(单元查询!$D$3="",$E1095&amp;""=单元查询!$D$3&amp;""),IF(ISNUMBER($B1095),$B1095*10000,0)+ROW(),"")))</f>
        <v/>
      </c>
      <c r="U1095" s="0" t="str">
        <f aca="false">IF(OR($B1095="",$L1095="已完成"),"",IF(ISNUMBER($B1095),IF(设置!$B$6&lt;$B1095,"",(设置!$B$6-$B1095)*100000+ROW()),""))</f>
        <v/>
      </c>
      <c r="V1095" s="0" t="str">
        <f aca="false">IF(ISNUMBER($O1095),IF($O1095&gt;=2,IF(COUNTIFS($D1095:$D$2006,$D1095,$E1095:$E$2006,$E1095)=1,ROW(),""),""),"")</f>
        <v/>
      </c>
    </row>
    <row r="1096" customFormat="false" ht="15" hidden="false" customHeight="true" outlineLevel="0" collapsed="false">
      <c r="A1096" s="13" t="str">
        <f aca="false">IF(AND($B1096="",$D1096="",$E1096="",$F1096=""),"",IF(OR($B1096="",$D1096="",$E1096=""),"待补",IF($D1096="公共区域","公",IF($D1096="商铺","S",SUBSTITUTE($D1096,"栋","")))&amp;"-"&amp;$E1096&amp;"-"&amp;TEXT(MONTH($B1096),"00")&amp;TEXT(DAY($B1096),"00")&amp;IF(ISNUMBER($O1096),IF($O1096&gt;1,"-"&amp;TEXT($O1096,"00"),""),"")))</f>
        <v/>
      </c>
      <c r="B1096" s="14"/>
      <c r="C1096" s="10"/>
      <c r="D1096" s="10"/>
      <c r="E1096" s="10"/>
      <c r="F1096" s="16"/>
      <c r="G1096" s="10"/>
      <c r="H1096" s="10"/>
      <c r="I1096" s="10"/>
      <c r="J1096" s="10"/>
      <c r="K1096" s="10"/>
      <c r="L1096" s="10"/>
      <c r="M1096" s="14"/>
      <c r="N1096" s="17" t="str">
        <f aca="false">IF($B1096="","",IF($L1096="已完成",IF($M1096="","",$M1096-$B1096),IF(设置!$B$6&lt;$B1096,"",IF((设置!$B$6-$B1096)&gt;=设置!$B$5,"超期"&amp;(设置!$B$6-$B1096)&amp;"天","已等"&amp;(设置!$B$6-$B1096)&amp;"天"))))</f>
        <v/>
      </c>
      <c r="O1096" s="18" t="str">
        <f aca="false">IF(OR($D1096="",$E1096=""),"",COUNTIFS($D$7:$D1096,$D1096,$E$7:$E1096,$E1096))</f>
        <v/>
      </c>
      <c r="P1096" s="16"/>
      <c r="Q1096" s="19"/>
      <c r="R1096" s="10"/>
      <c r="S1096" s="16"/>
      <c r="T1096" s="0" t="str">
        <f aca="false">IF(OR($D1096="",单元查询!$B$3=""),"",IF($D1096&lt;&gt;单元查询!$B$3,"",IF(OR(单元查询!$D$3="",$E1096&amp;""=单元查询!$D$3&amp;""),IF(ISNUMBER($B1096),$B1096*10000,0)+ROW(),"")))</f>
        <v/>
      </c>
      <c r="U1096" s="0" t="str">
        <f aca="false">IF(OR($B1096="",$L1096="已完成"),"",IF(ISNUMBER($B1096),IF(设置!$B$6&lt;$B1096,"",(设置!$B$6-$B1096)*100000+ROW()),""))</f>
        <v/>
      </c>
      <c r="V1096" s="0" t="str">
        <f aca="false">IF(ISNUMBER($O1096),IF($O1096&gt;=2,IF(COUNTIFS($D1096:$D$2006,$D1096,$E1096:$E$2006,$E1096)=1,ROW(),""),""),"")</f>
        <v/>
      </c>
    </row>
    <row r="1097" customFormat="false" ht="15" hidden="false" customHeight="true" outlineLevel="0" collapsed="false">
      <c r="A1097" s="13" t="str">
        <f aca="false">IF(AND($B1097="",$D1097="",$E1097="",$F1097=""),"",IF(OR($B1097="",$D1097="",$E1097=""),"待补",IF($D1097="公共区域","公",IF($D1097="商铺","S",SUBSTITUTE($D1097,"栋","")))&amp;"-"&amp;$E1097&amp;"-"&amp;TEXT(MONTH($B1097),"00")&amp;TEXT(DAY($B1097),"00")&amp;IF(ISNUMBER($O1097),IF($O1097&gt;1,"-"&amp;TEXT($O1097,"00"),""),"")))</f>
        <v/>
      </c>
      <c r="B1097" s="14"/>
      <c r="C1097" s="10"/>
      <c r="D1097" s="10"/>
      <c r="E1097" s="10"/>
      <c r="F1097" s="16"/>
      <c r="G1097" s="10"/>
      <c r="H1097" s="10"/>
      <c r="I1097" s="10"/>
      <c r="J1097" s="10"/>
      <c r="K1097" s="10"/>
      <c r="L1097" s="10"/>
      <c r="M1097" s="14"/>
      <c r="N1097" s="17" t="str">
        <f aca="false">IF($B1097="","",IF($L1097="已完成",IF($M1097="","",$M1097-$B1097),IF(设置!$B$6&lt;$B1097,"",IF((设置!$B$6-$B1097)&gt;=设置!$B$5,"超期"&amp;(设置!$B$6-$B1097)&amp;"天","已等"&amp;(设置!$B$6-$B1097)&amp;"天"))))</f>
        <v/>
      </c>
      <c r="O1097" s="18" t="str">
        <f aca="false">IF(OR($D1097="",$E1097=""),"",COUNTIFS($D$7:$D1097,$D1097,$E$7:$E1097,$E1097))</f>
        <v/>
      </c>
      <c r="P1097" s="16"/>
      <c r="Q1097" s="19"/>
      <c r="R1097" s="10"/>
      <c r="S1097" s="16"/>
      <c r="T1097" s="0" t="str">
        <f aca="false">IF(OR($D1097="",单元查询!$B$3=""),"",IF($D1097&lt;&gt;单元查询!$B$3,"",IF(OR(单元查询!$D$3="",$E1097&amp;""=单元查询!$D$3&amp;""),IF(ISNUMBER($B1097),$B1097*10000,0)+ROW(),"")))</f>
        <v/>
      </c>
      <c r="U1097" s="0" t="str">
        <f aca="false">IF(OR($B1097="",$L1097="已完成"),"",IF(ISNUMBER($B1097),IF(设置!$B$6&lt;$B1097,"",(设置!$B$6-$B1097)*100000+ROW()),""))</f>
        <v/>
      </c>
      <c r="V1097" s="0" t="str">
        <f aca="false">IF(ISNUMBER($O1097),IF($O1097&gt;=2,IF(COUNTIFS($D1097:$D$2006,$D1097,$E1097:$E$2006,$E1097)=1,ROW(),""),""),"")</f>
        <v/>
      </c>
    </row>
    <row r="1098" customFormat="false" ht="15" hidden="false" customHeight="true" outlineLevel="0" collapsed="false">
      <c r="A1098" s="13" t="str">
        <f aca="false">IF(AND($B1098="",$D1098="",$E1098="",$F1098=""),"",IF(OR($B1098="",$D1098="",$E1098=""),"待补",IF($D1098="公共区域","公",IF($D1098="商铺","S",SUBSTITUTE($D1098,"栋","")))&amp;"-"&amp;$E1098&amp;"-"&amp;TEXT(MONTH($B1098),"00")&amp;TEXT(DAY($B1098),"00")&amp;IF(ISNUMBER($O1098),IF($O1098&gt;1,"-"&amp;TEXT($O1098,"00"),""),"")))</f>
        <v/>
      </c>
      <c r="B1098" s="14"/>
      <c r="C1098" s="10"/>
      <c r="D1098" s="10"/>
      <c r="E1098" s="10"/>
      <c r="F1098" s="16"/>
      <c r="G1098" s="10"/>
      <c r="H1098" s="10"/>
      <c r="I1098" s="10"/>
      <c r="J1098" s="10"/>
      <c r="K1098" s="10"/>
      <c r="L1098" s="10"/>
      <c r="M1098" s="14"/>
      <c r="N1098" s="17" t="str">
        <f aca="false">IF($B1098="","",IF($L1098="已完成",IF($M1098="","",$M1098-$B1098),IF(设置!$B$6&lt;$B1098,"",IF((设置!$B$6-$B1098)&gt;=设置!$B$5,"超期"&amp;(设置!$B$6-$B1098)&amp;"天","已等"&amp;(设置!$B$6-$B1098)&amp;"天"))))</f>
        <v/>
      </c>
      <c r="O1098" s="18" t="str">
        <f aca="false">IF(OR($D1098="",$E1098=""),"",COUNTIFS($D$7:$D1098,$D1098,$E$7:$E1098,$E1098))</f>
        <v/>
      </c>
      <c r="P1098" s="16"/>
      <c r="Q1098" s="19"/>
      <c r="R1098" s="10"/>
      <c r="S1098" s="16"/>
      <c r="T1098" s="0" t="str">
        <f aca="false">IF(OR($D1098="",单元查询!$B$3=""),"",IF($D1098&lt;&gt;单元查询!$B$3,"",IF(OR(单元查询!$D$3="",$E1098&amp;""=单元查询!$D$3&amp;""),IF(ISNUMBER($B1098),$B1098*10000,0)+ROW(),"")))</f>
        <v/>
      </c>
      <c r="U1098" s="0" t="str">
        <f aca="false">IF(OR($B1098="",$L1098="已完成"),"",IF(ISNUMBER($B1098),IF(设置!$B$6&lt;$B1098,"",(设置!$B$6-$B1098)*100000+ROW()),""))</f>
        <v/>
      </c>
      <c r="V1098" s="0" t="str">
        <f aca="false">IF(ISNUMBER($O1098),IF($O1098&gt;=2,IF(COUNTIFS($D1098:$D$2006,$D1098,$E1098:$E$2006,$E1098)=1,ROW(),""),""),"")</f>
        <v/>
      </c>
    </row>
    <row r="1099" customFormat="false" ht="15" hidden="false" customHeight="true" outlineLevel="0" collapsed="false">
      <c r="A1099" s="13" t="str">
        <f aca="false">IF(AND($B1099="",$D1099="",$E1099="",$F1099=""),"",IF(OR($B1099="",$D1099="",$E1099=""),"待补",IF($D1099="公共区域","公",IF($D1099="商铺","S",SUBSTITUTE($D1099,"栋","")))&amp;"-"&amp;$E1099&amp;"-"&amp;TEXT(MONTH($B1099),"00")&amp;TEXT(DAY($B1099),"00")&amp;IF(ISNUMBER($O1099),IF($O1099&gt;1,"-"&amp;TEXT($O1099,"00"),""),"")))</f>
        <v/>
      </c>
      <c r="B1099" s="14"/>
      <c r="C1099" s="10"/>
      <c r="D1099" s="10"/>
      <c r="E1099" s="10"/>
      <c r="F1099" s="16"/>
      <c r="G1099" s="10"/>
      <c r="H1099" s="10"/>
      <c r="I1099" s="10"/>
      <c r="J1099" s="10"/>
      <c r="K1099" s="10"/>
      <c r="L1099" s="10"/>
      <c r="M1099" s="14"/>
      <c r="N1099" s="17" t="str">
        <f aca="false">IF($B1099="","",IF($L1099="已完成",IF($M1099="","",$M1099-$B1099),IF(设置!$B$6&lt;$B1099,"",IF((设置!$B$6-$B1099)&gt;=设置!$B$5,"超期"&amp;(设置!$B$6-$B1099)&amp;"天","已等"&amp;(设置!$B$6-$B1099)&amp;"天"))))</f>
        <v/>
      </c>
      <c r="O1099" s="18" t="str">
        <f aca="false">IF(OR($D1099="",$E1099=""),"",COUNTIFS($D$7:$D1099,$D1099,$E$7:$E1099,$E1099))</f>
        <v/>
      </c>
      <c r="P1099" s="16"/>
      <c r="Q1099" s="19"/>
      <c r="R1099" s="10"/>
      <c r="S1099" s="16"/>
      <c r="T1099" s="0" t="str">
        <f aca="false">IF(OR($D1099="",单元查询!$B$3=""),"",IF($D1099&lt;&gt;单元查询!$B$3,"",IF(OR(单元查询!$D$3="",$E1099&amp;""=单元查询!$D$3&amp;""),IF(ISNUMBER($B1099),$B1099*10000,0)+ROW(),"")))</f>
        <v/>
      </c>
      <c r="U1099" s="0" t="str">
        <f aca="false">IF(OR($B1099="",$L1099="已完成"),"",IF(ISNUMBER($B1099),IF(设置!$B$6&lt;$B1099,"",(设置!$B$6-$B1099)*100000+ROW()),""))</f>
        <v/>
      </c>
      <c r="V1099" s="0" t="str">
        <f aca="false">IF(ISNUMBER($O1099),IF($O1099&gt;=2,IF(COUNTIFS($D1099:$D$2006,$D1099,$E1099:$E$2006,$E1099)=1,ROW(),""),""),"")</f>
        <v/>
      </c>
    </row>
    <row r="1100" customFormat="false" ht="15" hidden="false" customHeight="true" outlineLevel="0" collapsed="false">
      <c r="A1100" s="13" t="str">
        <f aca="false">IF(AND($B1100="",$D1100="",$E1100="",$F1100=""),"",IF(OR($B1100="",$D1100="",$E1100=""),"待补",IF($D1100="公共区域","公",IF($D1100="商铺","S",SUBSTITUTE($D1100,"栋","")))&amp;"-"&amp;$E1100&amp;"-"&amp;TEXT(MONTH($B1100),"00")&amp;TEXT(DAY($B1100),"00")&amp;IF(ISNUMBER($O1100),IF($O1100&gt;1,"-"&amp;TEXT($O1100,"00"),""),"")))</f>
        <v/>
      </c>
      <c r="B1100" s="14"/>
      <c r="C1100" s="10"/>
      <c r="D1100" s="10"/>
      <c r="E1100" s="10"/>
      <c r="F1100" s="16"/>
      <c r="G1100" s="10"/>
      <c r="H1100" s="10"/>
      <c r="I1100" s="10"/>
      <c r="J1100" s="10"/>
      <c r="K1100" s="10"/>
      <c r="L1100" s="10"/>
      <c r="M1100" s="14"/>
      <c r="N1100" s="17" t="str">
        <f aca="false">IF($B1100="","",IF($L1100="已完成",IF($M1100="","",$M1100-$B1100),IF(设置!$B$6&lt;$B1100,"",IF((设置!$B$6-$B1100)&gt;=设置!$B$5,"超期"&amp;(设置!$B$6-$B1100)&amp;"天","已等"&amp;(设置!$B$6-$B1100)&amp;"天"))))</f>
        <v/>
      </c>
      <c r="O1100" s="18" t="str">
        <f aca="false">IF(OR($D1100="",$E1100=""),"",COUNTIFS($D$7:$D1100,$D1100,$E$7:$E1100,$E1100))</f>
        <v/>
      </c>
      <c r="P1100" s="16"/>
      <c r="Q1100" s="19"/>
      <c r="R1100" s="10"/>
      <c r="S1100" s="16"/>
      <c r="T1100" s="0" t="str">
        <f aca="false">IF(OR($D1100="",单元查询!$B$3=""),"",IF($D1100&lt;&gt;单元查询!$B$3,"",IF(OR(单元查询!$D$3="",$E1100&amp;""=单元查询!$D$3&amp;""),IF(ISNUMBER($B1100),$B1100*10000,0)+ROW(),"")))</f>
        <v/>
      </c>
      <c r="U1100" s="0" t="str">
        <f aca="false">IF(OR($B1100="",$L1100="已完成"),"",IF(ISNUMBER($B1100),IF(设置!$B$6&lt;$B1100,"",(设置!$B$6-$B1100)*100000+ROW()),""))</f>
        <v/>
      </c>
      <c r="V1100" s="0" t="str">
        <f aca="false">IF(ISNUMBER($O1100),IF($O1100&gt;=2,IF(COUNTIFS($D1100:$D$2006,$D1100,$E1100:$E$2006,$E1100)=1,ROW(),""),""),"")</f>
        <v/>
      </c>
    </row>
    <row r="1101" customFormat="false" ht="15" hidden="false" customHeight="true" outlineLevel="0" collapsed="false">
      <c r="A1101" s="13" t="str">
        <f aca="false">IF(AND($B1101="",$D1101="",$E1101="",$F1101=""),"",IF(OR($B1101="",$D1101="",$E1101=""),"待补",IF($D1101="公共区域","公",IF($D1101="商铺","S",SUBSTITUTE($D1101,"栋","")))&amp;"-"&amp;$E1101&amp;"-"&amp;TEXT(MONTH($B1101),"00")&amp;TEXT(DAY($B1101),"00")&amp;IF(ISNUMBER($O1101),IF($O1101&gt;1,"-"&amp;TEXT($O1101,"00"),""),"")))</f>
        <v/>
      </c>
      <c r="B1101" s="14"/>
      <c r="C1101" s="10"/>
      <c r="D1101" s="10"/>
      <c r="E1101" s="10"/>
      <c r="F1101" s="16"/>
      <c r="G1101" s="10"/>
      <c r="H1101" s="10"/>
      <c r="I1101" s="10"/>
      <c r="J1101" s="10"/>
      <c r="K1101" s="10"/>
      <c r="L1101" s="10"/>
      <c r="M1101" s="14"/>
      <c r="N1101" s="17" t="str">
        <f aca="false">IF($B1101="","",IF($L1101="已完成",IF($M1101="","",$M1101-$B1101),IF(设置!$B$6&lt;$B1101,"",IF((设置!$B$6-$B1101)&gt;=设置!$B$5,"超期"&amp;(设置!$B$6-$B1101)&amp;"天","已等"&amp;(设置!$B$6-$B1101)&amp;"天"))))</f>
        <v/>
      </c>
      <c r="O1101" s="18" t="str">
        <f aca="false">IF(OR($D1101="",$E1101=""),"",COUNTIFS($D$7:$D1101,$D1101,$E$7:$E1101,$E1101))</f>
        <v/>
      </c>
      <c r="P1101" s="16"/>
      <c r="Q1101" s="19"/>
      <c r="R1101" s="10"/>
      <c r="S1101" s="16"/>
      <c r="T1101" s="0" t="str">
        <f aca="false">IF(OR($D1101="",单元查询!$B$3=""),"",IF($D1101&lt;&gt;单元查询!$B$3,"",IF(OR(单元查询!$D$3="",$E1101&amp;""=单元查询!$D$3&amp;""),IF(ISNUMBER($B1101),$B1101*10000,0)+ROW(),"")))</f>
        <v/>
      </c>
      <c r="U1101" s="0" t="str">
        <f aca="false">IF(OR($B1101="",$L1101="已完成"),"",IF(ISNUMBER($B1101),IF(设置!$B$6&lt;$B1101,"",(设置!$B$6-$B1101)*100000+ROW()),""))</f>
        <v/>
      </c>
      <c r="V1101" s="0" t="str">
        <f aca="false">IF(ISNUMBER($O1101),IF($O1101&gt;=2,IF(COUNTIFS($D1101:$D$2006,$D1101,$E1101:$E$2006,$E1101)=1,ROW(),""),""),"")</f>
        <v/>
      </c>
    </row>
    <row r="1102" customFormat="false" ht="15" hidden="false" customHeight="true" outlineLevel="0" collapsed="false">
      <c r="A1102" s="13" t="str">
        <f aca="false">IF(AND($B1102="",$D1102="",$E1102="",$F1102=""),"",IF(OR($B1102="",$D1102="",$E1102=""),"待补",IF($D1102="公共区域","公",IF($D1102="商铺","S",SUBSTITUTE($D1102,"栋","")))&amp;"-"&amp;$E1102&amp;"-"&amp;TEXT(MONTH($B1102),"00")&amp;TEXT(DAY($B1102),"00")&amp;IF(ISNUMBER($O1102),IF($O1102&gt;1,"-"&amp;TEXT($O1102,"00"),""),"")))</f>
        <v/>
      </c>
      <c r="B1102" s="14"/>
      <c r="C1102" s="10"/>
      <c r="D1102" s="10"/>
      <c r="E1102" s="10"/>
      <c r="F1102" s="16"/>
      <c r="G1102" s="10"/>
      <c r="H1102" s="10"/>
      <c r="I1102" s="10"/>
      <c r="J1102" s="10"/>
      <c r="K1102" s="10"/>
      <c r="L1102" s="10"/>
      <c r="M1102" s="14"/>
      <c r="N1102" s="17" t="str">
        <f aca="false">IF($B1102="","",IF($L1102="已完成",IF($M1102="","",$M1102-$B1102),IF(设置!$B$6&lt;$B1102,"",IF((设置!$B$6-$B1102)&gt;=设置!$B$5,"超期"&amp;(设置!$B$6-$B1102)&amp;"天","已等"&amp;(设置!$B$6-$B1102)&amp;"天"))))</f>
        <v/>
      </c>
      <c r="O1102" s="18" t="str">
        <f aca="false">IF(OR($D1102="",$E1102=""),"",COUNTIFS($D$7:$D1102,$D1102,$E$7:$E1102,$E1102))</f>
        <v/>
      </c>
      <c r="P1102" s="16"/>
      <c r="Q1102" s="19"/>
      <c r="R1102" s="10"/>
      <c r="S1102" s="16"/>
      <c r="T1102" s="0" t="str">
        <f aca="false">IF(OR($D1102="",单元查询!$B$3=""),"",IF($D1102&lt;&gt;单元查询!$B$3,"",IF(OR(单元查询!$D$3="",$E1102&amp;""=单元查询!$D$3&amp;""),IF(ISNUMBER($B1102),$B1102*10000,0)+ROW(),"")))</f>
        <v/>
      </c>
      <c r="U1102" s="0" t="str">
        <f aca="false">IF(OR($B1102="",$L1102="已完成"),"",IF(ISNUMBER($B1102),IF(设置!$B$6&lt;$B1102,"",(设置!$B$6-$B1102)*100000+ROW()),""))</f>
        <v/>
      </c>
      <c r="V1102" s="0" t="str">
        <f aca="false">IF(ISNUMBER($O1102),IF($O1102&gt;=2,IF(COUNTIFS($D1102:$D$2006,$D1102,$E1102:$E$2006,$E1102)=1,ROW(),""),""),"")</f>
        <v/>
      </c>
    </row>
    <row r="1103" customFormat="false" ht="15" hidden="false" customHeight="true" outlineLevel="0" collapsed="false">
      <c r="A1103" s="13" t="str">
        <f aca="false">IF(AND($B1103="",$D1103="",$E1103="",$F1103=""),"",IF(OR($B1103="",$D1103="",$E1103=""),"待补",IF($D1103="公共区域","公",IF($D1103="商铺","S",SUBSTITUTE($D1103,"栋","")))&amp;"-"&amp;$E1103&amp;"-"&amp;TEXT(MONTH($B1103),"00")&amp;TEXT(DAY($B1103),"00")&amp;IF(ISNUMBER($O1103),IF($O1103&gt;1,"-"&amp;TEXT($O1103,"00"),""),"")))</f>
        <v/>
      </c>
      <c r="B1103" s="14"/>
      <c r="C1103" s="10"/>
      <c r="D1103" s="10"/>
      <c r="E1103" s="10"/>
      <c r="F1103" s="16"/>
      <c r="G1103" s="10"/>
      <c r="H1103" s="10"/>
      <c r="I1103" s="10"/>
      <c r="J1103" s="10"/>
      <c r="K1103" s="10"/>
      <c r="L1103" s="10"/>
      <c r="M1103" s="14"/>
      <c r="N1103" s="17" t="str">
        <f aca="false">IF($B1103="","",IF($L1103="已完成",IF($M1103="","",$M1103-$B1103),IF(设置!$B$6&lt;$B1103,"",IF((设置!$B$6-$B1103)&gt;=设置!$B$5,"超期"&amp;(设置!$B$6-$B1103)&amp;"天","已等"&amp;(设置!$B$6-$B1103)&amp;"天"))))</f>
        <v/>
      </c>
      <c r="O1103" s="18" t="str">
        <f aca="false">IF(OR($D1103="",$E1103=""),"",COUNTIFS($D$7:$D1103,$D1103,$E$7:$E1103,$E1103))</f>
        <v/>
      </c>
      <c r="P1103" s="16"/>
      <c r="Q1103" s="19"/>
      <c r="R1103" s="10"/>
      <c r="S1103" s="16"/>
      <c r="T1103" s="0" t="str">
        <f aca="false">IF(OR($D1103="",单元查询!$B$3=""),"",IF($D1103&lt;&gt;单元查询!$B$3,"",IF(OR(单元查询!$D$3="",$E1103&amp;""=单元查询!$D$3&amp;""),IF(ISNUMBER($B1103),$B1103*10000,0)+ROW(),"")))</f>
        <v/>
      </c>
      <c r="U1103" s="0" t="str">
        <f aca="false">IF(OR($B1103="",$L1103="已完成"),"",IF(ISNUMBER($B1103),IF(设置!$B$6&lt;$B1103,"",(设置!$B$6-$B1103)*100000+ROW()),""))</f>
        <v/>
      </c>
      <c r="V1103" s="0" t="str">
        <f aca="false">IF(ISNUMBER($O1103),IF($O1103&gt;=2,IF(COUNTIFS($D1103:$D$2006,$D1103,$E1103:$E$2006,$E1103)=1,ROW(),""),""),"")</f>
        <v/>
      </c>
    </row>
    <row r="1104" customFormat="false" ht="15" hidden="false" customHeight="true" outlineLevel="0" collapsed="false">
      <c r="A1104" s="13" t="str">
        <f aca="false">IF(AND($B1104="",$D1104="",$E1104="",$F1104=""),"",IF(OR($B1104="",$D1104="",$E1104=""),"待补",IF($D1104="公共区域","公",IF($D1104="商铺","S",SUBSTITUTE($D1104,"栋","")))&amp;"-"&amp;$E1104&amp;"-"&amp;TEXT(MONTH($B1104),"00")&amp;TEXT(DAY($B1104),"00")&amp;IF(ISNUMBER($O1104),IF($O1104&gt;1,"-"&amp;TEXT($O1104,"00"),""),"")))</f>
        <v/>
      </c>
      <c r="B1104" s="14"/>
      <c r="C1104" s="10"/>
      <c r="D1104" s="10"/>
      <c r="E1104" s="10"/>
      <c r="F1104" s="16"/>
      <c r="G1104" s="10"/>
      <c r="H1104" s="10"/>
      <c r="I1104" s="10"/>
      <c r="J1104" s="10"/>
      <c r="K1104" s="10"/>
      <c r="L1104" s="10"/>
      <c r="M1104" s="14"/>
      <c r="N1104" s="17" t="str">
        <f aca="false">IF($B1104="","",IF($L1104="已完成",IF($M1104="","",$M1104-$B1104),IF(设置!$B$6&lt;$B1104,"",IF((设置!$B$6-$B1104)&gt;=设置!$B$5,"超期"&amp;(设置!$B$6-$B1104)&amp;"天","已等"&amp;(设置!$B$6-$B1104)&amp;"天"))))</f>
        <v/>
      </c>
      <c r="O1104" s="18" t="str">
        <f aca="false">IF(OR($D1104="",$E1104=""),"",COUNTIFS($D$7:$D1104,$D1104,$E$7:$E1104,$E1104))</f>
        <v/>
      </c>
      <c r="P1104" s="16"/>
      <c r="Q1104" s="19"/>
      <c r="R1104" s="10"/>
      <c r="S1104" s="16"/>
      <c r="T1104" s="0" t="str">
        <f aca="false">IF(OR($D1104="",单元查询!$B$3=""),"",IF($D1104&lt;&gt;单元查询!$B$3,"",IF(OR(单元查询!$D$3="",$E1104&amp;""=单元查询!$D$3&amp;""),IF(ISNUMBER($B1104),$B1104*10000,0)+ROW(),"")))</f>
        <v/>
      </c>
      <c r="U1104" s="0" t="str">
        <f aca="false">IF(OR($B1104="",$L1104="已完成"),"",IF(ISNUMBER($B1104),IF(设置!$B$6&lt;$B1104,"",(设置!$B$6-$B1104)*100000+ROW()),""))</f>
        <v/>
      </c>
      <c r="V1104" s="0" t="str">
        <f aca="false">IF(ISNUMBER($O1104),IF($O1104&gt;=2,IF(COUNTIFS($D1104:$D$2006,$D1104,$E1104:$E$2006,$E1104)=1,ROW(),""),""),"")</f>
        <v/>
      </c>
    </row>
    <row r="1105" customFormat="false" ht="15" hidden="false" customHeight="true" outlineLevel="0" collapsed="false">
      <c r="A1105" s="13" t="str">
        <f aca="false">IF(AND($B1105="",$D1105="",$E1105="",$F1105=""),"",IF(OR($B1105="",$D1105="",$E1105=""),"待补",IF($D1105="公共区域","公",IF($D1105="商铺","S",SUBSTITUTE($D1105,"栋","")))&amp;"-"&amp;$E1105&amp;"-"&amp;TEXT(MONTH($B1105),"00")&amp;TEXT(DAY($B1105),"00")&amp;IF(ISNUMBER($O1105),IF($O1105&gt;1,"-"&amp;TEXT($O1105,"00"),""),"")))</f>
        <v/>
      </c>
      <c r="B1105" s="14"/>
      <c r="C1105" s="10"/>
      <c r="D1105" s="10"/>
      <c r="E1105" s="10"/>
      <c r="F1105" s="16"/>
      <c r="G1105" s="10"/>
      <c r="H1105" s="10"/>
      <c r="I1105" s="10"/>
      <c r="J1105" s="10"/>
      <c r="K1105" s="10"/>
      <c r="L1105" s="10"/>
      <c r="M1105" s="14"/>
      <c r="N1105" s="17" t="str">
        <f aca="false">IF($B1105="","",IF($L1105="已完成",IF($M1105="","",$M1105-$B1105),IF(设置!$B$6&lt;$B1105,"",IF((设置!$B$6-$B1105)&gt;=设置!$B$5,"超期"&amp;(设置!$B$6-$B1105)&amp;"天","已等"&amp;(设置!$B$6-$B1105)&amp;"天"))))</f>
        <v/>
      </c>
      <c r="O1105" s="18" t="str">
        <f aca="false">IF(OR($D1105="",$E1105=""),"",COUNTIFS($D$7:$D1105,$D1105,$E$7:$E1105,$E1105))</f>
        <v/>
      </c>
      <c r="P1105" s="16"/>
      <c r="Q1105" s="19"/>
      <c r="R1105" s="10"/>
      <c r="S1105" s="16"/>
      <c r="T1105" s="0" t="str">
        <f aca="false">IF(OR($D1105="",单元查询!$B$3=""),"",IF($D1105&lt;&gt;单元查询!$B$3,"",IF(OR(单元查询!$D$3="",$E1105&amp;""=单元查询!$D$3&amp;""),IF(ISNUMBER($B1105),$B1105*10000,0)+ROW(),"")))</f>
        <v/>
      </c>
      <c r="U1105" s="0" t="str">
        <f aca="false">IF(OR($B1105="",$L1105="已完成"),"",IF(ISNUMBER($B1105),IF(设置!$B$6&lt;$B1105,"",(设置!$B$6-$B1105)*100000+ROW()),""))</f>
        <v/>
      </c>
      <c r="V1105" s="0" t="str">
        <f aca="false">IF(ISNUMBER($O1105),IF($O1105&gt;=2,IF(COUNTIFS($D1105:$D$2006,$D1105,$E1105:$E$2006,$E1105)=1,ROW(),""),""),"")</f>
        <v/>
      </c>
    </row>
    <row r="1106" customFormat="false" ht="15" hidden="false" customHeight="true" outlineLevel="0" collapsed="false">
      <c r="A1106" s="13" t="str">
        <f aca="false">IF(AND($B1106="",$D1106="",$E1106="",$F1106=""),"",IF(OR($B1106="",$D1106="",$E1106=""),"待补",IF($D1106="公共区域","公",IF($D1106="商铺","S",SUBSTITUTE($D1106,"栋","")))&amp;"-"&amp;$E1106&amp;"-"&amp;TEXT(MONTH($B1106),"00")&amp;TEXT(DAY($B1106),"00")&amp;IF(ISNUMBER($O1106),IF($O1106&gt;1,"-"&amp;TEXT($O1106,"00"),""),"")))</f>
        <v/>
      </c>
      <c r="B1106" s="14"/>
      <c r="C1106" s="10"/>
      <c r="D1106" s="10"/>
      <c r="E1106" s="10"/>
      <c r="F1106" s="16"/>
      <c r="G1106" s="10"/>
      <c r="H1106" s="10"/>
      <c r="I1106" s="10"/>
      <c r="J1106" s="10"/>
      <c r="K1106" s="10"/>
      <c r="L1106" s="10"/>
      <c r="M1106" s="14"/>
      <c r="N1106" s="17" t="str">
        <f aca="false">IF($B1106="","",IF($L1106="已完成",IF($M1106="","",$M1106-$B1106),IF(设置!$B$6&lt;$B1106,"",IF((设置!$B$6-$B1106)&gt;=设置!$B$5,"超期"&amp;(设置!$B$6-$B1106)&amp;"天","已等"&amp;(设置!$B$6-$B1106)&amp;"天"))))</f>
        <v/>
      </c>
      <c r="O1106" s="18" t="str">
        <f aca="false">IF(OR($D1106="",$E1106=""),"",COUNTIFS($D$7:$D1106,$D1106,$E$7:$E1106,$E1106))</f>
        <v/>
      </c>
      <c r="P1106" s="16"/>
      <c r="Q1106" s="19"/>
      <c r="R1106" s="10"/>
      <c r="S1106" s="16"/>
      <c r="T1106" s="0" t="str">
        <f aca="false">IF(OR($D1106="",单元查询!$B$3=""),"",IF($D1106&lt;&gt;单元查询!$B$3,"",IF(OR(单元查询!$D$3="",$E1106&amp;""=单元查询!$D$3&amp;""),IF(ISNUMBER($B1106),$B1106*10000,0)+ROW(),"")))</f>
        <v/>
      </c>
      <c r="U1106" s="0" t="str">
        <f aca="false">IF(OR($B1106="",$L1106="已完成"),"",IF(ISNUMBER($B1106),IF(设置!$B$6&lt;$B1106,"",(设置!$B$6-$B1106)*100000+ROW()),""))</f>
        <v/>
      </c>
      <c r="V1106" s="0" t="str">
        <f aca="false">IF(ISNUMBER($O1106),IF($O1106&gt;=2,IF(COUNTIFS($D1106:$D$2006,$D1106,$E1106:$E$2006,$E1106)=1,ROW(),""),""),"")</f>
        <v/>
      </c>
    </row>
    <row r="1107" customFormat="false" ht="15" hidden="false" customHeight="true" outlineLevel="0" collapsed="false">
      <c r="A1107" s="13" t="str">
        <f aca="false">IF(AND($B1107="",$D1107="",$E1107="",$F1107=""),"",IF(OR($B1107="",$D1107="",$E1107=""),"待补",IF($D1107="公共区域","公",IF($D1107="商铺","S",SUBSTITUTE($D1107,"栋","")))&amp;"-"&amp;$E1107&amp;"-"&amp;TEXT(MONTH($B1107),"00")&amp;TEXT(DAY($B1107),"00")&amp;IF(ISNUMBER($O1107),IF($O1107&gt;1,"-"&amp;TEXT($O1107,"00"),""),"")))</f>
        <v/>
      </c>
      <c r="B1107" s="14"/>
      <c r="C1107" s="10"/>
      <c r="D1107" s="10"/>
      <c r="E1107" s="10"/>
      <c r="F1107" s="16"/>
      <c r="G1107" s="10"/>
      <c r="H1107" s="10"/>
      <c r="I1107" s="10"/>
      <c r="J1107" s="10"/>
      <c r="K1107" s="10"/>
      <c r="L1107" s="10"/>
      <c r="M1107" s="14"/>
      <c r="N1107" s="17" t="str">
        <f aca="false">IF($B1107="","",IF($L1107="已完成",IF($M1107="","",$M1107-$B1107),IF(设置!$B$6&lt;$B1107,"",IF((设置!$B$6-$B1107)&gt;=设置!$B$5,"超期"&amp;(设置!$B$6-$B1107)&amp;"天","已等"&amp;(设置!$B$6-$B1107)&amp;"天"))))</f>
        <v/>
      </c>
      <c r="O1107" s="18" t="str">
        <f aca="false">IF(OR($D1107="",$E1107=""),"",COUNTIFS($D$7:$D1107,$D1107,$E$7:$E1107,$E1107))</f>
        <v/>
      </c>
      <c r="P1107" s="16"/>
      <c r="Q1107" s="19"/>
      <c r="R1107" s="10"/>
      <c r="S1107" s="16"/>
      <c r="T1107" s="0" t="str">
        <f aca="false">IF(OR($D1107="",单元查询!$B$3=""),"",IF($D1107&lt;&gt;单元查询!$B$3,"",IF(OR(单元查询!$D$3="",$E1107&amp;""=单元查询!$D$3&amp;""),IF(ISNUMBER($B1107),$B1107*10000,0)+ROW(),"")))</f>
        <v/>
      </c>
      <c r="U1107" s="0" t="str">
        <f aca="false">IF(OR($B1107="",$L1107="已完成"),"",IF(ISNUMBER($B1107),IF(设置!$B$6&lt;$B1107,"",(设置!$B$6-$B1107)*100000+ROW()),""))</f>
        <v/>
      </c>
      <c r="V1107" s="0" t="str">
        <f aca="false">IF(ISNUMBER($O1107),IF($O1107&gt;=2,IF(COUNTIFS($D1107:$D$2006,$D1107,$E1107:$E$2006,$E1107)=1,ROW(),""),""),"")</f>
        <v/>
      </c>
    </row>
    <row r="1108" customFormat="false" ht="15" hidden="false" customHeight="true" outlineLevel="0" collapsed="false">
      <c r="A1108" s="13" t="str">
        <f aca="false">IF(AND($B1108="",$D1108="",$E1108="",$F1108=""),"",IF(OR($B1108="",$D1108="",$E1108=""),"待补",IF($D1108="公共区域","公",IF($D1108="商铺","S",SUBSTITUTE($D1108,"栋","")))&amp;"-"&amp;$E1108&amp;"-"&amp;TEXT(MONTH($B1108),"00")&amp;TEXT(DAY($B1108),"00")&amp;IF(ISNUMBER($O1108),IF($O1108&gt;1,"-"&amp;TEXT($O1108,"00"),""),"")))</f>
        <v/>
      </c>
      <c r="B1108" s="14"/>
      <c r="C1108" s="10"/>
      <c r="D1108" s="10"/>
      <c r="E1108" s="10"/>
      <c r="F1108" s="16"/>
      <c r="G1108" s="10"/>
      <c r="H1108" s="10"/>
      <c r="I1108" s="10"/>
      <c r="J1108" s="10"/>
      <c r="K1108" s="10"/>
      <c r="L1108" s="10"/>
      <c r="M1108" s="14"/>
      <c r="N1108" s="17" t="str">
        <f aca="false">IF($B1108="","",IF($L1108="已完成",IF($M1108="","",$M1108-$B1108),IF(设置!$B$6&lt;$B1108,"",IF((设置!$B$6-$B1108)&gt;=设置!$B$5,"超期"&amp;(设置!$B$6-$B1108)&amp;"天","已等"&amp;(设置!$B$6-$B1108)&amp;"天"))))</f>
        <v/>
      </c>
      <c r="O1108" s="18" t="str">
        <f aca="false">IF(OR($D1108="",$E1108=""),"",COUNTIFS($D$7:$D1108,$D1108,$E$7:$E1108,$E1108))</f>
        <v/>
      </c>
      <c r="P1108" s="16"/>
      <c r="Q1108" s="19"/>
      <c r="R1108" s="10"/>
      <c r="S1108" s="16"/>
      <c r="T1108" s="0" t="str">
        <f aca="false">IF(OR($D1108="",单元查询!$B$3=""),"",IF($D1108&lt;&gt;单元查询!$B$3,"",IF(OR(单元查询!$D$3="",$E1108&amp;""=单元查询!$D$3&amp;""),IF(ISNUMBER($B1108),$B1108*10000,0)+ROW(),"")))</f>
        <v/>
      </c>
      <c r="U1108" s="0" t="str">
        <f aca="false">IF(OR($B1108="",$L1108="已完成"),"",IF(ISNUMBER($B1108),IF(设置!$B$6&lt;$B1108,"",(设置!$B$6-$B1108)*100000+ROW()),""))</f>
        <v/>
      </c>
      <c r="V1108" s="0" t="str">
        <f aca="false">IF(ISNUMBER($O1108),IF($O1108&gt;=2,IF(COUNTIFS($D1108:$D$2006,$D1108,$E1108:$E$2006,$E1108)=1,ROW(),""),""),"")</f>
        <v/>
      </c>
    </row>
    <row r="1109" customFormat="false" ht="15" hidden="false" customHeight="true" outlineLevel="0" collapsed="false">
      <c r="A1109" s="13" t="str">
        <f aca="false">IF(AND($B1109="",$D1109="",$E1109="",$F1109=""),"",IF(OR($B1109="",$D1109="",$E1109=""),"待补",IF($D1109="公共区域","公",IF($D1109="商铺","S",SUBSTITUTE($D1109,"栋","")))&amp;"-"&amp;$E1109&amp;"-"&amp;TEXT(MONTH($B1109),"00")&amp;TEXT(DAY($B1109),"00")&amp;IF(ISNUMBER($O1109),IF($O1109&gt;1,"-"&amp;TEXT($O1109,"00"),""),"")))</f>
        <v/>
      </c>
      <c r="B1109" s="14"/>
      <c r="C1109" s="10"/>
      <c r="D1109" s="10"/>
      <c r="E1109" s="10"/>
      <c r="F1109" s="16"/>
      <c r="G1109" s="10"/>
      <c r="H1109" s="10"/>
      <c r="I1109" s="10"/>
      <c r="J1109" s="10"/>
      <c r="K1109" s="10"/>
      <c r="L1109" s="10"/>
      <c r="M1109" s="14"/>
      <c r="N1109" s="17" t="str">
        <f aca="false">IF($B1109="","",IF($L1109="已完成",IF($M1109="","",$M1109-$B1109),IF(设置!$B$6&lt;$B1109,"",IF((设置!$B$6-$B1109)&gt;=设置!$B$5,"超期"&amp;(设置!$B$6-$B1109)&amp;"天","已等"&amp;(设置!$B$6-$B1109)&amp;"天"))))</f>
        <v/>
      </c>
      <c r="O1109" s="18" t="str">
        <f aca="false">IF(OR($D1109="",$E1109=""),"",COUNTIFS($D$7:$D1109,$D1109,$E$7:$E1109,$E1109))</f>
        <v/>
      </c>
      <c r="P1109" s="16"/>
      <c r="Q1109" s="19"/>
      <c r="R1109" s="10"/>
      <c r="S1109" s="16"/>
      <c r="T1109" s="0" t="str">
        <f aca="false">IF(OR($D1109="",单元查询!$B$3=""),"",IF($D1109&lt;&gt;单元查询!$B$3,"",IF(OR(单元查询!$D$3="",$E1109&amp;""=单元查询!$D$3&amp;""),IF(ISNUMBER($B1109),$B1109*10000,0)+ROW(),"")))</f>
        <v/>
      </c>
      <c r="U1109" s="0" t="str">
        <f aca="false">IF(OR($B1109="",$L1109="已完成"),"",IF(ISNUMBER($B1109),IF(设置!$B$6&lt;$B1109,"",(设置!$B$6-$B1109)*100000+ROW()),""))</f>
        <v/>
      </c>
      <c r="V1109" s="0" t="str">
        <f aca="false">IF(ISNUMBER($O1109),IF($O1109&gt;=2,IF(COUNTIFS($D1109:$D$2006,$D1109,$E1109:$E$2006,$E1109)=1,ROW(),""),""),"")</f>
        <v/>
      </c>
    </row>
    <row r="1110" customFormat="false" ht="15" hidden="false" customHeight="true" outlineLevel="0" collapsed="false">
      <c r="A1110" s="13" t="str">
        <f aca="false">IF(AND($B1110="",$D1110="",$E1110="",$F1110=""),"",IF(OR($B1110="",$D1110="",$E1110=""),"待补",IF($D1110="公共区域","公",IF($D1110="商铺","S",SUBSTITUTE($D1110,"栋","")))&amp;"-"&amp;$E1110&amp;"-"&amp;TEXT(MONTH($B1110),"00")&amp;TEXT(DAY($B1110),"00")&amp;IF(ISNUMBER($O1110),IF($O1110&gt;1,"-"&amp;TEXT($O1110,"00"),""),"")))</f>
        <v/>
      </c>
      <c r="B1110" s="14"/>
      <c r="C1110" s="10"/>
      <c r="D1110" s="10"/>
      <c r="E1110" s="10"/>
      <c r="F1110" s="16"/>
      <c r="G1110" s="10"/>
      <c r="H1110" s="10"/>
      <c r="I1110" s="10"/>
      <c r="J1110" s="10"/>
      <c r="K1110" s="10"/>
      <c r="L1110" s="10"/>
      <c r="M1110" s="14"/>
      <c r="N1110" s="17" t="str">
        <f aca="false">IF($B1110="","",IF($L1110="已完成",IF($M1110="","",$M1110-$B1110),IF(设置!$B$6&lt;$B1110,"",IF((设置!$B$6-$B1110)&gt;=设置!$B$5,"超期"&amp;(设置!$B$6-$B1110)&amp;"天","已等"&amp;(设置!$B$6-$B1110)&amp;"天"))))</f>
        <v/>
      </c>
      <c r="O1110" s="18" t="str">
        <f aca="false">IF(OR($D1110="",$E1110=""),"",COUNTIFS($D$7:$D1110,$D1110,$E$7:$E1110,$E1110))</f>
        <v/>
      </c>
      <c r="P1110" s="16"/>
      <c r="Q1110" s="19"/>
      <c r="R1110" s="10"/>
      <c r="S1110" s="16"/>
      <c r="T1110" s="0" t="str">
        <f aca="false">IF(OR($D1110="",单元查询!$B$3=""),"",IF($D1110&lt;&gt;单元查询!$B$3,"",IF(OR(单元查询!$D$3="",$E1110&amp;""=单元查询!$D$3&amp;""),IF(ISNUMBER($B1110),$B1110*10000,0)+ROW(),"")))</f>
        <v/>
      </c>
      <c r="U1110" s="0" t="str">
        <f aca="false">IF(OR($B1110="",$L1110="已完成"),"",IF(ISNUMBER($B1110),IF(设置!$B$6&lt;$B1110,"",(设置!$B$6-$B1110)*100000+ROW()),""))</f>
        <v/>
      </c>
      <c r="V1110" s="0" t="str">
        <f aca="false">IF(ISNUMBER($O1110),IF($O1110&gt;=2,IF(COUNTIFS($D1110:$D$2006,$D1110,$E1110:$E$2006,$E1110)=1,ROW(),""),""),"")</f>
        <v/>
      </c>
    </row>
    <row r="1111" customFormat="false" ht="15" hidden="false" customHeight="true" outlineLevel="0" collapsed="false">
      <c r="A1111" s="13" t="str">
        <f aca="false">IF(AND($B1111="",$D1111="",$E1111="",$F1111=""),"",IF(OR($B1111="",$D1111="",$E1111=""),"待补",IF($D1111="公共区域","公",IF($D1111="商铺","S",SUBSTITUTE($D1111,"栋","")))&amp;"-"&amp;$E1111&amp;"-"&amp;TEXT(MONTH($B1111),"00")&amp;TEXT(DAY($B1111),"00")&amp;IF(ISNUMBER($O1111),IF($O1111&gt;1,"-"&amp;TEXT($O1111,"00"),""),"")))</f>
        <v/>
      </c>
      <c r="B1111" s="14"/>
      <c r="C1111" s="10"/>
      <c r="D1111" s="10"/>
      <c r="E1111" s="10"/>
      <c r="F1111" s="16"/>
      <c r="G1111" s="10"/>
      <c r="H1111" s="10"/>
      <c r="I1111" s="10"/>
      <c r="J1111" s="10"/>
      <c r="K1111" s="10"/>
      <c r="L1111" s="10"/>
      <c r="M1111" s="14"/>
      <c r="N1111" s="17" t="str">
        <f aca="false">IF($B1111="","",IF($L1111="已完成",IF($M1111="","",$M1111-$B1111),IF(设置!$B$6&lt;$B1111,"",IF((设置!$B$6-$B1111)&gt;=设置!$B$5,"超期"&amp;(设置!$B$6-$B1111)&amp;"天","已等"&amp;(设置!$B$6-$B1111)&amp;"天"))))</f>
        <v/>
      </c>
      <c r="O1111" s="18" t="str">
        <f aca="false">IF(OR($D1111="",$E1111=""),"",COUNTIFS($D$7:$D1111,$D1111,$E$7:$E1111,$E1111))</f>
        <v/>
      </c>
      <c r="P1111" s="16"/>
      <c r="Q1111" s="19"/>
      <c r="R1111" s="10"/>
      <c r="S1111" s="16"/>
      <c r="T1111" s="0" t="str">
        <f aca="false">IF(OR($D1111="",单元查询!$B$3=""),"",IF($D1111&lt;&gt;单元查询!$B$3,"",IF(OR(单元查询!$D$3="",$E1111&amp;""=单元查询!$D$3&amp;""),IF(ISNUMBER($B1111),$B1111*10000,0)+ROW(),"")))</f>
        <v/>
      </c>
      <c r="U1111" s="0" t="str">
        <f aca="false">IF(OR($B1111="",$L1111="已完成"),"",IF(ISNUMBER($B1111),IF(设置!$B$6&lt;$B1111,"",(设置!$B$6-$B1111)*100000+ROW()),""))</f>
        <v/>
      </c>
      <c r="V1111" s="0" t="str">
        <f aca="false">IF(ISNUMBER($O1111),IF($O1111&gt;=2,IF(COUNTIFS($D1111:$D$2006,$D1111,$E1111:$E$2006,$E1111)=1,ROW(),""),""),"")</f>
        <v/>
      </c>
    </row>
    <row r="1112" customFormat="false" ht="15" hidden="false" customHeight="true" outlineLevel="0" collapsed="false">
      <c r="A1112" s="13" t="str">
        <f aca="false">IF(AND($B1112="",$D1112="",$E1112="",$F1112=""),"",IF(OR($B1112="",$D1112="",$E1112=""),"待补",IF($D1112="公共区域","公",IF($D1112="商铺","S",SUBSTITUTE($D1112,"栋","")))&amp;"-"&amp;$E1112&amp;"-"&amp;TEXT(MONTH($B1112),"00")&amp;TEXT(DAY($B1112),"00")&amp;IF(ISNUMBER($O1112),IF($O1112&gt;1,"-"&amp;TEXT($O1112,"00"),""),"")))</f>
        <v/>
      </c>
      <c r="B1112" s="14"/>
      <c r="C1112" s="10"/>
      <c r="D1112" s="10"/>
      <c r="E1112" s="10"/>
      <c r="F1112" s="16"/>
      <c r="G1112" s="10"/>
      <c r="H1112" s="10"/>
      <c r="I1112" s="10"/>
      <c r="J1112" s="10"/>
      <c r="K1112" s="10"/>
      <c r="L1112" s="10"/>
      <c r="M1112" s="14"/>
      <c r="N1112" s="17" t="str">
        <f aca="false">IF($B1112="","",IF($L1112="已完成",IF($M1112="","",$M1112-$B1112),IF(设置!$B$6&lt;$B1112,"",IF((设置!$B$6-$B1112)&gt;=设置!$B$5,"超期"&amp;(设置!$B$6-$B1112)&amp;"天","已等"&amp;(设置!$B$6-$B1112)&amp;"天"))))</f>
        <v/>
      </c>
      <c r="O1112" s="18" t="str">
        <f aca="false">IF(OR($D1112="",$E1112=""),"",COUNTIFS($D$7:$D1112,$D1112,$E$7:$E1112,$E1112))</f>
        <v/>
      </c>
      <c r="P1112" s="16"/>
      <c r="Q1112" s="19"/>
      <c r="R1112" s="10"/>
      <c r="S1112" s="16"/>
      <c r="T1112" s="0" t="str">
        <f aca="false">IF(OR($D1112="",单元查询!$B$3=""),"",IF($D1112&lt;&gt;单元查询!$B$3,"",IF(OR(单元查询!$D$3="",$E1112&amp;""=单元查询!$D$3&amp;""),IF(ISNUMBER($B1112),$B1112*10000,0)+ROW(),"")))</f>
        <v/>
      </c>
      <c r="U1112" s="0" t="str">
        <f aca="false">IF(OR($B1112="",$L1112="已完成"),"",IF(ISNUMBER($B1112),IF(设置!$B$6&lt;$B1112,"",(设置!$B$6-$B1112)*100000+ROW()),""))</f>
        <v/>
      </c>
      <c r="V1112" s="0" t="str">
        <f aca="false">IF(ISNUMBER($O1112),IF($O1112&gt;=2,IF(COUNTIFS($D1112:$D$2006,$D1112,$E1112:$E$2006,$E1112)=1,ROW(),""),""),"")</f>
        <v/>
      </c>
    </row>
    <row r="1113" customFormat="false" ht="15" hidden="false" customHeight="true" outlineLevel="0" collapsed="false">
      <c r="A1113" s="13" t="str">
        <f aca="false">IF(AND($B1113="",$D1113="",$E1113="",$F1113=""),"",IF(OR($B1113="",$D1113="",$E1113=""),"待补",IF($D1113="公共区域","公",IF($D1113="商铺","S",SUBSTITUTE($D1113,"栋","")))&amp;"-"&amp;$E1113&amp;"-"&amp;TEXT(MONTH($B1113),"00")&amp;TEXT(DAY($B1113),"00")&amp;IF(ISNUMBER($O1113),IF($O1113&gt;1,"-"&amp;TEXT($O1113,"00"),""),"")))</f>
        <v/>
      </c>
      <c r="B1113" s="14"/>
      <c r="C1113" s="10"/>
      <c r="D1113" s="10"/>
      <c r="E1113" s="10"/>
      <c r="F1113" s="16"/>
      <c r="G1113" s="10"/>
      <c r="H1113" s="10"/>
      <c r="I1113" s="10"/>
      <c r="J1113" s="10"/>
      <c r="K1113" s="10"/>
      <c r="L1113" s="10"/>
      <c r="M1113" s="14"/>
      <c r="N1113" s="17" t="str">
        <f aca="false">IF($B1113="","",IF($L1113="已完成",IF($M1113="","",$M1113-$B1113),IF(设置!$B$6&lt;$B1113,"",IF((设置!$B$6-$B1113)&gt;=设置!$B$5,"超期"&amp;(设置!$B$6-$B1113)&amp;"天","已等"&amp;(设置!$B$6-$B1113)&amp;"天"))))</f>
        <v/>
      </c>
      <c r="O1113" s="18" t="str">
        <f aca="false">IF(OR($D1113="",$E1113=""),"",COUNTIFS($D$7:$D1113,$D1113,$E$7:$E1113,$E1113))</f>
        <v/>
      </c>
      <c r="P1113" s="16"/>
      <c r="Q1113" s="19"/>
      <c r="R1113" s="10"/>
      <c r="S1113" s="16"/>
      <c r="T1113" s="0" t="str">
        <f aca="false">IF(OR($D1113="",单元查询!$B$3=""),"",IF($D1113&lt;&gt;单元查询!$B$3,"",IF(OR(单元查询!$D$3="",$E1113&amp;""=单元查询!$D$3&amp;""),IF(ISNUMBER($B1113),$B1113*10000,0)+ROW(),"")))</f>
        <v/>
      </c>
      <c r="U1113" s="0" t="str">
        <f aca="false">IF(OR($B1113="",$L1113="已完成"),"",IF(ISNUMBER($B1113),IF(设置!$B$6&lt;$B1113,"",(设置!$B$6-$B1113)*100000+ROW()),""))</f>
        <v/>
      </c>
      <c r="V1113" s="0" t="str">
        <f aca="false">IF(ISNUMBER($O1113),IF($O1113&gt;=2,IF(COUNTIFS($D1113:$D$2006,$D1113,$E1113:$E$2006,$E1113)=1,ROW(),""),""),"")</f>
        <v/>
      </c>
    </row>
    <row r="1114" customFormat="false" ht="15" hidden="false" customHeight="true" outlineLevel="0" collapsed="false">
      <c r="A1114" s="13" t="str">
        <f aca="false">IF(AND($B1114="",$D1114="",$E1114="",$F1114=""),"",IF(OR($B1114="",$D1114="",$E1114=""),"待补",IF($D1114="公共区域","公",IF($D1114="商铺","S",SUBSTITUTE($D1114,"栋","")))&amp;"-"&amp;$E1114&amp;"-"&amp;TEXT(MONTH($B1114),"00")&amp;TEXT(DAY($B1114),"00")&amp;IF(ISNUMBER($O1114),IF($O1114&gt;1,"-"&amp;TEXT($O1114,"00"),""),"")))</f>
        <v/>
      </c>
      <c r="B1114" s="14"/>
      <c r="C1114" s="10"/>
      <c r="D1114" s="10"/>
      <c r="E1114" s="10"/>
      <c r="F1114" s="16"/>
      <c r="G1114" s="10"/>
      <c r="H1114" s="10"/>
      <c r="I1114" s="10"/>
      <c r="J1114" s="10"/>
      <c r="K1114" s="10"/>
      <c r="L1114" s="10"/>
      <c r="M1114" s="14"/>
      <c r="N1114" s="17" t="str">
        <f aca="false">IF($B1114="","",IF($L1114="已完成",IF($M1114="","",$M1114-$B1114),IF(设置!$B$6&lt;$B1114,"",IF((设置!$B$6-$B1114)&gt;=设置!$B$5,"超期"&amp;(设置!$B$6-$B1114)&amp;"天","已等"&amp;(设置!$B$6-$B1114)&amp;"天"))))</f>
        <v/>
      </c>
      <c r="O1114" s="18" t="str">
        <f aca="false">IF(OR($D1114="",$E1114=""),"",COUNTIFS($D$7:$D1114,$D1114,$E$7:$E1114,$E1114))</f>
        <v/>
      </c>
      <c r="P1114" s="16"/>
      <c r="Q1114" s="19"/>
      <c r="R1114" s="10"/>
      <c r="S1114" s="16"/>
      <c r="T1114" s="0" t="str">
        <f aca="false">IF(OR($D1114="",单元查询!$B$3=""),"",IF($D1114&lt;&gt;单元查询!$B$3,"",IF(OR(单元查询!$D$3="",$E1114&amp;""=单元查询!$D$3&amp;""),IF(ISNUMBER($B1114),$B1114*10000,0)+ROW(),"")))</f>
        <v/>
      </c>
      <c r="U1114" s="0" t="str">
        <f aca="false">IF(OR($B1114="",$L1114="已完成"),"",IF(ISNUMBER($B1114),IF(设置!$B$6&lt;$B1114,"",(设置!$B$6-$B1114)*100000+ROW()),""))</f>
        <v/>
      </c>
      <c r="V1114" s="0" t="str">
        <f aca="false">IF(ISNUMBER($O1114),IF($O1114&gt;=2,IF(COUNTIFS($D1114:$D$2006,$D1114,$E1114:$E$2006,$E1114)=1,ROW(),""),""),"")</f>
        <v/>
      </c>
    </row>
    <row r="1115" customFormat="false" ht="15" hidden="false" customHeight="true" outlineLevel="0" collapsed="false">
      <c r="A1115" s="13" t="str">
        <f aca="false">IF(AND($B1115="",$D1115="",$E1115="",$F1115=""),"",IF(OR($B1115="",$D1115="",$E1115=""),"待补",IF($D1115="公共区域","公",IF($D1115="商铺","S",SUBSTITUTE($D1115,"栋","")))&amp;"-"&amp;$E1115&amp;"-"&amp;TEXT(MONTH($B1115),"00")&amp;TEXT(DAY($B1115),"00")&amp;IF(ISNUMBER($O1115),IF($O1115&gt;1,"-"&amp;TEXT($O1115,"00"),""),"")))</f>
        <v/>
      </c>
      <c r="B1115" s="14"/>
      <c r="C1115" s="10"/>
      <c r="D1115" s="10"/>
      <c r="E1115" s="10"/>
      <c r="F1115" s="16"/>
      <c r="G1115" s="10"/>
      <c r="H1115" s="10"/>
      <c r="I1115" s="10"/>
      <c r="J1115" s="10"/>
      <c r="K1115" s="10"/>
      <c r="L1115" s="10"/>
      <c r="M1115" s="14"/>
      <c r="N1115" s="17" t="str">
        <f aca="false">IF($B1115="","",IF($L1115="已完成",IF($M1115="","",$M1115-$B1115),IF(设置!$B$6&lt;$B1115,"",IF((设置!$B$6-$B1115)&gt;=设置!$B$5,"超期"&amp;(设置!$B$6-$B1115)&amp;"天","已等"&amp;(设置!$B$6-$B1115)&amp;"天"))))</f>
        <v/>
      </c>
      <c r="O1115" s="18" t="str">
        <f aca="false">IF(OR($D1115="",$E1115=""),"",COUNTIFS($D$7:$D1115,$D1115,$E$7:$E1115,$E1115))</f>
        <v/>
      </c>
      <c r="P1115" s="16"/>
      <c r="Q1115" s="19"/>
      <c r="R1115" s="10"/>
      <c r="S1115" s="16"/>
      <c r="T1115" s="0" t="str">
        <f aca="false">IF(OR($D1115="",单元查询!$B$3=""),"",IF($D1115&lt;&gt;单元查询!$B$3,"",IF(OR(单元查询!$D$3="",$E1115&amp;""=单元查询!$D$3&amp;""),IF(ISNUMBER($B1115),$B1115*10000,0)+ROW(),"")))</f>
        <v/>
      </c>
      <c r="U1115" s="0" t="str">
        <f aca="false">IF(OR($B1115="",$L1115="已完成"),"",IF(ISNUMBER($B1115),IF(设置!$B$6&lt;$B1115,"",(设置!$B$6-$B1115)*100000+ROW()),""))</f>
        <v/>
      </c>
      <c r="V1115" s="0" t="str">
        <f aca="false">IF(ISNUMBER($O1115),IF($O1115&gt;=2,IF(COUNTIFS($D1115:$D$2006,$D1115,$E1115:$E$2006,$E1115)=1,ROW(),""),""),"")</f>
        <v/>
      </c>
    </row>
    <row r="1116" customFormat="false" ht="15" hidden="false" customHeight="true" outlineLevel="0" collapsed="false">
      <c r="A1116" s="13" t="str">
        <f aca="false">IF(AND($B1116="",$D1116="",$E1116="",$F1116=""),"",IF(OR($B1116="",$D1116="",$E1116=""),"待补",IF($D1116="公共区域","公",IF($D1116="商铺","S",SUBSTITUTE($D1116,"栋","")))&amp;"-"&amp;$E1116&amp;"-"&amp;TEXT(MONTH($B1116),"00")&amp;TEXT(DAY($B1116),"00")&amp;IF(ISNUMBER($O1116),IF($O1116&gt;1,"-"&amp;TEXT($O1116,"00"),""),"")))</f>
        <v/>
      </c>
      <c r="B1116" s="14"/>
      <c r="C1116" s="10"/>
      <c r="D1116" s="10"/>
      <c r="E1116" s="10"/>
      <c r="F1116" s="16"/>
      <c r="G1116" s="10"/>
      <c r="H1116" s="10"/>
      <c r="I1116" s="10"/>
      <c r="J1116" s="10"/>
      <c r="K1116" s="10"/>
      <c r="L1116" s="10"/>
      <c r="M1116" s="14"/>
      <c r="N1116" s="17" t="str">
        <f aca="false">IF($B1116="","",IF($L1116="已完成",IF($M1116="","",$M1116-$B1116),IF(设置!$B$6&lt;$B1116,"",IF((设置!$B$6-$B1116)&gt;=设置!$B$5,"超期"&amp;(设置!$B$6-$B1116)&amp;"天","已等"&amp;(设置!$B$6-$B1116)&amp;"天"))))</f>
        <v/>
      </c>
      <c r="O1116" s="18" t="str">
        <f aca="false">IF(OR($D1116="",$E1116=""),"",COUNTIFS($D$7:$D1116,$D1116,$E$7:$E1116,$E1116))</f>
        <v/>
      </c>
      <c r="P1116" s="16"/>
      <c r="Q1116" s="19"/>
      <c r="R1116" s="10"/>
      <c r="S1116" s="16"/>
      <c r="T1116" s="0" t="str">
        <f aca="false">IF(OR($D1116="",单元查询!$B$3=""),"",IF($D1116&lt;&gt;单元查询!$B$3,"",IF(OR(单元查询!$D$3="",$E1116&amp;""=单元查询!$D$3&amp;""),IF(ISNUMBER($B1116),$B1116*10000,0)+ROW(),"")))</f>
        <v/>
      </c>
      <c r="U1116" s="0" t="str">
        <f aca="false">IF(OR($B1116="",$L1116="已完成"),"",IF(ISNUMBER($B1116),IF(设置!$B$6&lt;$B1116,"",(设置!$B$6-$B1116)*100000+ROW()),""))</f>
        <v/>
      </c>
      <c r="V1116" s="0" t="str">
        <f aca="false">IF(ISNUMBER($O1116),IF($O1116&gt;=2,IF(COUNTIFS($D1116:$D$2006,$D1116,$E1116:$E$2006,$E1116)=1,ROW(),""),""),"")</f>
        <v/>
      </c>
    </row>
    <row r="1117" customFormat="false" ht="15" hidden="false" customHeight="true" outlineLevel="0" collapsed="false">
      <c r="A1117" s="13" t="str">
        <f aca="false">IF(AND($B1117="",$D1117="",$E1117="",$F1117=""),"",IF(OR($B1117="",$D1117="",$E1117=""),"待补",IF($D1117="公共区域","公",IF($D1117="商铺","S",SUBSTITUTE($D1117,"栋","")))&amp;"-"&amp;$E1117&amp;"-"&amp;TEXT(MONTH($B1117),"00")&amp;TEXT(DAY($B1117),"00")&amp;IF(ISNUMBER($O1117),IF($O1117&gt;1,"-"&amp;TEXT($O1117,"00"),""),"")))</f>
        <v/>
      </c>
      <c r="B1117" s="14"/>
      <c r="C1117" s="10"/>
      <c r="D1117" s="10"/>
      <c r="E1117" s="10"/>
      <c r="F1117" s="16"/>
      <c r="G1117" s="10"/>
      <c r="H1117" s="10"/>
      <c r="I1117" s="10"/>
      <c r="J1117" s="10"/>
      <c r="K1117" s="10"/>
      <c r="L1117" s="10"/>
      <c r="M1117" s="14"/>
      <c r="N1117" s="17" t="str">
        <f aca="false">IF($B1117="","",IF($L1117="已完成",IF($M1117="","",$M1117-$B1117),IF(设置!$B$6&lt;$B1117,"",IF((设置!$B$6-$B1117)&gt;=设置!$B$5,"超期"&amp;(设置!$B$6-$B1117)&amp;"天","已等"&amp;(设置!$B$6-$B1117)&amp;"天"))))</f>
        <v/>
      </c>
      <c r="O1117" s="18" t="str">
        <f aca="false">IF(OR($D1117="",$E1117=""),"",COUNTIFS($D$7:$D1117,$D1117,$E$7:$E1117,$E1117))</f>
        <v/>
      </c>
      <c r="P1117" s="16"/>
      <c r="Q1117" s="19"/>
      <c r="R1117" s="10"/>
      <c r="S1117" s="16"/>
      <c r="T1117" s="0" t="str">
        <f aca="false">IF(OR($D1117="",单元查询!$B$3=""),"",IF($D1117&lt;&gt;单元查询!$B$3,"",IF(OR(单元查询!$D$3="",$E1117&amp;""=单元查询!$D$3&amp;""),IF(ISNUMBER($B1117),$B1117*10000,0)+ROW(),"")))</f>
        <v/>
      </c>
      <c r="U1117" s="0" t="str">
        <f aca="false">IF(OR($B1117="",$L1117="已完成"),"",IF(ISNUMBER($B1117),IF(设置!$B$6&lt;$B1117,"",(设置!$B$6-$B1117)*100000+ROW()),""))</f>
        <v/>
      </c>
      <c r="V1117" s="0" t="str">
        <f aca="false">IF(ISNUMBER($O1117),IF($O1117&gt;=2,IF(COUNTIFS($D1117:$D$2006,$D1117,$E1117:$E$2006,$E1117)=1,ROW(),""),""),"")</f>
        <v/>
      </c>
    </row>
    <row r="1118" customFormat="false" ht="15" hidden="false" customHeight="true" outlineLevel="0" collapsed="false">
      <c r="A1118" s="13" t="str">
        <f aca="false">IF(AND($B1118="",$D1118="",$E1118="",$F1118=""),"",IF(OR($B1118="",$D1118="",$E1118=""),"待补",IF($D1118="公共区域","公",IF($D1118="商铺","S",SUBSTITUTE($D1118,"栋","")))&amp;"-"&amp;$E1118&amp;"-"&amp;TEXT(MONTH($B1118),"00")&amp;TEXT(DAY($B1118),"00")&amp;IF(ISNUMBER($O1118),IF($O1118&gt;1,"-"&amp;TEXT($O1118,"00"),""),"")))</f>
        <v/>
      </c>
      <c r="B1118" s="14"/>
      <c r="C1118" s="10"/>
      <c r="D1118" s="10"/>
      <c r="E1118" s="10"/>
      <c r="F1118" s="16"/>
      <c r="G1118" s="10"/>
      <c r="H1118" s="10"/>
      <c r="I1118" s="10"/>
      <c r="J1118" s="10"/>
      <c r="K1118" s="10"/>
      <c r="L1118" s="10"/>
      <c r="M1118" s="14"/>
      <c r="N1118" s="17" t="str">
        <f aca="false">IF($B1118="","",IF($L1118="已完成",IF($M1118="","",$M1118-$B1118),IF(设置!$B$6&lt;$B1118,"",IF((设置!$B$6-$B1118)&gt;=设置!$B$5,"超期"&amp;(设置!$B$6-$B1118)&amp;"天","已等"&amp;(设置!$B$6-$B1118)&amp;"天"))))</f>
        <v/>
      </c>
      <c r="O1118" s="18" t="str">
        <f aca="false">IF(OR($D1118="",$E1118=""),"",COUNTIFS($D$7:$D1118,$D1118,$E$7:$E1118,$E1118))</f>
        <v/>
      </c>
      <c r="P1118" s="16"/>
      <c r="Q1118" s="19"/>
      <c r="R1118" s="10"/>
      <c r="S1118" s="16"/>
      <c r="T1118" s="0" t="str">
        <f aca="false">IF(OR($D1118="",单元查询!$B$3=""),"",IF($D1118&lt;&gt;单元查询!$B$3,"",IF(OR(单元查询!$D$3="",$E1118&amp;""=单元查询!$D$3&amp;""),IF(ISNUMBER($B1118),$B1118*10000,0)+ROW(),"")))</f>
        <v/>
      </c>
      <c r="U1118" s="0" t="str">
        <f aca="false">IF(OR($B1118="",$L1118="已完成"),"",IF(ISNUMBER($B1118),IF(设置!$B$6&lt;$B1118,"",(设置!$B$6-$B1118)*100000+ROW()),""))</f>
        <v/>
      </c>
      <c r="V1118" s="0" t="str">
        <f aca="false">IF(ISNUMBER($O1118),IF($O1118&gt;=2,IF(COUNTIFS($D1118:$D$2006,$D1118,$E1118:$E$2006,$E1118)=1,ROW(),""),""),"")</f>
        <v/>
      </c>
    </row>
    <row r="1119" customFormat="false" ht="15" hidden="false" customHeight="true" outlineLevel="0" collapsed="false">
      <c r="A1119" s="13" t="str">
        <f aca="false">IF(AND($B1119="",$D1119="",$E1119="",$F1119=""),"",IF(OR($B1119="",$D1119="",$E1119=""),"待补",IF($D1119="公共区域","公",IF($D1119="商铺","S",SUBSTITUTE($D1119,"栋","")))&amp;"-"&amp;$E1119&amp;"-"&amp;TEXT(MONTH($B1119),"00")&amp;TEXT(DAY($B1119),"00")&amp;IF(ISNUMBER($O1119),IF($O1119&gt;1,"-"&amp;TEXT($O1119,"00"),""),"")))</f>
        <v/>
      </c>
      <c r="B1119" s="14"/>
      <c r="C1119" s="10"/>
      <c r="D1119" s="10"/>
      <c r="E1119" s="10"/>
      <c r="F1119" s="16"/>
      <c r="G1119" s="10"/>
      <c r="H1119" s="10"/>
      <c r="I1119" s="10"/>
      <c r="J1119" s="10"/>
      <c r="K1119" s="10"/>
      <c r="L1119" s="10"/>
      <c r="M1119" s="14"/>
      <c r="N1119" s="17" t="str">
        <f aca="false">IF($B1119="","",IF($L1119="已完成",IF($M1119="","",$M1119-$B1119),IF(设置!$B$6&lt;$B1119,"",IF((设置!$B$6-$B1119)&gt;=设置!$B$5,"超期"&amp;(设置!$B$6-$B1119)&amp;"天","已等"&amp;(设置!$B$6-$B1119)&amp;"天"))))</f>
        <v/>
      </c>
      <c r="O1119" s="18" t="str">
        <f aca="false">IF(OR($D1119="",$E1119=""),"",COUNTIFS($D$7:$D1119,$D1119,$E$7:$E1119,$E1119))</f>
        <v/>
      </c>
      <c r="P1119" s="16"/>
      <c r="Q1119" s="19"/>
      <c r="R1119" s="10"/>
      <c r="S1119" s="16"/>
      <c r="T1119" s="0" t="str">
        <f aca="false">IF(OR($D1119="",单元查询!$B$3=""),"",IF($D1119&lt;&gt;单元查询!$B$3,"",IF(OR(单元查询!$D$3="",$E1119&amp;""=单元查询!$D$3&amp;""),IF(ISNUMBER($B1119),$B1119*10000,0)+ROW(),"")))</f>
        <v/>
      </c>
      <c r="U1119" s="0" t="str">
        <f aca="false">IF(OR($B1119="",$L1119="已完成"),"",IF(ISNUMBER($B1119),IF(设置!$B$6&lt;$B1119,"",(设置!$B$6-$B1119)*100000+ROW()),""))</f>
        <v/>
      </c>
      <c r="V1119" s="0" t="str">
        <f aca="false">IF(ISNUMBER($O1119),IF($O1119&gt;=2,IF(COUNTIFS($D1119:$D$2006,$D1119,$E1119:$E$2006,$E1119)=1,ROW(),""),""),"")</f>
        <v/>
      </c>
    </row>
    <row r="1120" customFormat="false" ht="15" hidden="false" customHeight="true" outlineLevel="0" collapsed="false">
      <c r="A1120" s="13" t="str">
        <f aca="false">IF(AND($B1120="",$D1120="",$E1120="",$F1120=""),"",IF(OR($B1120="",$D1120="",$E1120=""),"待补",IF($D1120="公共区域","公",IF($D1120="商铺","S",SUBSTITUTE($D1120,"栋","")))&amp;"-"&amp;$E1120&amp;"-"&amp;TEXT(MONTH($B1120),"00")&amp;TEXT(DAY($B1120),"00")&amp;IF(ISNUMBER($O1120),IF($O1120&gt;1,"-"&amp;TEXT($O1120,"00"),""),"")))</f>
        <v/>
      </c>
      <c r="B1120" s="14"/>
      <c r="C1120" s="10"/>
      <c r="D1120" s="10"/>
      <c r="E1120" s="10"/>
      <c r="F1120" s="16"/>
      <c r="G1120" s="10"/>
      <c r="H1120" s="10"/>
      <c r="I1120" s="10"/>
      <c r="J1120" s="10"/>
      <c r="K1120" s="10"/>
      <c r="L1120" s="10"/>
      <c r="M1120" s="14"/>
      <c r="N1120" s="17" t="str">
        <f aca="false">IF($B1120="","",IF($L1120="已完成",IF($M1120="","",$M1120-$B1120),IF(设置!$B$6&lt;$B1120,"",IF((设置!$B$6-$B1120)&gt;=设置!$B$5,"超期"&amp;(设置!$B$6-$B1120)&amp;"天","已等"&amp;(设置!$B$6-$B1120)&amp;"天"))))</f>
        <v/>
      </c>
      <c r="O1120" s="18" t="str">
        <f aca="false">IF(OR($D1120="",$E1120=""),"",COUNTIFS($D$7:$D1120,$D1120,$E$7:$E1120,$E1120))</f>
        <v/>
      </c>
      <c r="P1120" s="16"/>
      <c r="Q1120" s="19"/>
      <c r="R1120" s="10"/>
      <c r="S1120" s="16"/>
      <c r="T1120" s="0" t="str">
        <f aca="false">IF(OR($D1120="",单元查询!$B$3=""),"",IF($D1120&lt;&gt;单元查询!$B$3,"",IF(OR(单元查询!$D$3="",$E1120&amp;""=单元查询!$D$3&amp;""),IF(ISNUMBER($B1120),$B1120*10000,0)+ROW(),"")))</f>
        <v/>
      </c>
      <c r="U1120" s="0" t="str">
        <f aca="false">IF(OR($B1120="",$L1120="已完成"),"",IF(ISNUMBER($B1120),IF(设置!$B$6&lt;$B1120,"",(设置!$B$6-$B1120)*100000+ROW()),""))</f>
        <v/>
      </c>
      <c r="V1120" s="0" t="str">
        <f aca="false">IF(ISNUMBER($O1120),IF($O1120&gt;=2,IF(COUNTIFS($D1120:$D$2006,$D1120,$E1120:$E$2006,$E1120)=1,ROW(),""),""),"")</f>
        <v/>
      </c>
    </row>
    <row r="1121" customFormat="false" ht="15" hidden="false" customHeight="true" outlineLevel="0" collapsed="false">
      <c r="A1121" s="13" t="str">
        <f aca="false">IF(AND($B1121="",$D1121="",$E1121="",$F1121=""),"",IF(OR($B1121="",$D1121="",$E1121=""),"待补",IF($D1121="公共区域","公",IF($D1121="商铺","S",SUBSTITUTE($D1121,"栋","")))&amp;"-"&amp;$E1121&amp;"-"&amp;TEXT(MONTH($B1121),"00")&amp;TEXT(DAY($B1121),"00")&amp;IF(ISNUMBER($O1121),IF($O1121&gt;1,"-"&amp;TEXT($O1121,"00"),""),"")))</f>
        <v/>
      </c>
      <c r="B1121" s="14"/>
      <c r="C1121" s="10"/>
      <c r="D1121" s="10"/>
      <c r="E1121" s="10"/>
      <c r="F1121" s="16"/>
      <c r="G1121" s="10"/>
      <c r="H1121" s="10"/>
      <c r="I1121" s="10"/>
      <c r="J1121" s="10"/>
      <c r="K1121" s="10"/>
      <c r="L1121" s="10"/>
      <c r="M1121" s="14"/>
      <c r="N1121" s="17" t="str">
        <f aca="false">IF($B1121="","",IF($L1121="已完成",IF($M1121="","",$M1121-$B1121),IF(设置!$B$6&lt;$B1121,"",IF((设置!$B$6-$B1121)&gt;=设置!$B$5,"超期"&amp;(设置!$B$6-$B1121)&amp;"天","已等"&amp;(设置!$B$6-$B1121)&amp;"天"))))</f>
        <v/>
      </c>
      <c r="O1121" s="18" t="str">
        <f aca="false">IF(OR($D1121="",$E1121=""),"",COUNTIFS($D$7:$D1121,$D1121,$E$7:$E1121,$E1121))</f>
        <v/>
      </c>
      <c r="P1121" s="16"/>
      <c r="Q1121" s="19"/>
      <c r="R1121" s="10"/>
      <c r="S1121" s="16"/>
      <c r="T1121" s="0" t="str">
        <f aca="false">IF(OR($D1121="",单元查询!$B$3=""),"",IF($D1121&lt;&gt;单元查询!$B$3,"",IF(OR(单元查询!$D$3="",$E1121&amp;""=单元查询!$D$3&amp;""),IF(ISNUMBER($B1121),$B1121*10000,0)+ROW(),"")))</f>
        <v/>
      </c>
      <c r="U1121" s="0" t="str">
        <f aca="false">IF(OR($B1121="",$L1121="已完成"),"",IF(ISNUMBER($B1121),IF(设置!$B$6&lt;$B1121,"",(设置!$B$6-$B1121)*100000+ROW()),""))</f>
        <v/>
      </c>
      <c r="V1121" s="0" t="str">
        <f aca="false">IF(ISNUMBER($O1121),IF($O1121&gt;=2,IF(COUNTIFS($D1121:$D$2006,$D1121,$E1121:$E$2006,$E1121)=1,ROW(),""),""),"")</f>
        <v/>
      </c>
    </row>
    <row r="1122" customFormat="false" ht="15" hidden="false" customHeight="true" outlineLevel="0" collapsed="false">
      <c r="A1122" s="13" t="str">
        <f aca="false">IF(AND($B1122="",$D1122="",$E1122="",$F1122=""),"",IF(OR($B1122="",$D1122="",$E1122=""),"待补",IF($D1122="公共区域","公",IF($D1122="商铺","S",SUBSTITUTE($D1122,"栋","")))&amp;"-"&amp;$E1122&amp;"-"&amp;TEXT(MONTH($B1122),"00")&amp;TEXT(DAY($B1122),"00")&amp;IF(ISNUMBER($O1122),IF($O1122&gt;1,"-"&amp;TEXT($O1122,"00"),""),"")))</f>
        <v/>
      </c>
      <c r="B1122" s="14"/>
      <c r="C1122" s="10"/>
      <c r="D1122" s="10"/>
      <c r="E1122" s="10"/>
      <c r="F1122" s="16"/>
      <c r="G1122" s="10"/>
      <c r="H1122" s="10"/>
      <c r="I1122" s="10"/>
      <c r="J1122" s="10"/>
      <c r="K1122" s="10"/>
      <c r="L1122" s="10"/>
      <c r="M1122" s="14"/>
      <c r="N1122" s="17" t="str">
        <f aca="false">IF($B1122="","",IF($L1122="已完成",IF($M1122="","",$M1122-$B1122),IF(设置!$B$6&lt;$B1122,"",IF((设置!$B$6-$B1122)&gt;=设置!$B$5,"超期"&amp;(设置!$B$6-$B1122)&amp;"天","已等"&amp;(设置!$B$6-$B1122)&amp;"天"))))</f>
        <v/>
      </c>
      <c r="O1122" s="18" t="str">
        <f aca="false">IF(OR($D1122="",$E1122=""),"",COUNTIFS($D$7:$D1122,$D1122,$E$7:$E1122,$E1122))</f>
        <v/>
      </c>
      <c r="P1122" s="16"/>
      <c r="Q1122" s="19"/>
      <c r="R1122" s="10"/>
      <c r="S1122" s="16"/>
      <c r="T1122" s="0" t="str">
        <f aca="false">IF(OR($D1122="",单元查询!$B$3=""),"",IF($D1122&lt;&gt;单元查询!$B$3,"",IF(OR(单元查询!$D$3="",$E1122&amp;""=单元查询!$D$3&amp;""),IF(ISNUMBER($B1122),$B1122*10000,0)+ROW(),"")))</f>
        <v/>
      </c>
      <c r="U1122" s="0" t="str">
        <f aca="false">IF(OR($B1122="",$L1122="已完成"),"",IF(ISNUMBER($B1122),IF(设置!$B$6&lt;$B1122,"",(设置!$B$6-$B1122)*100000+ROW()),""))</f>
        <v/>
      </c>
      <c r="V1122" s="0" t="str">
        <f aca="false">IF(ISNUMBER($O1122),IF($O1122&gt;=2,IF(COUNTIFS($D1122:$D$2006,$D1122,$E1122:$E$2006,$E1122)=1,ROW(),""),""),"")</f>
        <v/>
      </c>
    </row>
    <row r="1123" customFormat="false" ht="15" hidden="false" customHeight="true" outlineLevel="0" collapsed="false">
      <c r="A1123" s="13" t="str">
        <f aca="false">IF(AND($B1123="",$D1123="",$E1123="",$F1123=""),"",IF(OR($B1123="",$D1123="",$E1123=""),"待补",IF($D1123="公共区域","公",IF($D1123="商铺","S",SUBSTITUTE($D1123,"栋","")))&amp;"-"&amp;$E1123&amp;"-"&amp;TEXT(MONTH($B1123),"00")&amp;TEXT(DAY($B1123),"00")&amp;IF(ISNUMBER($O1123),IF($O1123&gt;1,"-"&amp;TEXT($O1123,"00"),""),"")))</f>
        <v/>
      </c>
      <c r="B1123" s="14"/>
      <c r="C1123" s="10"/>
      <c r="D1123" s="10"/>
      <c r="E1123" s="10"/>
      <c r="F1123" s="16"/>
      <c r="G1123" s="10"/>
      <c r="H1123" s="10"/>
      <c r="I1123" s="10"/>
      <c r="J1123" s="10"/>
      <c r="K1123" s="10"/>
      <c r="L1123" s="10"/>
      <c r="M1123" s="14"/>
      <c r="N1123" s="17" t="str">
        <f aca="false">IF($B1123="","",IF($L1123="已完成",IF($M1123="","",$M1123-$B1123),IF(设置!$B$6&lt;$B1123,"",IF((设置!$B$6-$B1123)&gt;=设置!$B$5,"超期"&amp;(设置!$B$6-$B1123)&amp;"天","已等"&amp;(设置!$B$6-$B1123)&amp;"天"))))</f>
        <v/>
      </c>
      <c r="O1123" s="18" t="str">
        <f aca="false">IF(OR($D1123="",$E1123=""),"",COUNTIFS($D$7:$D1123,$D1123,$E$7:$E1123,$E1123))</f>
        <v/>
      </c>
      <c r="P1123" s="16"/>
      <c r="Q1123" s="19"/>
      <c r="R1123" s="10"/>
      <c r="S1123" s="16"/>
      <c r="T1123" s="0" t="str">
        <f aca="false">IF(OR($D1123="",单元查询!$B$3=""),"",IF($D1123&lt;&gt;单元查询!$B$3,"",IF(OR(单元查询!$D$3="",$E1123&amp;""=单元查询!$D$3&amp;""),IF(ISNUMBER($B1123),$B1123*10000,0)+ROW(),"")))</f>
        <v/>
      </c>
      <c r="U1123" s="0" t="str">
        <f aca="false">IF(OR($B1123="",$L1123="已完成"),"",IF(ISNUMBER($B1123),IF(设置!$B$6&lt;$B1123,"",(设置!$B$6-$B1123)*100000+ROW()),""))</f>
        <v/>
      </c>
      <c r="V1123" s="0" t="str">
        <f aca="false">IF(ISNUMBER($O1123),IF($O1123&gt;=2,IF(COUNTIFS($D1123:$D$2006,$D1123,$E1123:$E$2006,$E1123)=1,ROW(),""),""),"")</f>
        <v/>
      </c>
    </row>
    <row r="1124" customFormat="false" ht="15" hidden="false" customHeight="true" outlineLevel="0" collapsed="false">
      <c r="A1124" s="13" t="str">
        <f aca="false">IF(AND($B1124="",$D1124="",$E1124="",$F1124=""),"",IF(OR($B1124="",$D1124="",$E1124=""),"待补",IF($D1124="公共区域","公",IF($D1124="商铺","S",SUBSTITUTE($D1124,"栋","")))&amp;"-"&amp;$E1124&amp;"-"&amp;TEXT(MONTH($B1124),"00")&amp;TEXT(DAY($B1124),"00")&amp;IF(ISNUMBER($O1124),IF($O1124&gt;1,"-"&amp;TEXT($O1124,"00"),""),"")))</f>
        <v/>
      </c>
      <c r="B1124" s="14"/>
      <c r="C1124" s="10"/>
      <c r="D1124" s="10"/>
      <c r="E1124" s="10"/>
      <c r="F1124" s="16"/>
      <c r="G1124" s="10"/>
      <c r="H1124" s="10"/>
      <c r="I1124" s="10"/>
      <c r="J1124" s="10"/>
      <c r="K1124" s="10"/>
      <c r="L1124" s="10"/>
      <c r="M1124" s="14"/>
      <c r="N1124" s="17" t="str">
        <f aca="false">IF($B1124="","",IF($L1124="已完成",IF($M1124="","",$M1124-$B1124),IF(设置!$B$6&lt;$B1124,"",IF((设置!$B$6-$B1124)&gt;=设置!$B$5,"超期"&amp;(设置!$B$6-$B1124)&amp;"天","已等"&amp;(设置!$B$6-$B1124)&amp;"天"))))</f>
        <v/>
      </c>
      <c r="O1124" s="18" t="str">
        <f aca="false">IF(OR($D1124="",$E1124=""),"",COUNTIFS($D$7:$D1124,$D1124,$E$7:$E1124,$E1124))</f>
        <v/>
      </c>
      <c r="P1124" s="16"/>
      <c r="Q1124" s="19"/>
      <c r="R1124" s="10"/>
      <c r="S1124" s="16"/>
      <c r="T1124" s="0" t="str">
        <f aca="false">IF(OR($D1124="",单元查询!$B$3=""),"",IF($D1124&lt;&gt;单元查询!$B$3,"",IF(OR(单元查询!$D$3="",$E1124&amp;""=单元查询!$D$3&amp;""),IF(ISNUMBER($B1124),$B1124*10000,0)+ROW(),"")))</f>
        <v/>
      </c>
      <c r="U1124" s="0" t="str">
        <f aca="false">IF(OR($B1124="",$L1124="已完成"),"",IF(ISNUMBER($B1124),IF(设置!$B$6&lt;$B1124,"",(设置!$B$6-$B1124)*100000+ROW()),""))</f>
        <v/>
      </c>
      <c r="V1124" s="0" t="str">
        <f aca="false">IF(ISNUMBER($O1124),IF($O1124&gt;=2,IF(COUNTIFS($D1124:$D$2006,$D1124,$E1124:$E$2006,$E1124)=1,ROW(),""),""),"")</f>
        <v/>
      </c>
    </row>
    <row r="1125" customFormat="false" ht="15" hidden="false" customHeight="true" outlineLevel="0" collapsed="false">
      <c r="A1125" s="13" t="str">
        <f aca="false">IF(AND($B1125="",$D1125="",$E1125="",$F1125=""),"",IF(OR($B1125="",$D1125="",$E1125=""),"待补",IF($D1125="公共区域","公",IF($D1125="商铺","S",SUBSTITUTE($D1125,"栋","")))&amp;"-"&amp;$E1125&amp;"-"&amp;TEXT(MONTH($B1125),"00")&amp;TEXT(DAY($B1125),"00")&amp;IF(ISNUMBER($O1125),IF($O1125&gt;1,"-"&amp;TEXT($O1125,"00"),""),"")))</f>
        <v/>
      </c>
      <c r="B1125" s="14"/>
      <c r="C1125" s="10"/>
      <c r="D1125" s="10"/>
      <c r="E1125" s="10"/>
      <c r="F1125" s="16"/>
      <c r="G1125" s="10"/>
      <c r="H1125" s="10"/>
      <c r="I1125" s="10"/>
      <c r="J1125" s="10"/>
      <c r="K1125" s="10"/>
      <c r="L1125" s="10"/>
      <c r="M1125" s="14"/>
      <c r="N1125" s="17" t="str">
        <f aca="false">IF($B1125="","",IF($L1125="已完成",IF($M1125="","",$M1125-$B1125),IF(设置!$B$6&lt;$B1125,"",IF((设置!$B$6-$B1125)&gt;=设置!$B$5,"超期"&amp;(设置!$B$6-$B1125)&amp;"天","已等"&amp;(设置!$B$6-$B1125)&amp;"天"))))</f>
        <v/>
      </c>
      <c r="O1125" s="18" t="str">
        <f aca="false">IF(OR($D1125="",$E1125=""),"",COUNTIFS($D$7:$D1125,$D1125,$E$7:$E1125,$E1125))</f>
        <v/>
      </c>
      <c r="P1125" s="16"/>
      <c r="Q1125" s="19"/>
      <c r="R1125" s="10"/>
      <c r="S1125" s="16"/>
      <c r="T1125" s="0" t="str">
        <f aca="false">IF(OR($D1125="",单元查询!$B$3=""),"",IF($D1125&lt;&gt;单元查询!$B$3,"",IF(OR(单元查询!$D$3="",$E1125&amp;""=单元查询!$D$3&amp;""),IF(ISNUMBER($B1125),$B1125*10000,0)+ROW(),"")))</f>
        <v/>
      </c>
      <c r="U1125" s="0" t="str">
        <f aca="false">IF(OR($B1125="",$L1125="已完成"),"",IF(ISNUMBER($B1125),IF(设置!$B$6&lt;$B1125,"",(设置!$B$6-$B1125)*100000+ROW()),""))</f>
        <v/>
      </c>
      <c r="V1125" s="0" t="str">
        <f aca="false">IF(ISNUMBER($O1125),IF($O1125&gt;=2,IF(COUNTIFS($D1125:$D$2006,$D1125,$E1125:$E$2006,$E1125)=1,ROW(),""),""),"")</f>
        <v/>
      </c>
    </row>
    <row r="1126" customFormat="false" ht="15" hidden="false" customHeight="true" outlineLevel="0" collapsed="false">
      <c r="A1126" s="13" t="str">
        <f aca="false">IF(AND($B1126="",$D1126="",$E1126="",$F1126=""),"",IF(OR($B1126="",$D1126="",$E1126=""),"待补",IF($D1126="公共区域","公",IF($D1126="商铺","S",SUBSTITUTE($D1126,"栋","")))&amp;"-"&amp;$E1126&amp;"-"&amp;TEXT(MONTH($B1126),"00")&amp;TEXT(DAY($B1126),"00")&amp;IF(ISNUMBER($O1126),IF($O1126&gt;1,"-"&amp;TEXT($O1126,"00"),""),"")))</f>
        <v/>
      </c>
      <c r="B1126" s="14"/>
      <c r="C1126" s="10"/>
      <c r="D1126" s="10"/>
      <c r="E1126" s="10"/>
      <c r="F1126" s="16"/>
      <c r="G1126" s="10"/>
      <c r="H1126" s="10"/>
      <c r="I1126" s="10"/>
      <c r="J1126" s="10"/>
      <c r="K1126" s="10"/>
      <c r="L1126" s="10"/>
      <c r="M1126" s="14"/>
      <c r="N1126" s="17" t="str">
        <f aca="false">IF($B1126="","",IF($L1126="已完成",IF($M1126="","",$M1126-$B1126),IF(设置!$B$6&lt;$B1126,"",IF((设置!$B$6-$B1126)&gt;=设置!$B$5,"超期"&amp;(设置!$B$6-$B1126)&amp;"天","已等"&amp;(设置!$B$6-$B1126)&amp;"天"))))</f>
        <v/>
      </c>
      <c r="O1126" s="18" t="str">
        <f aca="false">IF(OR($D1126="",$E1126=""),"",COUNTIFS($D$7:$D1126,$D1126,$E$7:$E1126,$E1126))</f>
        <v/>
      </c>
      <c r="P1126" s="16"/>
      <c r="Q1126" s="19"/>
      <c r="R1126" s="10"/>
      <c r="S1126" s="16"/>
      <c r="T1126" s="0" t="str">
        <f aca="false">IF(OR($D1126="",单元查询!$B$3=""),"",IF($D1126&lt;&gt;单元查询!$B$3,"",IF(OR(单元查询!$D$3="",$E1126&amp;""=单元查询!$D$3&amp;""),IF(ISNUMBER($B1126),$B1126*10000,0)+ROW(),"")))</f>
        <v/>
      </c>
      <c r="U1126" s="0" t="str">
        <f aca="false">IF(OR($B1126="",$L1126="已完成"),"",IF(ISNUMBER($B1126),IF(设置!$B$6&lt;$B1126,"",(设置!$B$6-$B1126)*100000+ROW()),""))</f>
        <v/>
      </c>
      <c r="V1126" s="0" t="str">
        <f aca="false">IF(ISNUMBER($O1126),IF($O1126&gt;=2,IF(COUNTIFS($D1126:$D$2006,$D1126,$E1126:$E$2006,$E1126)=1,ROW(),""),""),"")</f>
        <v/>
      </c>
    </row>
    <row r="1127" customFormat="false" ht="15" hidden="false" customHeight="true" outlineLevel="0" collapsed="false">
      <c r="A1127" s="13" t="str">
        <f aca="false">IF(AND($B1127="",$D1127="",$E1127="",$F1127=""),"",IF(OR($B1127="",$D1127="",$E1127=""),"待补",IF($D1127="公共区域","公",IF($D1127="商铺","S",SUBSTITUTE($D1127,"栋","")))&amp;"-"&amp;$E1127&amp;"-"&amp;TEXT(MONTH($B1127),"00")&amp;TEXT(DAY($B1127),"00")&amp;IF(ISNUMBER($O1127),IF($O1127&gt;1,"-"&amp;TEXT($O1127,"00"),""),"")))</f>
        <v/>
      </c>
      <c r="B1127" s="14"/>
      <c r="C1127" s="10"/>
      <c r="D1127" s="10"/>
      <c r="E1127" s="10"/>
      <c r="F1127" s="16"/>
      <c r="G1127" s="10"/>
      <c r="H1127" s="10"/>
      <c r="I1127" s="10"/>
      <c r="J1127" s="10"/>
      <c r="K1127" s="10"/>
      <c r="L1127" s="10"/>
      <c r="M1127" s="14"/>
      <c r="N1127" s="17" t="str">
        <f aca="false">IF($B1127="","",IF($L1127="已完成",IF($M1127="","",$M1127-$B1127),IF(设置!$B$6&lt;$B1127,"",IF((设置!$B$6-$B1127)&gt;=设置!$B$5,"超期"&amp;(设置!$B$6-$B1127)&amp;"天","已等"&amp;(设置!$B$6-$B1127)&amp;"天"))))</f>
        <v/>
      </c>
      <c r="O1127" s="18" t="str">
        <f aca="false">IF(OR($D1127="",$E1127=""),"",COUNTIFS($D$7:$D1127,$D1127,$E$7:$E1127,$E1127))</f>
        <v/>
      </c>
      <c r="P1127" s="16"/>
      <c r="Q1127" s="19"/>
      <c r="R1127" s="10"/>
      <c r="S1127" s="16"/>
      <c r="T1127" s="0" t="str">
        <f aca="false">IF(OR($D1127="",单元查询!$B$3=""),"",IF($D1127&lt;&gt;单元查询!$B$3,"",IF(OR(单元查询!$D$3="",$E1127&amp;""=单元查询!$D$3&amp;""),IF(ISNUMBER($B1127),$B1127*10000,0)+ROW(),"")))</f>
        <v/>
      </c>
      <c r="U1127" s="0" t="str">
        <f aca="false">IF(OR($B1127="",$L1127="已完成"),"",IF(ISNUMBER($B1127),IF(设置!$B$6&lt;$B1127,"",(设置!$B$6-$B1127)*100000+ROW()),""))</f>
        <v/>
      </c>
      <c r="V1127" s="0" t="str">
        <f aca="false">IF(ISNUMBER($O1127),IF($O1127&gt;=2,IF(COUNTIFS($D1127:$D$2006,$D1127,$E1127:$E$2006,$E1127)=1,ROW(),""),""),"")</f>
        <v/>
      </c>
    </row>
    <row r="1128" customFormat="false" ht="15" hidden="false" customHeight="true" outlineLevel="0" collapsed="false">
      <c r="A1128" s="13" t="str">
        <f aca="false">IF(AND($B1128="",$D1128="",$E1128="",$F1128=""),"",IF(OR($B1128="",$D1128="",$E1128=""),"待补",IF($D1128="公共区域","公",IF($D1128="商铺","S",SUBSTITUTE($D1128,"栋","")))&amp;"-"&amp;$E1128&amp;"-"&amp;TEXT(MONTH($B1128),"00")&amp;TEXT(DAY($B1128),"00")&amp;IF(ISNUMBER($O1128),IF($O1128&gt;1,"-"&amp;TEXT($O1128,"00"),""),"")))</f>
        <v/>
      </c>
      <c r="B1128" s="14"/>
      <c r="C1128" s="10"/>
      <c r="D1128" s="10"/>
      <c r="E1128" s="10"/>
      <c r="F1128" s="16"/>
      <c r="G1128" s="10"/>
      <c r="H1128" s="10"/>
      <c r="I1128" s="10"/>
      <c r="J1128" s="10"/>
      <c r="K1128" s="10"/>
      <c r="L1128" s="10"/>
      <c r="M1128" s="14"/>
      <c r="N1128" s="17" t="str">
        <f aca="false">IF($B1128="","",IF($L1128="已完成",IF($M1128="","",$M1128-$B1128),IF(设置!$B$6&lt;$B1128,"",IF((设置!$B$6-$B1128)&gt;=设置!$B$5,"超期"&amp;(设置!$B$6-$B1128)&amp;"天","已等"&amp;(设置!$B$6-$B1128)&amp;"天"))))</f>
        <v/>
      </c>
      <c r="O1128" s="18" t="str">
        <f aca="false">IF(OR($D1128="",$E1128=""),"",COUNTIFS($D$7:$D1128,$D1128,$E$7:$E1128,$E1128))</f>
        <v/>
      </c>
      <c r="P1128" s="16"/>
      <c r="Q1128" s="19"/>
      <c r="R1128" s="10"/>
      <c r="S1128" s="16"/>
      <c r="T1128" s="0" t="str">
        <f aca="false">IF(OR($D1128="",单元查询!$B$3=""),"",IF($D1128&lt;&gt;单元查询!$B$3,"",IF(OR(单元查询!$D$3="",$E1128&amp;""=单元查询!$D$3&amp;""),IF(ISNUMBER($B1128),$B1128*10000,0)+ROW(),"")))</f>
        <v/>
      </c>
      <c r="U1128" s="0" t="str">
        <f aca="false">IF(OR($B1128="",$L1128="已完成"),"",IF(ISNUMBER($B1128),IF(设置!$B$6&lt;$B1128,"",(设置!$B$6-$B1128)*100000+ROW()),""))</f>
        <v/>
      </c>
      <c r="V1128" s="0" t="str">
        <f aca="false">IF(ISNUMBER($O1128),IF($O1128&gt;=2,IF(COUNTIFS($D1128:$D$2006,$D1128,$E1128:$E$2006,$E1128)=1,ROW(),""),""),"")</f>
        <v/>
      </c>
    </row>
    <row r="1129" customFormat="false" ht="15" hidden="false" customHeight="true" outlineLevel="0" collapsed="false">
      <c r="A1129" s="13" t="str">
        <f aca="false">IF(AND($B1129="",$D1129="",$E1129="",$F1129=""),"",IF(OR($B1129="",$D1129="",$E1129=""),"待补",IF($D1129="公共区域","公",IF($D1129="商铺","S",SUBSTITUTE($D1129,"栋","")))&amp;"-"&amp;$E1129&amp;"-"&amp;TEXT(MONTH($B1129),"00")&amp;TEXT(DAY($B1129),"00")&amp;IF(ISNUMBER($O1129),IF($O1129&gt;1,"-"&amp;TEXT($O1129,"00"),""),"")))</f>
        <v/>
      </c>
      <c r="B1129" s="14"/>
      <c r="C1129" s="10"/>
      <c r="D1129" s="10"/>
      <c r="E1129" s="10"/>
      <c r="F1129" s="16"/>
      <c r="G1129" s="10"/>
      <c r="H1129" s="10"/>
      <c r="I1129" s="10"/>
      <c r="J1129" s="10"/>
      <c r="K1129" s="10"/>
      <c r="L1129" s="10"/>
      <c r="M1129" s="14"/>
      <c r="N1129" s="17" t="str">
        <f aca="false">IF($B1129="","",IF($L1129="已完成",IF($M1129="","",$M1129-$B1129),IF(设置!$B$6&lt;$B1129,"",IF((设置!$B$6-$B1129)&gt;=设置!$B$5,"超期"&amp;(设置!$B$6-$B1129)&amp;"天","已等"&amp;(设置!$B$6-$B1129)&amp;"天"))))</f>
        <v/>
      </c>
      <c r="O1129" s="18" t="str">
        <f aca="false">IF(OR($D1129="",$E1129=""),"",COUNTIFS($D$7:$D1129,$D1129,$E$7:$E1129,$E1129))</f>
        <v/>
      </c>
      <c r="P1129" s="16"/>
      <c r="Q1129" s="19"/>
      <c r="R1129" s="10"/>
      <c r="S1129" s="16"/>
      <c r="T1129" s="0" t="str">
        <f aca="false">IF(OR($D1129="",单元查询!$B$3=""),"",IF($D1129&lt;&gt;单元查询!$B$3,"",IF(OR(单元查询!$D$3="",$E1129&amp;""=单元查询!$D$3&amp;""),IF(ISNUMBER($B1129),$B1129*10000,0)+ROW(),"")))</f>
        <v/>
      </c>
      <c r="U1129" s="0" t="str">
        <f aca="false">IF(OR($B1129="",$L1129="已完成"),"",IF(ISNUMBER($B1129),IF(设置!$B$6&lt;$B1129,"",(设置!$B$6-$B1129)*100000+ROW()),""))</f>
        <v/>
      </c>
      <c r="V1129" s="0" t="str">
        <f aca="false">IF(ISNUMBER($O1129),IF($O1129&gt;=2,IF(COUNTIFS($D1129:$D$2006,$D1129,$E1129:$E$2006,$E1129)=1,ROW(),""),""),"")</f>
        <v/>
      </c>
    </row>
    <row r="1130" customFormat="false" ht="15" hidden="false" customHeight="true" outlineLevel="0" collapsed="false">
      <c r="A1130" s="13" t="str">
        <f aca="false">IF(AND($B1130="",$D1130="",$E1130="",$F1130=""),"",IF(OR($B1130="",$D1130="",$E1130=""),"待补",IF($D1130="公共区域","公",IF($D1130="商铺","S",SUBSTITUTE($D1130,"栋","")))&amp;"-"&amp;$E1130&amp;"-"&amp;TEXT(MONTH($B1130),"00")&amp;TEXT(DAY($B1130),"00")&amp;IF(ISNUMBER($O1130),IF($O1130&gt;1,"-"&amp;TEXT($O1130,"00"),""),"")))</f>
        <v/>
      </c>
      <c r="B1130" s="14"/>
      <c r="C1130" s="10"/>
      <c r="D1130" s="10"/>
      <c r="E1130" s="10"/>
      <c r="F1130" s="16"/>
      <c r="G1130" s="10"/>
      <c r="H1130" s="10"/>
      <c r="I1130" s="10"/>
      <c r="J1130" s="10"/>
      <c r="K1130" s="10"/>
      <c r="L1130" s="10"/>
      <c r="M1130" s="14"/>
      <c r="N1130" s="17" t="str">
        <f aca="false">IF($B1130="","",IF($L1130="已完成",IF($M1130="","",$M1130-$B1130),IF(设置!$B$6&lt;$B1130,"",IF((设置!$B$6-$B1130)&gt;=设置!$B$5,"超期"&amp;(设置!$B$6-$B1130)&amp;"天","已等"&amp;(设置!$B$6-$B1130)&amp;"天"))))</f>
        <v/>
      </c>
      <c r="O1130" s="18" t="str">
        <f aca="false">IF(OR($D1130="",$E1130=""),"",COUNTIFS($D$7:$D1130,$D1130,$E$7:$E1130,$E1130))</f>
        <v/>
      </c>
      <c r="P1130" s="16"/>
      <c r="Q1130" s="19"/>
      <c r="R1130" s="10"/>
      <c r="S1130" s="16"/>
      <c r="T1130" s="0" t="str">
        <f aca="false">IF(OR($D1130="",单元查询!$B$3=""),"",IF($D1130&lt;&gt;单元查询!$B$3,"",IF(OR(单元查询!$D$3="",$E1130&amp;""=单元查询!$D$3&amp;""),IF(ISNUMBER($B1130),$B1130*10000,0)+ROW(),"")))</f>
        <v/>
      </c>
      <c r="U1130" s="0" t="str">
        <f aca="false">IF(OR($B1130="",$L1130="已完成"),"",IF(ISNUMBER($B1130),IF(设置!$B$6&lt;$B1130,"",(设置!$B$6-$B1130)*100000+ROW()),""))</f>
        <v/>
      </c>
      <c r="V1130" s="0" t="str">
        <f aca="false">IF(ISNUMBER($O1130),IF($O1130&gt;=2,IF(COUNTIFS($D1130:$D$2006,$D1130,$E1130:$E$2006,$E1130)=1,ROW(),""),""),"")</f>
        <v/>
      </c>
    </row>
    <row r="1131" customFormat="false" ht="15" hidden="false" customHeight="true" outlineLevel="0" collapsed="false">
      <c r="A1131" s="13" t="str">
        <f aca="false">IF(AND($B1131="",$D1131="",$E1131="",$F1131=""),"",IF(OR($B1131="",$D1131="",$E1131=""),"待补",IF($D1131="公共区域","公",IF($D1131="商铺","S",SUBSTITUTE($D1131,"栋","")))&amp;"-"&amp;$E1131&amp;"-"&amp;TEXT(MONTH($B1131),"00")&amp;TEXT(DAY($B1131),"00")&amp;IF(ISNUMBER($O1131),IF($O1131&gt;1,"-"&amp;TEXT($O1131,"00"),""),"")))</f>
        <v/>
      </c>
      <c r="B1131" s="14"/>
      <c r="C1131" s="10"/>
      <c r="D1131" s="10"/>
      <c r="E1131" s="10"/>
      <c r="F1131" s="16"/>
      <c r="G1131" s="10"/>
      <c r="H1131" s="10"/>
      <c r="I1131" s="10"/>
      <c r="J1131" s="10"/>
      <c r="K1131" s="10"/>
      <c r="L1131" s="10"/>
      <c r="M1131" s="14"/>
      <c r="N1131" s="17" t="str">
        <f aca="false">IF($B1131="","",IF($L1131="已完成",IF($M1131="","",$M1131-$B1131),IF(设置!$B$6&lt;$B1131,"",IF((设置!$B$6-$B1131)&gt;=设置!$B$5,"超期"&amp;(设置!$B$6-$B1131)&amp;"天","已等"&amp;(设置!$B$6-$B1131)&amp;"天"))))</f>
        <v/>
      </c>
      <c r="O1131" s="18" t="str">
        <f aca="false">IF(OR($D1131="",$E1131=""),"",COUNTIFS($D$7:$D1131,$D1131,$E$7:$E1131,$E1131))</f>
        <v/>
      </c>
      <c r="P1131" s="16"/>
      <c r="Q1131" s="19"/>
      <c r="R1131" s="10"/>
      <c r="S1131" s="16"/>
      <c r="T1131" s="0" t="str">
        <f aca="false">IF(OR($D1131="",单元查询!$B$3=""),"",IF($D1131&lt;&gt;单元查询!$B$3,"",IF(OR(单元查询!$D$3="",$E1131&amp;""=单元查询!$D$3&amp;""),IF(ISNUMBER($B1131),$B1131*10000,0)+ROW(),"")))</f>
        <v/>
      </c>
      <c r="U1131" s="0" t="str">
        <f aca="false">IF(OR($B1131="",$L1131="已完成"),"",IF(ISNUMBER($B1131),IF(设置!$B$6&lt;$B1131,"",(设置!$B$6-$B1131)*100000+ROW()),""))</f>
        <v/>
      </c>
      <c r="V1131" s="0" t="str">
        <f aca="false">IF(ISNUMBER($O1131),IF($O1131&gt;=2,IF(COUNTIFS($D1131:$D$2006,$D1131,$E1131:$E$2006,$E1131)=1,ROW(),""),""),"")</f>
        <v/>
      </c>
    </row>
    <row r="1132" customFormat="false" ht="15" hidden="false" customHeight="true" outlineLevel="0" collapsed="false">
      <c r="A1132" s="13" t="str">
        <f aca="false">IF(AND($B1132="",$D1132="",$E1132="",$F1132=""),"",IF(OR($B1132="",$D1132="",$E1132=""),"待补",IF($D1132="公共区域","公",IF($D1132="商铺","S",SUBSTITUTE($D1132,"栋","")))&amp;"-"&amp;$E1132&amp;"-"&amp;TEXT(MONTH($B1132),"00")&amp;TEXT(DAY($B1132),"00")&amp;IF(ISNUMBER($O1132),IF($O1132&gt;1,"-"&amp;TEXT($O1132,"00"),""),"")))</f>
        <v/>
      </c>
      <c r="B1132" s="14"/>
      <c r="C1132" s="10"/>
      <c r="D1132" s="10"/>
      <c r="E1132" s="10"/>
      <c r="F1132" s="16"/>
      <c r="G1132" s="10"/>
      <c r="H1132" s="10"/>
      <c r="I1132" s="10"/>
      <c r="J1132" s="10"/>
      <c r="K1132" s="10"/>
      <c r="L1132" s="10"/>
      <c r="M1132" s="14"/>
      <c r="N1132" s="17" t="str">
        <f aca="false">IF($B1132="","",IF($L1132="已完成",IF($M1132="","",$M1132-$B1132),IF(设置!$B$6&lt;$B1132,"",IF((设置!$B$6-$B1132)&gt;=设置!$B$5,"超期"&amp;(设置!$B$6-$B1132)&amp;"天","已等"&amp;(设置!$B$6-$B1132)&amp;"天"))))</f>
        <v/>
      </c>
      <c r="O1132" s="18" t="str">
        <f aca="false">IF(OR($D1132="",$E1132=""),"",COUNTIFS($D$7:$D1132,$D1132,$E$7:$E1132,$E1132))</f>
        <v/>
      </c>
      <c r="P1132" s="16"/>
      <c r="Q1132" s="19"/>
      <c r="R1132" s="10"/>
      <c r="S1132" s="16"/>
      <c r="T1132" s="0" t="str">
        <f aca="false">IF(OR($D1132="",单元查询!$B$3=""),"",IF($D1132&lt;&gt;单元查询!$B$3,"",IF(OR(单元查询!$D$3="",$E1132&amp;""=单元查询!$D$3&amp;""),IF(ISNUMBER($B1132),$B1132*10000,0)+ROW(),"")))</f>
        <v/>
      </c>
      <c r="U1132" s="0" t="str">
        <f aca="false">IF(OR($B1132="",$L1132="已完成"),"",IF(ISNUMBER($B1132),IF(设置!$B$6&lt;$B1132,"",(设置!$B$6-$B1132)*100000+ROW()),""))</f>
        <v/>
      </c>
      <c r="V1132" s="0" t="str">
        <f aca="false">IF(ISNUMBER($O1132),IF($O1132&gt;=2,IF(COUNTIFS($D1132:$D$2006,$D1132,$E1132:$E$2006,$E1132)=1,ROW(),""),""),"")</f>
        <v/>
      </c>
    </row>
    <row r="1133" customFormat="false" ht="15" hidden="false" customHeight="true" outlineLevel="0" collapsed="false">
      <c r="A1133" s="13" t="str">
        <f aca="false">IF(AND($B1133="",$D1133="",$E1133="",$F1133=""),"",IF(OR($B1133="",$D1133="",$E1133=""),"待补",IF($D1133="公共区域","公",IF($D1133="商铺","S",SUBSTITUTE($D1133,"栋","")))&amp;"-"&amp;$E1133&amp;"-"&amp;TEXT(MONTH($B1133),"00")&amp;TEXT(DAY($B1133),"00")&amp;IF(ISNUMBER($O1133),IF($O1133&gt;1,"-"&amp;TEXT($O1133,"00"),""),"")))</f>
        <v/>
      </c>
      <c r="B1133" s="14"/>
      <c r="C1133" s="10"/>
      <c r="D1133" s="10"/>
      <c r="E1133" s="10"/>
      <c r="F1133" s="16"/>
      <c r="G1133" s="10"/>
      <c r="H1133" s="10"/>
      <c r="I1133" s="10"/>
      <c r="J1133" s="10"/>
      <c r="K1133" s="10"/>
      <c r="L1133" s="10"/>
      <c r="M1133" s="14"/>
      <c r="N1133" s="17" t="str">
        <f aca="false">IF($B1133="","",IF($L1133="已完成",IF($M1133="","",$M1133-$B1133),IF(设置!$B$6&lt;$B1133,"",IF((设置!$B$6-$B1133)&gt;=设置!$B$5,"超期"&amp;(设置!$B$6-$B1133)&amp;"天","已等"&amp;(设置!$B$6-$B1133)&amp;"天"))))</f>
        <v/>
      </c>
      <c r="O1133" s="18" t="str">
        <f aca="false">IF(OR($D1133="",$E1133=""),"",COUNTIFS($D$7:$D1133,$D1133,$E$7:$E1133,$E1133))</f>
        <v/>
      </c>
      <c r="P1133" s="16"/>
      <c r="Q1133" s="19"/>
      <c r="R1133" s="10"/>
      <c r="S1133" s="16"/>
      <c r="T1133" s="0" t="str">
        <f aca="false">IF(OR($D1133="",单元查询!$B$3=""),"",IF($D1133&lt;&gt;单元查询!$B$3,"",IF(OR(单元查询!$D$3="",$E1133&amp;""=单元查询!$D$3&amp;""),IF(ISNUMBER($B1133),$B1133*10000,0)+ROW(),"")))</f>
        <v/>
      </c>
      <c r="U1133" s="0" t="str">
        <f aca="false">IF(OR($B1133="",$L1133="已完成"),"",IF(ISNUMBER($B1133),IF(设置!$B$6&lt;$B1133,"",(设置!$B$6-$B1133)*100000+ROW()),""))</f>
        <v/>
      </c>
      <c r="V1133" s="0" t="str">
        <f aca="false">IF(ISNUMBER($O1133),IF($O1133&gt;=2,IF(COUNTIFS($D1133:$D$2006,$D1133,$E1133:$E$2006,$E1133)=1,ROW(),""),""),"")</f>
        <v/>
      </c>
    </row>
    <row r="1134" customFormat="false" ht="15" hidden="false" customHeight="true" outlineLevel="0" collapsed="false">
      <c r="A1134" s="13" t="str">
        <f aca="false">IF(AND($B1134="",$D1134="",$E1134="",$F1134=""),"",IF(OR($B1134="",$D1134="",$E1134=""),"待补",IF($D1134="公共区域","公",IF($D1134="商铺","S",SUBSTITUTE($D1134,"栋","")))&amp;"-"&amp;$E1134&amp;"-"&amp;TEXT(MONTH($B1134),"00")&amp;TEXT(DAY($B1134),"00")&amp;IF(ISNUMBER($O1134),IF($O1134&gt;1,"-"&amp;TEXT($O1134,"00"),""),"")))</f>
        <v/>
      </c>
      <c r="B1134" s="14"/>
      <c r="C1134" s="10"/>
      <c r="D1134" s="10"/>
      <c r="E1134" s="10"/>
      <c r="F1134" s="16"/>
      <c r="G1134" s="10"/>
      <c r="H1134" s="10"/>
      <c r="I1134" s="10"/>
      <c r="J1134" s="10"/>
      <c r="K1134" s="10"/>
      <c r="L1134" s="10"/>
      <c r="M1134" s="14"/>
      <c r="N1134" s="17" t="str">
        <f aca="false">IF($B1134="","",IF($L1134="已完成",IF($M1134="","",$M1134-$B1134),IF(设置!$B$6&lt;$B1134,"",IF((设置!$B$6-$B1134)&gt;=设置!$B$5,"超期"&amp;(设置!$B$6-$B1134)&amp;"天","已等"&amp;(设置!$B$6-$B1134)&amp;"天"))))</f>
        <v/>
      </c>
      <c r="O1134" s="18" t="str">
        <f aca="false">IF(OR($D1134="",$E1134=""),"",COUNTIFS($D$7:$D1134,$D1134,$E$7:$E1134,$E1134))</f>
        <v/>
      </c>
      <c r="P1134" s="16"/>
      <c r="Q1134" s="19"/>
      <c r="R1134" s="10"/>
      <c r="S1134" s="16"/>
      <c r="T1134" s="0" t="str">
        <f aca="false">IF(OR($D1134="",单元查询!$B$3=""),"",IF($D1134&lt;&gt;单元查询!$B$3,"",IF(OR(单元查询!$D$3="",$E1134&amp;""=单元查询!$D$3&amp;""),IF(ISNUMBER($B1134),$B1134*10000,0)+ROW(),"")))</f>
        <v/>
      </c>
      <c r="U1134" s="0" t="str">
        <f aca="false">IF(OR($B1134="",$L1134="已完成"),"",IF(ISNUMBER($B1134),IF(设置!$B$6&lt;$B1134,"",(设置!$B$6-$B1134)*100000+ROW()),""))</f>
        <v/>
      </c>
      <c r="V1134" s="0" t="str">
        <f aca="false">IF(ISNUMBER($O1134),IF($O1134&gt;=2,IF(COUNTIFS($D1134:$D$2006,$D1134,$E1134:$E$2006,$E1134)=1,ROW(),""),""),"")</f>
        <v/>
      </c>
    </row>
    <row r="1135" customFormat="false" ht="15" hidden="false" customHeight="true" outlineLevel="0" collapsed="false">
      <c r="A1135" s="13" t="str">
        <f aca="false">IF(AND($B1135="",$D1135="",$E1135="",$F1135=""),"",IF(OR($B1135="",$D1135="",$E1135=""),"待补",IF($D1135="公共区域","公",IF($D1135="商铺","S",SUBSTITUTE($D1135,"栋","")))&amp;"-"&amp;$E1135&amp;"-"&amp;TEXT(MONTH($B1135),"00")&amp;TEXT(DAY($B1135),"00")&amp;IF(ISNUMBER($O1135),IF($O1135&gt;1,"-"&amp;TEXT($O1135,"00"),""),"")))</f>
        <v/>
      </c>
      <c r="B1135" s="14"/>
      <c r="C1135" s="10"/>
      <c r="D1135" s="10"/>
      <c r="E1135" s="10"/>
      <c r="F1135" s="16"/>
      <c r="G1135" s="10"/>
      <c r="H1135" s="10"/>
      <c r="I1135" s="10"/>
      <c r="J1135" s="10"/>
      <c r="K1135" s="10"/>
      <c r="L1135" s="10"/>
      <c r="M1135" s="14"/>
      <c r="N1135" s="17" t="str">
        <f aca="false">IF($B1135="","",IF($L1135="已完成",IF($M1135="","",$M1135-$B1135),IF(设置!$B$6&lt;$B1135,"",IF((设置!$B$6-$B1135)&gt;=设置!$B$5,"超期"&amp;(设置!$B$6-$B1135)&amp;"天","已等"&amp;(设置!$B$6-$B1135)&amp;"天"))))</f>
        <v/>
      </c>
      <c r="O1135" s="18" t="str">
        <f aca="false">IF(OR($D1135="",$E1135=""),"",COUNTIFS($D$7:$D1135,$D1135,$E$7:$E1135,$E1135))</f>
        <v/>
      </c>
      <c r="P1135" s="16"/>
      <c r="Q1135" s="19"/>
      <c r="R1135" s="10"/>
      <c r="S1135" s="16"/>
      <c r="T1135" s="0" t="str">
        <f aca="false">IF(OR($D1135="",单元查询!$B$3=""),"",IF($D1135&lt;&gt;单元查询!$B$3,"",IF(OR(单元查询!$D$3="",$E1135&amp;""=单元查询!$D$3&amp;""),IF(ISNUMBER($B1135),$B1135*10000,0)+ROW(),"")))</f>
        <v/>
      </c>
      <c r="U1135" s="0" t="str">
        <f aca="false">IF(OR($B1135="",$L1135="已完成"),"",IF(ISNUMBER($B1135),IF(设置!$B$6&lt;$B1135,"",(设置!$B$6-$B1135)*100000+ROW()),""))</f>
        <v/>
      </c>
      <c r="V1135" s="0" t="str">
        <f aca="false">IF(ISNUMBER($O1135),IF($O1135&gt;=2,IF(COUNTIFS($D1135:$D$2006,$D1135,$E1135:$E$2006,$E1135)=1,ROW(),""),""),"")</f>
        <v/>
      </c>
    </row>
    <row r="1136" customFormat="false" ht="15" hidden="false" customHeight="true" outlineLevel="0" collapsed="false">
      <c r="A1136" s="13" t="str">
        <f aca="false">IF(AND($B1136="",$D1136="",$E1136="",$F1136=""),"",IF(OR($B1136="",$D1136="",$E1136=""),"待补",IF($D1136="公共区域","公",IF($D1136="商铺","S",SUBSTITUTE($D1136,"栋","")))&amp;"-"&amp;$E1136&amp;"-"&amp;TEXT(MONTH($B1136),"00")&amp;TEXT(DAY($B1136),"00")&amp;IF(ISNUMBER($O1136),IF($O1136&gt;1,"-"&amp;TEXT($O1136,"00"),""),"")))</f>
        <v/>
      </c>
      <c r="B1136" s="14"/>
      <c r="C1136" s="10"/>
      <c r="D1136" s="10"/>
      <c r="E1136" s="10"/>
      <c r="F1136" s="16"/>
      <c r="G1136" s="10"/>
      <c r="H1136" s="10"/>
      <c r="I1136" s="10"/>
      <c r="J1136" s="10"/>
      <c r="K1136" s="10"/>
      <c r="L1136" s="10"/>
      <c r="M1136" s="14"/>
      <c r="N1136" s="17" t="str">
        <f aca="false">IF($B1136="","",IF($L1136="已完成",IF($M1136="","",$M1136-$B1136),IF(设置!$B$6&lt;$B1136,"",IF((设置!$B$6-$B1136)&gt;=设置!$B$5,"超期"&amp;(设置!$B$6-$B1136)&amp;"天","已等"&amp;(设置!$B$6-$B1136)&amp;"天"))))</f>
        <v/>
      </c>
      <c r="O1136" s="18" t="str">
        <f aca="false">IF(OR($D1136="",$E1136=""),"",COUNTIFS($D$7:$D1136,$D1136,$E$7:$E1136,$E1136))</f>
        <v/>
      </c>
      <c r="P1136" s="16"/>
      <c r="Q1136" s="19"/>
      <c r="R1136" s="10"/>
      <c r="S1136" s="16"/>
      <c r="T1136" s="0" t="str">
        <f aca="false">IF(OR($D1136="",单元查询!$B$3=""),"",IF($D1136&lt;&gt;单元查询!$B$3,"",IF(OR(单元查询!$D$3="",$E1136&amp;""=单元查询!$D$3&amp;""),IF(ISNUMBER($B1136),$B1136*10000,0)+ROW(),"")))</f>
        <v/>
      </c>
      <c r="U1136" s="0" t="str">
        <f aca="false">IF(OR($B1136="",$L1136="已完成"),"",IF(ISNUMBER($B1136),IF(设置!$B$6&lt;$B1136,"",(设置!$B$6-$B1136)*100000+ROW()),""))</f>
        <v/>
      </c>
      <c r="V1136" s="0" t="str">
        <f aca="false">IF(ISNUMBER($O1136),IF($O1136&gt;=2,IF(COUNTIFS($D1136:$D$2006,$D1136,$E1136:$E$2006,$E1136)=1,ROW(),""),""),"")</f>
        <v/>
      </c>
    </row>
    <row r="1137" customFormat="false" ht="15" hidden="false" customHeight="true" outlineLevel="0" collapsed="false">
      <c r="A1137" s="13" t="str">
        <f aca="false">IF(AND($B1137="",$D1137="",$E1137="",$F1137=""),"",IF(OR($B1137="",$D1137="",$E1137=""),"待补",IF($D1137="公共区域","公",IF($D1137="商铺","S",SUBSTITUTE($D1137,"栋","")))&amp;"-"&amp;$E1137&amp;"-"&amp;TEXT(MONTH($B1137),"00")&amp;TEXT(DAY($B1137),"00")&amp;IF(ISNUMBER($O1137),IF($O1137&gt;1,"-"&amp;TEXT($O1137,"00"),""),"")))</f>
        <v/>
      </c>
      <c r="B1137" s="14"/>
      <c r="C1137" s="10"/>
      <c r="D1137" s="10"/>
      <c r="E1137" s="10"/>
      <c r="F1137" s="16"/>
      <c r="G1137" s="10"/>
      <c r="H1137" s="10"/>
      <c r="I1137" s="10"/>
      <c r="J1137" s="10"/>
      <c r="K1137" s="10"/>
      <c r="L1137" s="10"/>
      <c r="M1137" s="14"/>
      <c r="N1137" s="17" t="str">
        <f aca="false">IF($B1137="","",IF($L1137="已完成",IF($M1137="","",$M1137-$B1137),IF(设置!$B$6&lt;$B1137,"",IF((设置!$B$6-$B1137)&gt;=设置!$B$5,"超期"&amp;(设置!$B$6-$B1137)&amp;"天","已等"&amp;(设置!$B$6-$B1137)&amp;"天"))))</f>
        <v/>
      </c>
      <c r="O1137" s="18" t="str">
        <f aca="false">IF(OR($D1137="",$E1137=""),"",COUNTIFS($D$7:$D1137,$D1137,$E$7:$E1137,$E1137))</f>
        <v/>
      </c>
      <c r="P1137" s="16"/>
      <c r="Q1137" s="19"/>
      <c r="R1137" s="10"/>
      <c r="S1137" s="16"/>
      <c r="T1137" s="0" t="str">
        <f aca="false">IF(OR($D1137="",单元查询!$B$3=""),"",IF($D1137&lt;&gt;单元查询!$B$3,"",IF(OR(单元查询!$D$3="",$E1137&amp;""=单元查询!$D$3&amp;""),IF(ISNUMBER($B1137),$B1137*10000,0)+ROW(),"")))</f>
        <v/>
      </c>
      <c r="U1137" s="0" t="str">
        <f aca="false">IF(OR($B1137="",$L1137="已完成"),"",IF(ISNUMBER($B1137),IF(设置!$B$6&lt;$B1137,"",(设置!$B$6-$B1137)*100000+ROW()),""))</f>
        <v/>
      </c>
      <c r="V1137" s="0" t="str">
        <f aca="false">IF(ISNUMBER($O1137),IF($O1137&gt;=2,IF(COUNTIFS($D1137:$D$2006,$D1137,$E1137:$E$2006,$E1137)=1,ROW(),""),""),"")</f>
        <v/>
      </c>
    </row>
    <row r="1138" customFormat="false" ht="15" hidden="false" customHeight="true" outlineLevel="0" collapsed="false">
      <c r="A1138" s="13" t="str">
        <f aca="false">IF(AND($B1138="",$D1138="",$E1138="",$F1138=""),"",IF(OR($B1138="",$D1138="",$E1138=""),"待补",IF($D1138="公共区域","公",IF($D1138="商铺","S",SUBSTITUTE($D1138,"栋","")))&amp;"-"&amp;$E1138&amp;"-"&amp;TEXT(MONTH($B1138),"00")&amp;TEXT(DAY($B1138),"00")&amp;IF(ISNUMBER($O1138),IF($O1138&gt;1,"-"&amp;TEXT($O1138,"00"),""),"")))</f>
        <v/>
      </c>
      <c r="B1138" s="14"/>
      <c r="C1138" s="10"/>
      <c r="D1138" s="10"/>
      <c r="E1138" s="10"/>
      <c r="F1138" s="16"/>
      <c r="G1138" s="10"/>
      <c r="H1138" s="10"/>
      <c r="I1138" s="10"/>
      <c r="J1138" s="10"/>
      <c r="K1138" s="10"/>
      <c r="L1138" s="10"/>
      <c r="M1138" s="14"/>
      <c r="N1138" s="17" t="str">
        <f aca="false">IF($B1138="","",IF($L1138="已完成",IF($M1138="","",$M1138-$B1138),IF(设置!$B$6&lt;$B1138,"",IF((设置!$B$6-$B1138)&gt;=设置!$B$5,"超期"&amp;(设置!$B$6-$B1138)&amp;"天","已等"&amp;(设置!$B$6-$B1138)&amp;"天"))))</f>
        <v/>
      </c>
      <c r="O1138" s="18" t="str">
        <f aca="false">IF(OR($D1138="",$E1138=""),"",COUNTIFS($D$7:$D1138,$D1138,$E$7:$E1138,$E1138))</f>
        <v/>
      </c>
      <c r="P1138" s="16"/>
      <c r="Q1138" s="19"/>
      <c r="R1138" s="10"/>
      <c r="S1138" s="16"/>
      <c r="T1138" s="0" t="str">
        <f aca="false">IF(OR($D1138="",单元查询!$B$3=""),"",IF($D1138&lt;&gt;单元查询!$B$3,"",IF(OR(单元查询!$D$3="",$E1138&amp;""=单元查询!$D$3&amp;""),IF(ISNUMBER($B1138),$B1138*10000,0)+ROW(),"")))</f>
        <v/>
      </c>
      <c r="U1138" s="0" t="str">
        <f aca="false">IF(OR($B1138="",$L1138="已完成"),"",IF(ISNUMBER($B1138),IF(设置!$B$6&lt;$B1138,"",(设置!$B$6-$B1138)*100000+ROW()),""))</f>
        <v/>
      </c>
      <c r="V1138" s="0" t="str">
        <f aca="false">IF(ISNUMBER($O1138),IF($O1138&gt;=2,IF(COUNTIFS($D1138:$D$2006,$D1138,$E1138:$E$2006,$E1138)=1,ROW(),""),""),"")</f>
        <v/>
      </c>
    </row>
    <row r="1139" customFormat="false" ht="15" hidden="false" customHeight="true" outlineLevel="0" collapsed="false">
      <c r="A1139" s="13" t="str">
        <f aca="false">IF(AND($B1139="",$D1139="",$E1139="",$F1139=""),"",IF(OR($B1139="",$D1139="",$E1139=""),"待补",IF($D1139="公共区域","公",IF($D1139="商铺","S",SUBSTITUTE($D1139,"栋","")))&amp;"-"&amp;$E1139&amp;"-"&amp;TEXT(MONTH($B1139),"00")&amp;TEXT(DAY($B1139),"00")&amp;IF(ISNUMBER($O1139),IF($O1139&gt;1,"-"&amp;TEXT($O1139,"00"),""),"")))</f>
        <v/>
      </c>
      <c r="B1139" s="14"/>
      <c r="C1139" s="10"/>
      <c r="D1139" s="10"/>
      <c r="E1139" s="10"/>
      <c r="F1139" s="16"/>
      <c r="G1139" s="10"/>
      <c r="H1139" s="10"/>
      <c r="I1139" s="10"/>
      <c r="J1139" s="10"/>
      <c r="K1139" s="10"/>
      <c r="L1139" s="10"/>
      <c r="M1139" s="14"/>
      <c r="N1139" s="17" t="str">
        <f aca="false">IF($B1139="","",IF($L1139="已完成",IF($M1139="","",$M1139-$B1139),IF(设置!$B$6&lt;$B1139,"",IF((设置!$B$6-$B1139)&gt;=设置!$B$5,"超期"&amp;(设置!$B$6-$B1139)&amp;"天","已等"&amp;(设置!$B$6-$B1139)&amp;"天"))))</f>
        <v/>
      </c>
      <c r="O1139" s="18" t="str">
        <f aca="false">IF(OR($D1139="",$E1139=""),"",COUNTIFS($D$7:$D1139,$D1139,$E$7:$E1139,$E1139))</f>
        <v/>
      </c>
      <c r="P1139" s="16"/>
      <c r="Q1139" s="19"/>
      <c r="R1139" s="10"/>
      <c r="S1139" s="16"/>
      <c r="T1139" s="0" t="str">
        <f aca="false">IF(OR($D1139="",单元查询!$B$3=""),"",IF($D1139&lt;&gt;单元查询!$B$3,"",IF(OR(单元查询!$D$3="",$E1139&amp;""=单元查询!$D$3&amp;""),IF(ISNUMBER($B1139),$B1139*10000,0)+ROW(),"")))</f>
        <v/>
      </c>
      <c r="U1139" s="0" t="str">
        <f aca="false">IF(OR($B1139="",$L1139="已完成"),"",IF(ISNUMBER($B1139),IF(设置!$B$6&lt;$B1139,"",(设置!$B$6-$B1139)*100000+ROW()),""))</f>
        <v/>
      </c>
      <c r="V1139" s="0" t="str">
        <f aca="false">IF(ISNUMBER($O1139),IF($O1139&gt;=2,IF(COUNTIFS($D1139:$D$2006,$D1139,$E1139:$E$2006,$E1139)=1,ROW(),""),""),"")</f>
        <v/>
      </c>
    </row>
    <row r="1140" customFormat="false" ht="15" hidden="false" customHeight="true" outlineLevel="0" collapsed="false">
      <c r="A1140" s="13" t="str">
        <f aca="false">IF(AND($B1140="",$D1140="",$E1140="",$F1140=""),"",IF(OR($B1140="",$D1140="",$E1140=""),"待补",IF($D1140="公共区域","公",IF($D1140="商铺","S",SUBSTITUTE($D1140,"栋","")))&amp;"-"&amp;$E1140&amp;"-"&amp;TEXT(MONTH($B1140),"00")&amp;TEXT(DAY($B1140),"00")&amp;IF(ISNUMBER($O1140),IF($O1140&gt;1,"-"&amp;TEXT($O1140,"00"),""),"")))</f>
        <v/>
      </c>
      <c r="B1140" s="14"/>
      <c r="C1140" s="10"/>
      <c r="D1140" s="10"/>
      <c r="E1140" s="10"/>
      <c r="F1140" s="16"/>
      <c r="G1140" s="10"/>
      <c r="H1140" s="10"/>
      <c r="I1140" s="10"/>
      <c r="J1140" s="10"/>
      <c r="K1140" s="10"/>
      <c r="L1140" s="10"/>
      <c r="M1140" s="14"/>
      <c r="N1140" s="17" t="str">
        <f aca="false">IF($B1140="","",IF($L1140="已完成",IF($M1140="","",$M1140-$B1140),IF(设置!$B$6&lt;$B1140,"",IF((设置!$B$6-$B1140)&gt;=设置!$B$5,"超期"&amp;(设置!$B$6-$B1140)&amp;"天","已等"&amp;(设置!$B$6-$B1140)&amp;"天"))))</f>
        <v/>
      </c>
      <c r="O1140" s="18" t="str">
        <f aca="false">IF(OR($D1140="",$E1140=""),"",COUNTIFS($D$7:$D1140,$D1140,$E$7:$E1140,$E1140))</f>
        <v/>
      </c>
      <c r="P1140" s="16"/>
      <c r="Q1140" s="19"/>
      <c r="R1140" s="10"/>
      <c r="S1140" s="16"/>
      <c r="T1140" s="0" t="str">
        <f aca="false">IF(OR($D1140="",单元查询!$B$3=""),"",IF($D1140&lt;&gt;单元查询!$B$3,"",IF(OR(单元查询!$D$3="",$E1140&amp;""=单元查询!$D$3&amp;""),IF(ISNUMBER($B1140),$B1140*10000,0)+ROW(),"")))</f>
        <v/>
      </c>
      <c r="U1140" s="0" t="str">
        <f aca="false">IF(OR($B1140="",$L1140="已完成"),"",IF(ISNUMBER($B1140),IF(设置!$B$6&lt;$B1140,"",(设置!$B$6-$B1140)*100000+ROW()),""))</f>
        <v/>
      </c>
      <c r="V1140" s="0" t="str">
        <f aca="false">IF(ISNUMBER($O1140),IF($O1140&gt;=2,IF(COUNTIFS($D1140:$D$2006,$D1140,$E1140:$E$2006,$E1140)=1,ROW(),""),""),"")</f>
        <v/>
      </c>
    </row>
    <row r="1141" customFormat="false" ht="15" hidden="false" customHeight="true" outlineLevel="0" collapsed="false">
      <c r="A1141" s="13" t="str">
        <f aca="false">IF(AND($B1141="",$D1141="",$E1141="",$F1141=""),"",IF(OR($B1141="",$D1141="",$E1141=""),"待补",IF($D1141="公共区域","公",IF($D1141="商铺","S",SUBSTITUTE($D1141,"栋","")))&amp;"-"&amp;$E1141&amp;"-"&amp;TEXT(MONTH($B1141),"00")&amp;TEXT(DAY($B1141),"00")&amp;IF(ISNUMBER($O1141),IF($O1141&gt;1,"-"&amp;TEXT($O1141,"00"),""),"")))</f>
        <v/>
      </c>
      <c r="B1141" s="14"/>
      <c r="C1141" s="10"/>
      <c r="D1141" s="10"/>
      <c r="E1141" s="10"/>
      <c r="F1141" s="16"/>
      <c r="G1141" s="10"/>
      <c r="H1141" s="10"/>
      <c r="I1141" s="10"/>
      <c r="J1141" s="10"/>
      <c r="K1141" s="10"/>
      <c r="L1141" s="10"/>
      <c r="M1141" s="14"/>
      <c r="N1141" s="17" t="str">
        <f aca="false">IF($B1141="","",IF($L1141="已完成",IF($M1141="","",$M1141-$B1141),IF(设置!$B$6&lt;$B1141,"",IF((设置!$B$6-$B1141)&gt;=设置!$B$5,"超期"&amp;(设置!$B$6-$B1141)&amp;"天","已等"&amp;(设置!$B$6-$B1141)&amp;"天"))))</f>
        <v/>
      </c>
      <c r="O1141" s="18" t="str">
        <f aca="false">IF(OR($D1141="",$E1141=""),"",COUNTIFS($D$7:$D1141,$D1141,$E$7:$E1141,$E1141))</f>
        <v/>
      </c>
      <c r="P1141" s="16"/>
      <c r="Q1141" s="19"/>
      <c r="R1141" s="10"/>
      <c r="S1141" s="16"/>
      <c r="T1141" s="0" t="str">
        <f aca="false">IF(OR($D1141="",单元查询!$B$3=""),"",IF($D1141&lt;&gt;单元查询!$B$3,"",IF(OR(单元查询!$D$3="",$E1141&amp;""=单元查询!$D$3&amp;""),IF(ISNUMBER($B1141),$B1141*10000,0)+ROW(),"")))</f>
        <v/>
      </c>
      <c r="U1141" s="0" t="str">
        <f aca="false">IF(OR($B1141="",$L1141="已完成"),"",IF(ISNUMBER($B1141),IF(设置!$B$6&lt;$B1141,"",(设置!$B$6-$B1141)*100000+ROW()),""))</f>
        <v/>
      </c>
      <c r="V1141" s="0" t="str">
        <f aca="false">IF(ISNUMBER($O1141),IF($O1141&gt;=2,IF(COUNTIFS($D1141:$D$2006,$D1141,$E1141:$E$2006,$E1141)=1,ROW(),""),""),"")</f>
        <v/>
      </c>
    </row>
    <row r="1142" customFormat="false" ht="15" hidden="false" customHeight="true" outlineLevel="0" collapsed="false">
      <c r="A1142" s="13" t="str">
        <f aca="false">IF(AND($B1142="",$D1142="",$E1142="",$F1142=""),"",IF(OR($B1142="",$D1142="",$E1142=""),"待补",IF($D1142="公共区域","公",IF($D1142="商铺","S",SUBSTITUTE($D1142,"栋","")))&amp;"-"&amp;$E1142&amp;"-"&amp;TEXT(MONTH($B1142),"00")&amp;TEXT(DAY($B1142),"00")&amp;IF(ISNUMBER($O1142),IF($O1142&gt;1,"-"&amp;TEXT($O1142,"00"),""),"")))</f>
        <v/>
      </c>
      <c r="B1142" s="14"/>
      <c r="C1142" s="10"/>
      <c r="D1142" s="10"/>
      <c r="E1142" s="10"/>
      <c r="F1142" s="16"/>
      <c r="G1142" s="10"/>
      <c r="H1142" s="10"/>
      <c r="I1142" s="10"/>
      <c r="J1142" s="10"/>
      <c r="K1142" s="10"/>
      <c r="L1142" s="10"/>
      <c r="M1142" s="14"/>
      <c r="N1142" s="17" t="str">
        <f aca="false">IF($B1142="","",IF($L1142="已完成",IF($M1142="","",$M1142-$B1142),IF(设置!$B$6&lt;$B1142,"",IF((设置!$B$6-$B1142)&gt;=设置!$B$5,"超期"&amp;(设置!$B$6-$B1142)&amp;"天","已等"&amp;(设置!$B$6-$B1142)&amp;"天"))))</f>
        <v/>
      </c>
      <c r="O1142" s="18" t="str">
        <f aca="false">IF(OR($D1142="",$E1142=""),"",COUNTIFS($D$7:$D1142,$D1142,$E$7:$E1142,$E1142))</f>
        <v/>
      </c>
      <c r="P1142" s="16"/>
      <c r="Q1142" s="19"/>
      <c r="R1142" s="10"/>
      <c r="S1142" s="16"/>
      <c r="T1142" s="0" t="str">
        <f aca="false">IF(OR($D1142="",单元查询!$B$3=""),"",IF($D1142&lt;&gt;单元查询!$B$3,"",IF(OR(单元查询!$D$3="",$E1142&amp;""=单元查询!$D$3&amp;""),IF(ISNUMBER($B1142),$B1142*10000,0)+ROW(),"")))</f>
        <v/>
      </c>
      <c r="U1142" s="0" t="str">
        <f aca="false">IF(OR($B1142="",$L1142="已完成"),"",IF(ISNUMBER($B1142),IF(设置!$B$6&lt;$B1142,"",(设置!$B$6-$B1142)*100000+ROW()),""))</f>
        <v/>
      </c>
      <c r="V1142" s="0" t="str">
        <f aca="false">IF(ISNUMBER($O1142),IF($O1142&gt;=2,IF(COUNTIFS($D1142:$D$2006,$D1142,$E1142:$E$2006,$E1142)=1,ROW(),""),""),"")</f>
        <v/>
      </c>
    </row>
    <row r="1143" customFormat="false" ht="15" hidden="false" customHeight="true" outlineLevel="0" collapsed="false">
      <c r="A1143" s="13" t="str">
        <f aca="false">IF(AND($B1143="",$D1143="",$E1143="",$F1143=""),"",IF(OR($B1143="",$D1143="",$E1143=""),"待补",IF($D1143="公共区域","公",IF($D1143="商铺","S",SUBSTITUTE($D1143,"栋","")))&amp;"-"&amp;$E1143&amp;"-"&amp;TEXT(MONTH($B1143),"00")&amp;TEXT(DAY($B1143),"00")&amp;IF(ISNUMBER($O1143),IF($O1143&gt;1,"-"&amp;TEXT($O1143,"00"),""),"")))</f>
        <v/>
      </c>
      <c r="B1143" s="14"/>
      <c r="C1143" s="10"/>
      <c r="D1143" s="10"/>
      <c r="E1143" s="10"/>
      <c r="F1143" s="16"/>
      <c r="G1143" s="10"/>
      <c r="H1143" s="10"/>
      <c r="I1143" s="10"/>
      <c r="J1143" s="10"/>
      <c r="K1143" s="10"/>
      <c r="L1143" s="10"/>
      <c r="M1143" s="14"/>
      <c r="N1143" s="17" t="str">
        <f aca="false">IF($B1143="","",IF($L1143="已完成",IF($M1143="","",$M1143-$B1143),IF(设置!$B$6&lt;$B1143,"",IF((设置!$B$6-$B1143)&gt;=设置!$B$5,"超期"&amp;(设置!$B$6-$B1143)&amp;"天","已等"&amp;(设置!$B$6-$B1143)&amp;"天"))))</f>
        <v/>
      </c>
      <c r="O1143" s="18" t="str">
        <f aca="false">IF(OR($D1143="",$E1143=""),"",COUNTIFS($D$7:$D1143,$D1143,$E$7:$E1143,$E1143))</f>
        <v/>
      </c>
      <c r="P1143" s="16"/>
      <c r="Q1143" s="19"/>
      <c r="R1143" s="10"/>
      <c r="S1143" s="16"/>
      <c r="T1143" s="0" t="str">
        <f aca="false">IF(OR($D1143="",单元查询!$B$3=""),"",IF($D1143&lt;&gt;单元查询!$B$3,"",IF(OR(单元查询!$D$3="",$E1143&amp;""=单元查询!$D$3&amp;""),IF(ISNUMBER($B1143),$B1143*10000,0)+ROW(),"")))</f>
        <v/>
      </c>
      <c r="U1143" s="0" t="str">
        <f aca="false">IF(OR($B1143="",$L1143="已完成"),"",IF(ISNUMBER($B1143),IF(设置!$B$6&lt;$B1143,"",(设置!$B$6-$B1143)*100000+ROW()),""))</f>
        <v/>
      </c>
      <c r="V1143" s="0" t="str">
        <f aca="false">IF(ISNUMBER($O1143),IF($O1143&gt;=2,IF(COUNTIFS($D1143:$D$2006,$D1143,$E1143:$E$2006,$E1143)=1,ROW(),""),""),"")</f>
        <v/>
      </c>
    </row>
    <row r="1144" customFormat="false" ht="15" hidden="false" customHeight="true" outlineLevel="0" collapsed="false">
      <c r="A1144" s="13" t="str">
        <f aca="false">IF(AND($B1144="",$D1144="",$E1144="",$F1144=""),"",IF(OR($B1144="",$D1144="",$E1144=""),"待补",IF($D1144="公共区域","公",IF($D1144="商铺","S",SUBSTITUTE($D1144,"栋","")))&amp;"-"&amp;$E1144&amp;"-"&amp;TEXT(MONTH($B1144),"00")&amp;TEXT(DAY($B1144),"00")&amp;IF(ISNUMBER($O1144),IF($O1144&gt;1,"-"&amp;TEXT($O1144,"00"),""),"")))</f>
        <v/>
      </c>
      <c r="B1144" s="14"/>
      <c r="C1144" s="10"/>
      <c r="D1144" s="10"/>
      <c r="E1144" s="10"/>
      <c r="F1144" s="16"/>
      <c r="G1144" s="10"/>
      <c r="H1144" s="10"/>
      <c r="I1144" s="10"/>
      <c r="J1144" s="10"/>
      <c r="K1144" s="10"/>
      <c r="L1144" s="10"/>
      <c r="M1144" s="14"/>
      <c r="N1144" s="17" t="str">
        <f aca="false">IF($B1144="","",IF($L1144="已完成",IF($M1144="","",$M1144-$B1144),IF(设置!$B$6&lt;$B1144,"",IF((设置!$B$6-$B1144)&gt;=设置!$B$5,"超期"&amp;(设置!$B$6-$B1144)&amp;"天","已等"&amp;(设置!$B$6-$B1144)&amp;"天"))))</f>
        <v/>
      </c>
      <c r="O1144" s="18" t="str">
        <f aca="false">IF(OR($D1144="",$E1144=""),"",COUNTIFS($D$7:$D1144,$D1144,$E$7:$E1144,$E1144))</f>
        <v/>
      </c>
      <c r="P1144" s="16"/>
      <c r="Q1144" s="19"/>
      <c r="R1144" s="10"/>
      <c r="S1144" s="16"/>
      <c r="T1144" s="0" t="str">
        <f aca="false">IF(OR($D1144="",单元查询!$B$3=""),"",IF($D1144&lt;&gt;单元查询!$B$3,"",IF(OR(单元查询!$D$3="",$E1144&amp;""=单元查询!$D$3&amp;""),IF(ISNUMBER($B1144),$B1144*10000,0)+ROW(),"")))</f>
        <v/>
      </c>
      <c r="U1144" s="0" t="str">
        <f aca="false">IF(OR($B1144="",$L1144="已完成"),"",IF(ISNUMBER($B1144),IF(设置!$B$6&lt;$B1144,"",(设置!$B$6-$B1144)*100000+ROW()),""))</f>
        <v/>
      </c>
      <c r="V1144" s="0" t="str">
        <f aca="false">IF(ISNUMBER($O1144),IF($O1144&gt;=2,IF(COUNTIFS($D1144:$D$2006,$D1144,$E1144:$E$2006,$E1144)=1,ROW(),""),""),"")</f>
        <v/>
      </c>
    </row>
    <row r="1145" customFormat="false" ht="15" hidden="false" customHeight="true" outlineLevel="0" collapsed="false">
      <c r="A1145" s="13" t="str">
        <f aca="false">IF(AND($B1145="",$D1145="",$E1145="",$F1145=""),"",IF(OR($B1145="",$D1145="",$E1145=""),"待补",IF($D1145="公共区域","公",IF($D1145="商铺","S",SUBSTITUTE($D1145,"栋","")))&amp;"-"&amp;$E1145&amp;"-"&amp;TEXT(MONTH($B1145),"00")&amp;TEXT(DAY($B1145),"00")&amp;IF(ISNUMBER($O1145),IF($O1145&gt;1,"-"&amp;TEXT($O1145,"00"),""),"")))</f>
        <v/>
      </c>
      <c r="B1145" s="14"/>
      <c r="C1145" s="10"/>
      <c r="D1145" s="10"/>
      <c r="E1145" s="10"/>
      <c r="F1145" s="16"/>
      <c r="G1145" s="10"/>
      <c r="H1145" s="10"/>
      <c r="I1145" s="10"/>
      <c r="J1145" s="10"/>
      <c r="K1145" s="10"/>
      <c r="L1145" s="10"/>
      <c r="M1145" s="14"/>
      <c r="N1145" s="17" t="str">
        <f aca="false">IF($B1145="","",IF($L1145="已完成",IF($M1145="","",$M1145-$B1145),IF(设置!$B$6&lt;$B1145,"",IF((设置!$B$6-$B1145)&gt;=设置!$B$5,"超期"&amp;(设置!$B$6-$B1145)&amp;"天","已等"&amp;(设置!$B$6-$B1145)&amp;"天"))))</f>
        <v/>
      </c>
      <c r="O1145" s="18" t="str">
        <f aca="false">IF(OR($D1145="",$E1145=""),"",COUNTIFS($D$7:$D1145,$D1145,$E$7:$E1145,$E1145))</f>
        <v/>
      </c>
      <c r="P1145" s="16"/>
      <c r="Q1145" s="19"/>
      <c r="R1145" s="10"/>
      <c r="S1145" s="16"/>
      <c r="T1145" s="0" t="str">
        <f aca="false">IF(OR($D1145="",单元查询!$B$3=""),"",IF($D1145&lt;&gt;单元查询!$B$3,"",IF(OR(单元查询!$D$3="",$E1145&amp;""=单元查询!$D$3&amp;""),IF(ISNUMBER($B1145),$B1145*10000,0)+ROW(),"")))</f>
        <v/>
      </c>
      <c r="U1145" s="0" t="str">
        <f aca="false">IF(OR($B1145="",$L1145="已完成"),"",IF(ISNUMBER($B1145),IF(设置!$B$6&lt;$B1145,"",(设置!$B$6-$B1145)*100000+ROW()),""))</f>
        <v/>
      </c>
      <c r="V1145" s="0" t="str">
        <f aca="false">IF(ISNUMBER($O1145),IF($O1145&gt;=2,IF(COUNTIFS($D1145:$D$2006,$D1145,$E1145:$E$2006,$E1145)=1,ROW(),""),""),"")</f>
        <v/>
      </c>
    </row>
    <row r="1146" customFormat="false" ht="15" hidden="false" customHeight="true" outlineLevel="0" collapsed="false">
      <c r="A1146" s="13" t="str">
        <f aca="false">IF(AND($B1146="",$D1146="",$E1146="",$F1146=""),"",IF(OR($B1146="",$D1146="",$E1146=""),"待补",IF($D1146="公共区域","公",IF($D1146="商铺","S",SUBSTITUTE($D1146,"栋","")))&amp;"-"&amp;$E1146&amp;"-"&amp;TEXT(MONTH($B1146),"00")&amp;TEXT(DAY($B1146),"00")&amp;IF(ISNUMBER($O1146),IF($O1146&gt;1,"-"&amp;TEXT($O1146,"00"),""),"")))</f>
        <v/>
      </c>
      <c r="B1146" s="14"/>
      <c r="C1146" s="10"/>
      <c r="D1146" s="10"/>
      <c r="E1146" s="10"/>
      <c r="F1146" s="16"/>
      <c r="G1146" s="10"/>
      <c r="H1146" s="10"/>
      <c r="I1146" s="10"/>
      <c r="J1146" s="10"/>
      <c r="K1146" s="10"/>
      <c r="L1146" s="10"/>
      <c r="M1146" s="14"/>
      <c r="N1146" s="17" t="str">
        <f aca="false">IF($B1146="","",IF($L1146="已完成",IF($M1146="","",$M1146-$B1146),IF(设置!$B$6&lt;$B1146,"",IF((设置!$B$6-$B1146)&gt;=设置!$B$5,"超期"&amp;(设置!$B$6-$B1146)&amp;"天","已等"&amp;(设置!$B$6-$B1146)&amp;"天"))))</f>
        <v/>
      </c>
      <c r="O1146" s="18" t="str">
        <f aca="false">IF(OR($D1146="",$E1146=""),"",COUNTIFS($D$7:$D1146,$D1146,$E$7:$E1146,$E1146))</f>
        <v/>
      </c>
      <c r="P1146" s="16"/>
      <c r="Q1146" s="19"/>
      <c r="R1146" s="10"/>
      <c r="S1146" s="16"/>
      <c r="T1146" s="0" t="str">
        <f aca="false">IF(OR($D1146="",单元查询!$B$3=""),"",IF($D1146&lt;&gt;单元查询!$B$3,"",IF(OR(单元查询!$D$3="",$E1146&amp;""=单元查询!$D$3&amp;""),IF(ISNUMBER($B1146),$B1146*10000,0)+ROW(),"")))</f>
        <v/>
      </c>
      <c r="U1146" s="0" t="str">
        <f aca="false">IF(OR($B1146="",$L1146="已完成"),"",IF(ISNUMBER($B1146),IF(设置!$B$6&lt;$B1146,"",(设置!$B$6-$B1146)*100000+ROW()),""))</f>
        <v/>
      </c>
      <c r="V1146" s="0" t="str">
        <f aca="false">IF(ISNUMBER($O1146),IF($O1146&gt;=2,IF(COUNTIFS($D1146:$D$2006,$D1146,$E1146:$E$2006,$E1146)=1,ROW(),""),""),"")</f>
        <v/>
      </c>
    </row>
    <row r="1147" customFormat="false" ht="15" hidden="false" customHeight="true" outlineLevel="0" collapsed="false">
      <c r="A1147" s="13" t="str">
        <f aca="false">IF(AND($B1147="",$D1147="",$E1147="",$F1147=""),"",IF(OR($B1147="",$D1147="",$E1147=""),"待补",IF($D1147="公共区域","公",IF($D1147="商铺","S",SUBSTITUTE($D1147,"栋","")))&amp;"-"&amp;$E1147&amp;"-"&amp;TEXT(MONTH($B1147),"00")&amp;TEXT(DAY($B1147),"00")&amp;IF(ISNUMBER($O1147),IF($O1147&gt;1,"-"&amp;TEXT($O1147,"00"),""),"")))</f>
        <v/>
      </c>
      <c r="B1147" s="14"/>
      <c r="C1147" s="10"/>
      <c r="D1147" s="10"/>
      <c r="E1147" s="10"/>
      <c r="F1147" s="16"/>
      <c r="G1147" s="10"/>
      <c r="H1147" s="10"/>
      <c r="I1147" s="10"/>
      <c r="J1147" s="10"/>
      <c r="K1147" s="10"/>
      <c r="L1147" s="10"/>
      <c r="M1147" s="14"/>
      <c r="N1147" s="17" t="str">
        <f aca="false">IF($B1147="","",IF($L1147="已完成",IF($M1147="","",$M1147-$B1147),IF(设置!$B$6&lt;$B1147,"",IF((设置!$B$6-$B1147)&gt;=设置!$B$5,"超期"&amp;(设置!$B$6-$B1147)&amp;"天","已等"&amp;(设置!$B$6-$B1147)&amp;"天"))))</f>
        <v/>
      </c>
      <c r="O1147" s="18" t="str">
        <f aca="false">IF(OR($D1147="",$E1147=""),"",COUNTIFS($D$7:$D1147,$D1147,$E$7:$E1147,$E1147))</f>
        <v/>
      </c>
      <c r="P1147" s="16"/>
      <c r="Q1147" s="19"/>
      <c r="R1147" s="10"/>
      <c r="S1147" s="16"/>
      <c r="T1147" s="0" t="str">
        <f aca="false">IF(OR($D1147="",单元查询!$B$3=""),"",IF($D1147&lt;&gt;单元查询!$B$3,"",IF(OR(单元查询!$D$3="",$E1147&amp;""=单元查询!$D$3&amp;""),IF(ISNUMBER($B1147),$B1147*10000,0)+ROW(),"")))</f>
        <v/>
      </c>
      <c r="U1147" s="0" t="str">
        <f aca="false">IF(OR($B1147="",$L1147="已完成"),"",IF(ISNUMBER($B1147),IF(设置!$B$6&lt;$B1147,"",(设置!$B$6-$B1147)*100000+ROW()),""))</f>
        <v/>
      </c>
      <c r="V1147" s="0" t="str">
        <f aca="false">IF(ISNUMBER($O1147),IF($O1147&gt;=2,IF(COUNTIFS($D1147:$D$2006,$D1147,$E1147:$E$2006,$E1147)=1,ROW(),""),""),"")</f>
        <v/>
      </c>
    </row>
    <row r="1148" customFormat="false" ht="15" hidden="false" customHeight="true" outlineLevel="0" collapsed="false">
      <c r="A1148" s="13" t="str">
        <f aca="false">IF(AND($B1148="",$D1148="",$E1148="",$F1148=""),"",IF(OR($B1148="",$D1148="",$E1148=""),"待补",IF($D1148="公共区域","公",IF($D1148="商铺","S",SUBSTITUTE($D1148,"栋","")))&amp;"-"&amp;$E1148&amp;"-"&amp;TEXT(MONTH($B1148),"00")&amp;TEXT(DAY($B1148),"00")&amp;IF(ISNUMBER($O1148),IF($O1148&gt;1,"-"&amp;TEXT($O1148,"00"),""),"")))</f>
        <v/>
      </c>
      <c r="B1148" s="14"/>
      <c r="C1148" s="10"/>
      <c r="D1148" s="10"/>
      <c r="E1148" s="10"/>
      <c r="F1148" s="16"/>
      <c r="G1148" s="10"/>
      <c r="H1148" s="10"/>
      <c r="I1148" s="10"/>
      <c r="J1148" s="10"/>
      <c r="K1148" s="10"/>
      <c r="L1148" s="10"/>
      <c r="M1148" s="14"/>
      <c r="N1148" s="17" t="str">
        <f aca="false">IF($B1148="","",IF($L1148="已完成",IF($M1148="","",$M1148-$B1148),IF(设置!$B$6&lt;$B1148,"",IF((设置!$B$6-$B1148)&gt;=设置!$B$5,"超期"&amp;(设置!$B$6-$B1148)&amp;"天","已等"&amp;(设置!$B$6-$B1148)&amp;"天"))))</f>
        <v/>
      </c>
      <c r="O1148" s="18" t="str">
        <f aca="false">IF(OR($D1148="",$E1148=""),"",COUNTIFS($D$7:$D1148,$D1148,$E$7:$E1148,$E1148))</f>
        <v/>
      </c>
      <c r="P1148" s="16"/>
      <c r="Q1148" s="19"/>
      <c r="R1148" s="10"/>
      <c r="S1148" s="16"/>
      <c r="T1148" s="0" t="str">
        <f aca="false">IF(OR($D1148="",单元查询!$B$3=""),"",IF($D1148&lt;&gt;单元查询!$B$3,"",IF(OR(单元查询!$D$3="",$E1148&amp;""=单元查询!$D$3&amp;""),IF(ISNUMBER($B1148),$B1148*10000,0)+ROW(),"")))</f>
        <v/>
      </c>
      <c r="U1148" s="0" t="str">
        <f aca="false">IF(OR($B1148="",$L1148="已完成"),"",IF(ISNUMBER($B1148),IF(设置!$B$6&lt;$B1148,"",(设置!$B$6-$B1148)*100000+ROW()),""))</f>
        <v/>
      </c>
      <c r="V1148" s="0" t="str">
        <f aca="false">IF(ISNUMBER($O1148),IF($O1148&gt;=2,IF(COUNTIFS($D1148:$D$2006,$D1148,$E1148:$E$2006,$E1148)=1,ROW(),""),""),"")</f>
        <v/>
      </c>
    </row>
    <row r="1149" customFormat="false" ht="15" hidden="false" customHeight="true" outlineLevel="0" collapsed="false">
      <c r="A1149" s="13" t="str">
        <f aca="false">IF(AND($B1149="",$D1149="",$E1149="",$F1149=""),"",IF(OR($B1149="",$D1149="",$E1149=""),"待补",IF($D1149="公共区域","公",IF($D1149="商铺","S",SUBSTITUTE($D1149,"栋","")))&amp;"-"&amp;$E1149&amp;"-"&amp;TEXT(MONTH($B1149),"00")&amp;TEXT(DAY($B1149),"00")&amp;IF(ISNUMBER($O1149),IF($O1149&gt;1,"-"&amp;TEXT($O1149,"00"),""),"")))</f>
        <v/>
      </c>
      <c r="B1149" s="14"/>
      <c r="C1149" s="10"/>
      <c r="D1149" s="10"/>
      <c r="E1149" s="10"/>
      <c r="F1149" s="16"/>
      <c r="G1149" s="10"/>
      <c r="H1149" s="10"/>
      <c r="I1149" s="10"/>
      <c r="J1149" s="10"/>
      <c r="K1149" s="10"/>
      <c r="L1149" s="10"/>
      <c r="M1149" s="14"/>
      <c r="N1149" s="17" t="str">
        <f aca="false">IF($B1149="","",IF($L1149="已完成",IF($M1149="","",$M1149-$B1149),IF(设置!$B$6&lt;$B1149,"",IF((设置!$B$6-$B1149)&gt;=设置!$B$5,"超期"&amp;(设置!$B$6-$B1149)&amp;"天","已等"&amp;(设置!$B$6-$B1149)&amp;"天"))))</f>
        <v/>
      </c>
      <c r="O1149" s="18" t="str">
        <f aca="false">IF(OR($D1149="",$E1149=""),"",COUNTIFS($D$7:$D1149,$D1149,$E$7:$E1149,$E1149))</f>
        <v/>
      </c>
      <c r="P1149" s="16"/>
      <c r="Q1149" s="19"/>
      <c r="R1149" s="10"/>
      <c r="S1149" s="16"/>
      <c r="T1149" s="0" t="str">
        <f aca="false">IF(OR($D1149="",单元查询!$B$3=""),"",IF($D1149&lt;&gt;单元查询!$B$3,"",IF(OR(单元查询!$D$3="",$E1149&amp;""=单元查询!$D$3&amp;""),IF(ISNUMBER($B1149),$B1149*10000,0)+ROW(),"")))</f>
        <v/>
      </c>
      <c r="U1149" s="0" t="str">
        <f aca="false">IF(OR($B1149="",$L1149="已完成"),"",IF(ISNUMBER($B1149),IF(设置!$B$6&lt;$B1149,"",(设置!$B$6-$B1149)*100000+ROW()),""))</f>
        <v/>
      </c>
      <c r="V1149" s="0" t="str">
        <f aca="false">IF(ISNUMBER($O1149),IF($O1149&gt;=2,IF(COUNTIFS($D1149:$D$2006,$D1149,$E1149:$E$2006,$E1149)=1,ROW(),""),""),"")</f>
        <v/>
      </c>
    </row>
    <row r="1150" customFormat="false" ht="15" hidden="false" customHeight="true" outlineLevel="0" collapsed="false">
      <c r="A1150" s="13" t="str">
        <f aca="false">IF(AND($B1150="",$D1150="",$E1150="",$F1150=""),"",IF(OR($B1150="",$D1150="",$E1150=""),"待补",IF($D1150="公共区域","公",IF($D1150="商铺","S",SUBSTITUTE($D1150,"栋","")))&amp;"-"&amp;$E1150&amp;"-"&amp;TEXT(MONTH($B1150),"00")&amp;TEXT(DAY($B1150),"00")&amp;IF(ISNUMBER($O1150),IF($O1150&gt;1,"-"&amp;TEXT($O1150,"00"),""),"")))</f>
        <v/>
      </c>
      <c r="B1150" s="14"/>
      <c r="C1150" s="10"/>
      <c r="D1150" s="10"/>
      <c r="E1150" s="10"/>
      <c r="F1150" s="16"/>
      <c r="G1150" s="10"/>
      <c r="H1150" s="10"/>
      <c r="I1150" s="10"/>
      <c r="J1150" s="10"/>
      <c r="K1150" s="10"/>
      <c r="L1150" s="10"/>
      <c r="M1150" s="14"/>
      <c r="N1150" s="17" t="str">
        <f aca="false">IF($B1150="","",IF($L1150="已完成",IF($M1150="","",$M1150-$B1150),IF(设置!$B$6&lt;$B1150,"",IF((设置!$B$6-$B1150)&gt;=设置!$B$5,"超期"&amp;(设置!$B$6-$B1150)&amp;"天","已等"&amp;(设置!$B$6-$B1150)&amp;"天"))))</f>
        <v/>
      </c>
      <c r="O1150" s="18" t="str">
        <f aca="false">IF(OR($D1150="",$E1150=""),"",COUNTIFS($D$7:$D1150,$D1150,$E$7:$E1150,$E1150))</f>
        <v/>
      </c>
      <c r="P1150" s="16"/>
      <c r="Q1150" s="19"/>
      <c r="R1150" s="10"/>
      <c r="S1150" s="16"/>
      <c r="T1150" s="0" t="str">
        <f aca="false">IF(OR($D1150="",单元查询!$B$3=""),"",IF($D1150&lt;&gt;单元查询!$B$3,"",IF(OR(单元查询!$D$3="",$E1150&amp;""=单元查询!$D$3&amp;""),IF(ISNUMBER($B1150),$B1150*10000,0)+ROW(),"")))</f>
        <v/>
      </c>
      <c r="U1150" s="0" t="str">
        <f aca="false">IF(OR($B1150="",$L1150="已完成"),"",IF(ISNUMBER($B1150),IF(设置!$B$6&lt;$B1150,"",(设置!$B$6-$B1150)*100000+ROW()),""))</f>
        <v/>
      </c>
      <c r="V1150" s="0" t="str">
        <f aca="false">IF(ISNUMBER($O1150),IF($O1150&gt;=2,IF(COUNTIFS($D1150:$D$2006,$D1150,$E1150:$E$2006,$E1150)=1,ROW(),""),""),"")</f>
        <v/>
      </c>
    </row>
    <row r="1151" customFormat="false" ht="15" hidden="false" customHeight="true" outlineLevel="0" collapsed="false">
      <c r="A1151" s="13" t="str">
        <f aca="false">IF(AND($B1151="",$D1151="",$E1151="",$F1151=""),"",IF(OR($B1151="",$D1151="",$E1151=""),"待补",IF($D1151="公共区域","公",IF($D1151="商铺","S",SUBSTITUTE($D1151,"栋","")))&amp;"-"&amp;$E1151&amp;"-"&amp;TEXT(MONTH($B1151),"00")&amp;TEXT(DAY($B1151),"00")&amp;IF(ISNUMBER($O1151),IF($O1151&gt;1,"-"&amp;TEXT($O1151,"00"),""),"")))</f>
        <v/>
      </c>
      <c r="B1151" s="14"/>
      <c r="C1151" s="10"/>
      <c r="D1151" s="10"/>
      <c r="E1151" s="10"/>
      <c r="F1151" s="16"/>
      <c r="G1151" s="10"/>
      <c r="H1151" s="10"/>
      <c r="I1151" s="10"/>
      <c r="J1151" s="10"/>
      <c r="K1151" s="10"/>
      <c r="L1151" s="10"/>
      <c r="M1151" s="14"/>
      <c r="N1151" s="17" t="str">
        <f aca="false">IF($B1151="","",IF($L1151="已完成",IF($M1151="","",$M1151-$B1151),IF(设置!$B$6&lt;$B1151,"",IF((设置!$B$6-$B1151)&gt;=设置!$B$5,"超期"&amp;(设置!$B$6-$B1151)&amp;"天","已等"&amp;(设置!$B$6-$B1151)&amp;"天"))))</f>
        <v/>
      </c>
      <c r="O1151" s="18" t="str">
        <f aca="false">IF(OR($D1151="",$E1151=""),"",COUNTIFS($D$7:$D1151,$D1151,$E$7:$E1151,$E1151))</f>
        <v/>
      </c>
      <c r="P1151" s="16"/>
      <c r="Q1151" s="19"/>
      <c r="R1151" s="10"/>
      <c r="S1151" s="16"/>
      <c r="T1151" s="0" t="str">
        <f aca="false">IF(OR($D1151="",单元查询!$B$3=""),"",IF($D1151&lt;&gt;单元查询!$B$3,"",IF(OR(单元查询!$D$3="",$E1151&amp;""=单元查询!$D$3&amp;""),IF(ISNUMBER($B1151),$B1151*10000,0)+ROW(),"")))</f>
        <v/>
      </c>
      <c r="U1151" s="0" t="str">
        <f aca="false">IF(OR($B1151="",$L1151="已完成"),"",IF(ISNUMBER($B1151),IF(设置!$B$6&lt;$B1151,"",(设置!$B$6-$B1151)*100000+ROW()),""))</f>
        <v/>
      </c>
      <c r="V1151" s="0" t="str">
        <f aca="false">IF(ISNUMBER($O1151),IF($O1151&gt;=2,IF(COUNTIFS($D1151:$D$2006,$D1151,$E1151:$E$2006,$E1151)=1,ROW(),""),""),"")</f>
        <v/>
      </c>
    </row>
    <row r="1152" customFormat="false" ht="15" hidden="false" customHeight="true" outlineLevel="0" collapsed="false">
      <c r="A1152" s="13" t="str">
        <f aca="false">IF(AND($B1152="",$D1152="",$E1152="",$F1152=""),"",IF(OR($B1152="",$D1152="",$E1152=""),"待补",IF($D1152="公共区域","公",IF($D1152="商铺","S",SUBSTITUTE($D1152,"栋","")))&amp;"-"&amp;$E1152&amp;"-"&amp;TEXT(MONTH($B1152),"00")&amp;TEXT(DAY($B1152),"00")&amp;IF(ISNUMBER($O1152),IF($O1152&gt;1,"-"&amp;TEXT($O1152,"00"),""),"")))</f>
        <v/>
      </c>
      <c r="B1152" s="14"/>
      <c r="C1152" s="10"/>
      <c r="D1152" s="10"/>
      <c r="E1152" s="10"/>
      <c r="F1152" s="16"/>
      <c r="G1152" s="10"/>
      <c r="H1152" s="10"/>
      <c r="I1152" s="10"/>
      <c r="J1152" s="10"/>
      <c r="K1152" s="10"/>
      <c r="L1152" s="10"/>
      <c r="M1152" s="14"/>
      <c r="N1152" s="17" t="str">
        <f aca="false">IF($B1152="","",IF($L1152="已完成",IF($M1152="","",$M1152-$B1152),IF(设置!$B$6&lt;$B1152,"",IF((设置!$B$6-$B1152)&gt;=设置!$B$5,"超期"&amp;(设置!$B$6-$B1152)&amp;"天","已等"&amp;(设置!$B$6-$B1152)&amp;"天"))))</f>
        <v/>
      </c>
      <c r="O1152" s="18" t="str">
        <f aca="false">IF(OR($D1152="",$E1152=""),"",COUNTIFS($D$7:$D1152,$D1152,$E$7:$E1152,$E1152))</f>
        <v/>
      </c>
      <c r="P1152" s="16"/>
      <c r="Q1152" s="19"/>
      <c r="R1152" s="10"/>
      <c r="S1152" s="16"/>
      <c r="T1152" s="0" t="str">
        <f aca="false">IF(OR($D1152="",单元查询!$B$3=""),"",IF($D1152&lt;&gt;单元查询!$B$3,"",IF(OR(单元查询!$D$3="",$E1152&amp;""=单元查询!$D$3&amp;""),IF(ISNUMBER($B1152),$B1152*10000,0)+ROW(),"")))</f>
        <v/>
      </c>
      <c r="U1152" s="0" t="str">
        <f aca="false">IF(OR($B1152="",$L1152="已完成"),"",IF(ISNUMBER($B1152),IF(设置!$B$6&lt;$B1152,"",(设置!$B$6-$B1152)*100000+ROW()),""))</f>
        <v/>
      </c>
      <c r="V1152" s="0" t="str">
        <f aca="false">IF(ISNUMBER($O1152),IF($O1152&gt;=2,IF(COUNTIFS($D1152:$D$2006,$D1152,$E1152:$E$2006,$E1152)=1,ROW(),""),""),"")</f>
        <v/>
      </c>
    </row>
    <row r="1153" customFormat="false" ht="15" hidden="false" customHeight="true" outlineLevel="0" collapsed="false">
      <c r="A1153" s="13" t="str">
        <f aca="false">IF(AND($B1153="",$D1153="",$E1153="",$F1153=""),"",IF(OR($B1153="",$D1153="",$E1153=""),"待补",IF($D1153="公共区域","公",IF($D1153="商铺","S",SUBSTITUTE($D1153,"栋","")))&amp;"-"&amp;$E1153&amp;"-"&amp;TEXT(MONTH($B1153),"00")&amp;TEXT(DAY($B1153),"00")&amp;IF(ISNUMBER($O1153),IF($O1153&gt;1,"-"&amp;TEXT($O1153,"00"),""),"")))</f>
        <v/>
      </c>
      <c r="B1153" s="14"/>
      <c r="C1153" s="10"/>
      <c r="D1153" s="10"/>
      <c r="E1153" s="10"/>
      <c r="F1153" s="16"/>
      <c r="G1153" s="10"/>
      <c r="H1153" s="10"/>
      <c r="I1153" s="10"/>
      <c r="J1153" s="10"/>
      <c r="K1153" s="10"/>
      <c r="L1153" s="10"/>
      <c r="M1153" s="14"/>
      <c r="N1153" s="17" t="str">
        <f aca="false">IF($B1153="","",IF($L1153="已完成",IF($M1153="","",$M1153-$B1153),IF(设置!$B$6&lt;$B1153,"",IF((设置!$B$6-$B1153)&gt;=设置!$B$5,"超期"&amp;(设置!$B$6-$B1153)&amp;"天","已等"&amp;(设置!$B$6-$B1153)&amp;"天"))))</f>
        <v/>
      </c>
      <c r="O1153" s="18" t="str">
        <f aca="false">IF(OR($D1153="",$E1153=""),"",COUNTIFS($D$7:$D1153,$D1153,$E$7:$E1153,$E1153))</f>
        <v/>
      </c>
      <c r="P1153" s="16"/>
      <c r="Q1153" s="19"/>
      <c r="R1153" s="10"/>
      <c r="S1153" s="16"/>
      <c r="T1153" s="0" t="str">
        <f aca="false">IF(OR($D1153="",单元查询!$B$3=""),"",IF($D1153&lt;&gt;单元查询!$B$3,"",IF(OR(单元查询!$D$3="",$E1153&amp;""=单元查询!$D$3&amp;""),IF(ISNUMBER($B1153),$B1153*10000,0)+ROW(),"")))</f>
        <v/>
      </c>
      <c r="U1153" s="0" t="str">
        <f aca="false">IF(OR($B1153="",$L1153="已完成"),"",IF(ISNUMBER($B1153),IF(设置!$B$6&lt;$B1153,"",(设置!$B$6-$B1153)*100000+ROW()),""))</f>
        <v/>
      </c>
      <c r="V1153" s="0" t="str">
        <f aca="false">IF(ISNUMBER($O1153),IF($O1153&gt;=2,IF(COUNTIFS($D1153:$D$2006,$D1153,$E1153:$E$2006,$E1153)=1,ROW(),""),""),"")</f>
        <v/>
      </c>
    </row>
    <row r="1154" customFormat="false" ht="15" hidden="false" customHeight="true" outlineLevel="0" collapsed="false">
      <c r="A1154" s="13" t="str">
        <f aca="false">IF(AND($B1154="",$D1154="",$E1154="",$F1154=""),"",IF(OR($B1154="",$D1154="",$E1154=""),"待补",IF($D1154="公共区域","公",IF($D1154="商铺","S",SUBSTITUTE($D1154,"栋","")))&amp;"-"&amp;$E1154&amp;"-"&amp;TEXT(MONTH($B1154),"00")&amp;TEXT(DAY($B1154),"00")&amp;IF(ISNUMBER($O1154),IF($O1154&gt;1,"-"&amp;TEXT($O1154,"00"),""),"")))</f>
        <v/>
      </c>
      <c r="B1154" s="14"/>
      <c r="C1154" s="10"/>
      <c r="D1154" s="10"/>
      <c r="E1154" s="10"/>
      <c r="F1154" s="16"/>
      <c r="G1154" s="10"/>
      <c r="H1154" s="10"/>
      <c r="I1154" s="10"/>
      <c r="J1154" s="10"/>
      <c r="K1154" s="10"/>
      <c r="L1154" s="10"/>
      <c r="M1154" s="14"/>
      <c r="N1154" s="17" t="str">
        <f aca="false">IF($B1154="","",IF($L1154="已完成",IF($M1154="","",$M1154-$B1154),IF(设置!$B$6&lt;$B1154,"",IF((设置!$B$6-$B1154)&gt;=设置!$B$5,"超期"&amp;(设置!$B$6-$B1154)&amp;"天","已等"&amp;(设置!$B$6-$B1154)&amp;"天"))))</f>
        <v/>
      </c>
      <c r="O1154" s="18" t="str">
        <f aca="false">IF(OR($D1154="",$E1154=""),"",COUNTIFS($D$7:$D1154,$D1154,$E$7:$E1154,$E1154))</f>
        <v/>
      </c>
      <c r="P1154" s="16"/>
      <c r="Q1154" s="19"/>
      <c r="R1154" s="10"/>
      <c r="S1154" s="16"/>
      <c r="T1154" s="0" t="str">
        <f aca="false">IF(OR($D1154="",单元查询!$B$3=""),"",IF($D1154&lt;&gt;单元查询!$B$3,"",IF(OR(单元查询!$D$3="",$E1154&amp;""=单元查询!$D$3&amp;""),IF(ISNUMBER($B1154),$B1154*10000,0)+ROW(),"")))</f>
        <v/>
      </c>
      <c r="U1154" s="0" t="str">
        <f aca="false">IF(OR($B1154="",$L1154="已完成"),"",IF(ISNUMBER($B1154),IF(设置!$B$6&lt;$B1154,"",(设置!$B$6-$B1154)*100000+ROW()),""))</f>
        <v/>
      </c>
      <c r="V1154" s="0" t="str">
        <f aca="false">IF(ISNUMBER($O1154),IF($O1154&gt;=2,IF(COUNTIFS($D1154:$D$2006,$D1154,$E1154:$E$2006,$E1154)=1,ROW(),""),""),"")</f>
        <v/>
      </c>
    </row>
    <row r="1155" customFormat="false" ht="15" hidden="false" customHeight="true" outlineLevel="0" collapsed="false">
      <c r="A1155" s="13" t="str">
        <f aca="false">IF(AND($B1155="",$D1155="",$E1155="",$F1155=""),"",IF(OR($B1155="",$D1155="",$E1155=""),"待补",IF($D1155="公共区域","公",IF($D1155="商铺","S",SUBSTITUTE($D1155,"栋","")))&amp;"-"&amp;$E1155&amp;"-"&amp;TEXT(MONTH($B1155),"00")&amp;TEXT(DAY($B1155),"00")&amp;IF(ISNUMBER($O1155),IF($O1155&gt;1,"-"&amp;TEXT($O1155,"00"),""),"")))</f>
        <v/>
      </c>
      <c r="B1155" s="14"/>
      <c r="C1155" s="10"/>
      <c r="D1155" s="10"/>
      <c r="E1155" s="10"/>
      <c r="F1155" s="16"/>
      <c r="G1155" s="10"/>
      <c r="H1155" s="10"/>
      <c r="I1155" s="10"/>
      <c r="J1155" s="10"/>
      <c r="K1155" s="10"/>
      <c r="L1155" s="10"/>
      <c r="M1155" s="14"/>
      <c r="N1155" s="17" t="str">
        <f aca="false">IF($B1155="","",IF($L1155="已完成",IF($M1155="","",$M1155-$B1155),IF(设置!$B$6&lt;$B1155,"",IF((设置!$B$6-$B1155)&gt;=设置!$B$5,"超期"&amp;(设置!$B$6-$B1155)&amp;"天","已等"&amp;(设置!$B$6-$B1155)&amp;"天"))))</f>
        <v/>
      </c>
      <c r="O1155" s="18" t="str">
        <f aca="false">IF(OR($D1155="",$E1155=""),"",COUNTIFS($D$7:$D1155,$D1155,$E$7:$E1155,$E1155))</f>
        <v/>
      </c>
      <c r="P1155" s="16"/>
      <c r="Q1155" s="19"/>
      <c r="R1155" s="10"/>
      <c r="S1155" s="16"/>
      <c r="T1155" s="0" t="str">
        <f aca="false">IF(OR($D1155="",单元查询!$B$3=""),"",IF($D1155&lt;&gt;单元查询!$B$3,"",IF(OR(单元查询!$D$3="",$E1155&amp;""=单元查询!$D$3&amp;""),IF(ISNUMBER($B1155),$B1155*10000,0)+ROW(),"")))</f>
        <v/>
      </c>
      <c r="U1155" s="0" t="str">
        <f aca="false">IF(OR($B1155="",$L1155="已完成"),"",IF(ISNUMBER($B1155),IF(设置!$B$6&lt;$B1155,"",(设置!$B$6-$B1155)*100000+ROW()),""))</f>
        <v/>
      </c>
      <c r="V1155" s="0" t="str">
        <f aca="false">IF(ISNUMBER($O1155),IF($O1155&gt;=2,IF(COUNTIFS($D1155:$D$2006,$D1155,$E1155:$E$2006,$E1155)=1,ROW(),""),""),"")</f>
        <v/>
      </c>
    </row>
    <row r="1156" customFormat="false" ht="15" hidden="false" customHeight="true" outlineLevel="0" collapsed="false">
      <c r="A1156" s="13" t="str">
        <f aca="false">IF(AND($B1156="",$D1156="",$E1156="",$F1156=""),"",IF(OR($B1156="",$D1156="",$E1156=""),"待补",IF($D1156="公共区域","公",IF($D1156="商铺","S",SUBSTITUTE($D1156,"栋","")))&amp;"-"&amp;$E1156&amp;"-"&amp;TEXT(MONTH($B1156),"00")&amp;TEXT(DAY($B1156),"00")&amp;IF(ISNUMBER($O1156),IF($O1156&gt;1,"-"&amp;TEXT($O1156,"00"),""),"")))</f>
        <v/>
      </c>
      <c r="B1156" s="14"/>
      <c r="C1156" s="10"/>
      <c r="D1156" s="10"/>
      <c r="E1156" s="10"/>
      <c r="F1156" s="16"/>
      <c r="G1156" s="10"/>
      <c r="H1156" s="10"/>
      <c r="I1156" s="10"/>
      <c r="J1156" s="10"/>
      <c r="K1156" s="10"/>
      <c r="L1156" s="10"/>
      <c r="M1156" s="14"/>
      <c r="N1156" s="17" t="str">
        <f aca="false">IF($B1156="","",IF($L1156="已完成",IF($M1156="","",$M1156-$B1156),IF(设置!$B$6&lt;$B1156,"",IF((设置!$B$6-$B1156)&gt;=设置!$B$5,"超期"&amp;(设置!$B$6-$B1156)&amp;"天","已等"&amp;(设置!$B$6-$B1156)&amp;"天"))))</f>
        <v/>
      </c>
      <c r="O1156" s="18" t="str">
        <f aca="false">IF(OR($D1156="",$E1156=""),"",COUNTIFS($D$7:$D1156,$D1156,$E$7:$E1156,$E1156))</f>
        <v/>
      </c>
      <c r="P1156" s="16"/>
      <c r="Q1156" s="19"/>
      <c r="R1156" s="10"/>
      <c r="S1156" s="16"/>
      <c r="T1156" s="0" t="str">
        <f aca="false">IF(OR($D1156="",单元查询!$B$3=""),"",IF($D1156&lt;&gt;单元查询!$B$3,"",IF(OR(单元查询!$D$3="",$E1156&amp;""=单元查询!$D$3&amp;""),IF(ISNUMBER($B1156),$B1156*10000,0)+ROW(),"")))</f>
        <v/>
      </c>
      <c r="U1156" s="0" t="str">
        <f aca="false">IF(OR($B1156="",$L1156="已完成"),"",IF(ISNUMBER($B1156),IF(设置!$B$6&lt;$B1156,"",(设置!$B$6-$B1156)*100000+ROW()),""))</f>
        <v/>
      </c>
      <c r="V1156" s="0" t="str">
        <f aca="false">IF(ISNUMBER($O1156),IF($O1156&gt;=2,IF(COUNTIFS($D1156:$D$2006,$D1156,$E1156:$E$2006,$E1156)=1,ROW(),""),""),"")</f>
        <v/>
      </c>
    </row>
    <row r="1157" customFormat="false" ht="15" hidden="false" customHeight="true" outlineLevel="0" collapsed="false">
      <c r="A1157" s="13" t="str">
        <f aca="false">IF(AND($B1157="",$D1157="",$E1157="",$F1157=""),"",IF(OR($B1157="",$D1157="",$E1157=""),"待补",IF($D1157="公共区域","公",IF($D1157="商铺","S",SUBSTITUTE($D1157,"栋","")))&amp;"-"&amp;$E1157&amp;"-"&amp;TEXT(MONTH($B1157),"00")&amp;TEXT(DAY($B1157),"00")&amp;IF(ISNUMBER($O1157),IF($O1157&gt;1,"-"&amp;TEXT($O1157,"00"),""),"")))</f>
        <v/>
      </c>
      <c r="B1157" s="14"/>
      <c r="C1157" s="10"/>
      <c r="D1157" s="10"/>
      <c r="E1157" s="10"/>
      <c r="F1157" s="16"/>
      <c r="G1157" s="10"/>
      <c r="H1157" s="10"/>
      <c r="I1157" s="10"/>
      <c r="J1157" s="10"/>
      <c r="K1157" s="10"/>
      <c r="L1157" s="10"/>
      <c r="M1157" s="14"/>
      <c r="N1157" s="17" t="str">
        <f aca="false">IF($B1157="","",IF($L1157="已完成",IF($M1157="","",$M1157-$B1157),IF(设置!$B$6&lt;$B1157,"",IF((设置!$B$6-$B1157)&gt;=设置!$B$5,"超期"&amp;(设置!$B$6-$B1157)&amp;"天","已等"&amp;(设置!$B$6-$B1157)&amp;"天"))))</f>
        <v/>
      </c>
      <c r="O1157" s="18" t="str">
        <f aca="false">IF(OR($D1157="",$E1157=""),"",COUNTIFS($D$7:$D1157,$D1157,$E$7:$E1157,$E1157))</f>
        <v/>
      </c>
      <c r="P1157" s="16"/>
      <c r="Q1157" s="19"/>
      <c r="R1157" s="10"/>
      <c r="S1157" s="16"/>
      <c r="T1157" s="0" t="str">
        <f aca="false">IF(OR($D1157="",单元查询!$B$3=""),"",IF($D1157&lt;&gt;单元查询!$B$3,"",IF(OR(单元查询!$D$3="",$E1157&amp;""=单元查询!$D$3&amp;""),IF(ISNUMBER($B1157),$B1157*10000,0)+ROW(),"")))</f>
        <v/>
      </c>
      <c r="U1157" s="0" t="str">
        <f aca="false">IF(OR($B1157="",$L1157="已完成"),"",IF(ISNUMBER($B1157),IF(设置!$B$6&lt;$B1157,"",(设置!$B$6-$B1157)*100000+ROW()),""))</f>
        <v/>
      </c>
      <c r="V1157" s="0" t="str">
        <f aca="false">IF(ISNUMBER($O1157),IF($O1157&gt;=2,IF(COUNTIFS($D1157:$D$2006,$D1157,$E1157:$E$2006,$E1157)=1,ROW(),""),""),"")</f>
        <v/>
      </c>
    </row>
    <row r="1158" customFormat="false" ht="15" hidden="false" customHeight="true" outlineLevel="0" collapsed="false">
      <c r="A1158" s="13" t="str">
        <f aca="false">IF(AND($B1158="",$D1158="",$E1158="",$F1158=""),"",IF(OR($B1158="",$D1158="",$E1158=""),"待补",IF($D1158="公共区域","公",IF($D1158="商铺","S",SUBSTITUTE($D1158,"栋","")))&amp;"-"&amp;$E1158&amp;"-"&amp;TEXT(MONTH($B1158),"00")&amp;TEXT(DAY($B1158),"00")&amp;IF(ISNUMBER($O1158),IF($O1158&gt;1,"-"&amp;TEXT($O1158,"00"),""),"")))</f>
        <v/>
      </c>
      <c r="B1158" s="14"/>
      <c r="C1158" s="10"/>
      <c r="D1158" s="10"/>
      <c r="E1158" s="10"/>
      <c r="F1158" s="16"/>
      <c r="G1158" s="10"/>
      <c r="H1158" s="10"/>
      <c r="I1158" s="10"/>
      <c r="J1158" s="10"/>
      <c r="K1158" s="10"/>
      <c r="L1158" s="10"/>
      <c r="M1158" s="14"/>
      <c r="N1158" s="17" t="str">
        <f aca="false">IF($B1158="","",IF($L1158="已完成",IF($M1158="","",$M1158-$B1158),IF(设置!$B$6&lt;$B1158,"",IF((设置!$B$6-$B1158)&gt;=设置!$B$5,"超期"&amp;(设置!$B$6-$B1158)&amp;"天","已等"&amp;(设置!$B$6-$B1158)&amp;"天"))))</f>
        <v/>
      </c>
      <c r="O1158" s="18" t="str">
        <f aca="false">IF(OR($D1158="",$E1158=""),"",COUNTIFS($D$7:$D1158,$D1158,$E$7:$E1158,$E1158))</f>
        <v/>
      </c>
      <c r="P1158" s="16"/>
      <c r="Q1158" s="19"/>
      <c r="R1158" s="10"/>
      <c r="S1158" s="16"/>
      <c r="T1158" s="0" t="str">
        <f aca="false">IF(OR($D1158="",单元查询!$B$3=""),"",IF($D1158&lt;&gt;单元查询!$B$3,"",IF(OR(单元查询!$D$3="",$E1158&amp;""=单元查询!$D$3&amp;""),IF(ISNUMBER($B1158),$B1158*10000,0)+ROW(),"")))</f>
        <v/>
      </c>
      <c r="U1158" s="0" t="str">
        <f aca="false">IF(OR($B1158="",$L1158="已完成"),"",IF(ISNUMBER($B1158),IF(设置!$B$6&lt;$B1158,"",(设置!$B$6-$B1158)*100000+ROW()),""))</f>
        <v/>
      </c>
      <c r="V1158" s="0" t="str">
        <f aca="false">IF(ISNUMBER($O1158),IF($O1158&gt;=2,IF(COUNTIFS($D1158:$D$2006,$D1158,$E1158:$E$2006,$E1158)=1,ROW(),""),""),"")</f>
        <v/>
      </c>
    </row>
    <row r="1159" customFormat="false" ht="15" hidden="false" customHeight="true" outlineLevel="0" collapsed="false">
      <c r="A1159" s="13" t="str">
        <f aca="false">IF(AND($B1159="",$D1159="",$E1159="",$F1159=""),"",IF(OR($B1159="",$D1159="",$E1159=""),"待补",IF($D1159="公共区域","公",IF($D1159="商铺","S",SUBSTITUTE($D1159,"栋","")))&amp;"-"&amp;$E1159&amp;"-"&amp;TEXT(MONTH($B1159),"00")&amp;TEXT(DAY($B1159),"00")&amp;IF(ISNUMBER($O1159),IF($O1159&gt;1,"-"&amp;TEXT($O1159,"00"),""),"")))</f>
        <v/>
      </c>
      <c r="B1159" s="14"/>
      <c r="C1159" s="10"/>
      <c r="D1159" s="10"/>
      <c r="E1159" s="10"/>
      <c r="F1159" s="16"/>
      <c r="G1159" s="10"/>
      <c r="H1159" s="10"/>
      <c r="I1159" s="10"/>
      <c r="J1159" s="10"/>
      <c r="K1159" s="10"/>
      <c r="L1159" s="10"/>
      <c r="M1159" s="14"/>
      <c r="N1159" s="17" t="str">
        <f aca="false">IF($B1159="","",IF($L1159="已完成",IF($M1159="","",$M1159-$B1159),IF(设置!$B$6&lt;$B1159,"",IF((设置!$B$6-$B1159)&gt;=设置!$B$5,"超期"&amp;(设置!$B$6-$B1159)&amp;"天","已等"&amp;(设置!$B$6-$B1159)&amp;"天"))))</f>
        <v/>
      </c>
      <c r="O1159" s="18" t="str">
        <f aca="false">IF(OR($D1159="",$E1159=""),"",COUNTIFS($D$7:$D1159,$D1159,$E$7:$E1159,$E1159))</f>
        <v/>
      </c>
      <c r="P1159" s="16"/>
      <c r="Q1159" s="19"/>
      <c r="R1159" s="10"/>
      <c r="S1159" s="16"/>
      <c r="T1159" s="0" t="str">
        <f aca="false">IF(OR($D1159="",单元查询!$B$3=""),"",IF($D1159&lt;&gt;单元查询!$B$3,"",IF(OR(单元查询!$D$3="",$E1159&amp;""=单元查询!$D$3&amp;""),IF(ISNUMBER($B1159),$B1159*10000,0)+ROW(),"")))</f>
        <v/>
      </c>
      <c r="U1159" s="0" t="str">
        <f aca="false">IF(OR($B1159="",$L1159="已完成"),"",IF(ISNUMBER($B1159),IF(设置!$B$6&lt;$B1159,"",(设置!$B$6-$B1159)*100000+ROW()),""))</f>
        <v/>
      </c>
      <c r="V1159" s="0" t="str">
        <f aca="false">IF(ISNUMBER($O1159),IF($O1159&gt;=2,IF(COUNTIFS($D1159:$D$2006,$D1159,$E1159:$E$2006,$E1159)=1,ROW(),""),""),"")</f>
        <v/>
      </c>
    </row>
    <row r="1160" customFormat="false" ht="15" hidden="false" customHeight="true" outlineLevel="0" collapsed="false">
      <c r="A1160" s="13" t="str">
        <f aca="false">IF(AND($B1160="",$D1160="",$E1160="",$F1160=""),"",IF(OR($B1160="",$D1160="",$E1160=""),"待补",IF($D1160="公共区域","公",IF($D1160="商铺","S",SUBSTITUTE($D1160,"栋","")))&amp;"-"&amp;$E1160&amp;"-"&amp;TEXT(MONTH($B1160),"00")&amp;TEXT(DAY($B1160),"00")&amp;IF(ISNUMBER($O1160),IF($O1160&gt;1,"-"&amp;TEXT($O1160,"00"),""),"")))</f>
        <v/>
      </c>
      <c r="B1160" s="14"/>
      <c r="C1160" s="10"/>
      <c r="D1160" s="10"/>
      <c r="E1160" s="10"/>
      <c r="F1160" s="16"/>
      <c r="G1160" s="10"/>
      <c r="H1160" s="10"/>
      <c r="I1160" s="10"/>
      <c r="J1160" s="10"/>
      <c r="K1160" s="10"/>
      <c r="L1160" s="10"/>
      <c r="M1160" s="14"/>
      <c r="N1160" s="17" t="str">
        <f aca="false">IF($B1160="","",IF($L1160="已完成",IF($M1160="","",$M1160-$B1160),IF(设置!$B$6&lt;$B1160,"",IF((设置!$B$6-$B1160)&gt;=设置!$B$5,"超期"&amp;(设置!$B$6-$B1160)&amp;"天","已等"&amp;(设置!$B$6-$B1160)&amp;"天"))))</f>
        <v/>
      </c>
      <c r="O1160" s="18" t="str">
        <f aca="false">IF(OR($D1160="",$E1160=""),"",COUNTIFS($D$7:$D1160,$D1160,$E$7:$E1160,$E1160))</f>
        <v/>
      </c>
      <c r="P1160" s="16"/>
      <c r="Q1160" s="19"/>
      <c r="R1160" s="10"/>
      <c r="S1160" s="16"/>
      <c r="T1160" s="0" t="str">
        <f aca="false">IF(OR($D1160="",单元查询!$B$3=""),"",IF($D1160&lt;&gt;单元查询!$B$3,"",IF(OR(单元查询!$D$3="",$E1160&amp;""=单元查询!$D$3&amp;""),IF(ISNUMBER($B1160),$B1160*10000,0)+ROW(),"")))</f>
        <v/>
      </c>
      <c r="U1160" s="0" t="str">
        <f aca="false">IF(OR($B1160="",$L1160="已完成"),"",IF(ISNUMBER($B1160),IF(设置!$B$6&lt;$B1160,"",(设置!$B$6-$B1160)*100000+ROW()),""))</f>
        <v/>
      </c>
      <c r="V1160" s="0" t="str">
        <f aca="false">IF(ISNUMBER($O1160),IF($O1160&gt;=2,IF(COUNTIFS($D1160:$D$2006,$D1160,$E1160:$E$2006,$E1160)=1,ROW(),""),""),"")</f>
        <v/>
      </c>
    </row>
    <row r="1161" customFormat="false" ht="15" hidden="false" customHeight="true" outlineLevel="0" collapsed="false">
      <c r="A1161" s="13" t="str">
        <f aca="false">IF(AND($B1161="",$D1161="",$E1161="",$F1161=""),"",IF(OR($B1161="",$D1161="",$E1161=""),"待补",IF($D1161="公共区域","公",IF($D1161="商铺","S",SUBSTITUTE($D1161,"栋","")))&amp;"-"&amp;$E1161&amp;"-"&amp;TEXT(MONTH($B1161),"00")&amp;TEXT(DAY($B1161),"00")&amp;IF(ISNUMBER($O1161),IF($O1161&gt;1,"-"&amp;TEXT($O1161,"00"),""),"")))</f>
        <v/>
      </c>
      <c r="B1161" s="14"/>
      <c r="C1161" s="10"/>
      <c r="D1161" s="10"/>
      <c r="E1161" s="10"/>
      <c r="F1161" s="16"/>
      <c r="G1161" s="10"/>
      <c r="H1161" s="10"/>
      <c r="I1161" s="10"/>
      <c r="J1161" s="10"/>
      <c r="K1161" s="10"/>
      <c r="L1161" s="10"/>
      <c r="M1161" s="14"/>
      <c r="N1161" s="17" t="str">
        <f aca="false">IF($B1161="","",IF($L1161="已完成",IF($M1161="","",$M1161-$B1161),IF(设置!$B$6&lt;$B1161,"",IF((设置!$B$6-$B1161)&gt;=设置!$B$5,"超期"&amp;(设置!$B$6-$B1161)&amp;"天","已等"&amp;(设置!$B$6-$B1161)&amp;"天"))))</f>
        <v/>
      </c>
      <c r="O1161" s="18" t="str">
        <f aca="false">IF(OR($D1161="",$E1161=""),"",COUNTIFS($D$7:$D1161,$D1161,$E$7:$E1161,$E1161))</f>
        <v/>
      </c>
      <c r="P1161" s="16"/>
      <c r="Q1161" s="19"/>
      <c r="R1161" s="10"/>
      <c r="S1161" s="16"/>
      <c r="T1161" s="0" t="str">
        <f aca="false">IF(OR($D1161="",单元查询!$B$3=""),"",IF($D1161&lt;&gt;单元查询!$B$3,"",IF(OR(单元查询!$D$3="",$E1161&amp;""=单元查询!$D$3&amp;""),IF(ISNUMBER($B1161),$B1161*10000,0)+ROW(),"")))</f>
        <v/>
      </c>
      <c r="U1161" s="0" t="str">
        <f aca="false">IF(OR($B1161="",$L1161="已完成"),"",IF(ISNUMBER($B1161),IF(设置!$B$6&lt;$B1161,"",(设置!$B$6-$B1161)*100000+ROW()),""))</f>
        <v/>
      </c>
      <c r="V1161" s="0" t="str">
        <f aca="false">IF(ISNUMBER($O1161),IF($O1161&gt;=2,IF(COUNTIFS($D1161:$D$2006,$D1161,$E1161:$E$2006,$E1161)=1,ROW(),""),""),"")</f>
        <v/>
      </c>
    </row>
    <row r="1162" customFormat="false" ht="15" hidden="false" customHeight="true" outlineLevel="0" collapsed="false">
      <c r="A1162" s="13" t="str">
        <f aca="false">IF(AND($B1162="",$D1162="",$E1162="",$F1162=""),"",IF(OR($B1162="",$D1162="",$E1162=""),"待补",IF($D1162="公共区域","公",IF($D1162="商铺","S",SUBSTITUTE($D1162,"栋","")))&amp;"-"&amp;$E1162&amp;"-"&amp;TEXT(MONTH($B1162),"00")&amp;TEXT(DAY($B1162),"00")&amp;IF(ISNUMBER($O1162),IF($O1162&gt;1,"-"&amp;TEXT($O1162,"00"),""),"")))</f>
        <v/>
      </c>
      <c r="B1162" s="14"/>
      <c r="C1162" s="10"/>
      <c r="D1162" s="10"/>
      <c r="E1162" s="10"/>
      <c r="F1162" s="16"/>
      <c r="G1162" s="10"/>
      <c r="H1162" s="10"/>
      <c r="I1162" s="10"/>
      <c r="J1162" s="10"/>
      <c r="K1162" s="10"/>
      <c r="L1162" s="10"/>
      <c r="M1162" s="14"/>
      <c r="N1162" s="17" t="str">
        <f aca="false">IF($B1162="","",IF($L1162="已完成",IF($M1162="","",$M1162-$B1162),IF(设置!$B$6&lt;$B1162,"",IF((设置!$B$6-$B1162)&gt;=设置!$B$5,"超期"&amp;(设置!$B$6-$B1162)&amp;"天","已等"&amp;(设置!$B$6-$B1162)&amp;"天"))))</f>
        <v/>
      </c>
      <c r="O1162" s="18" t="str">
        <f aca="false">IF(OR($D1162="",$E1162=""),"",COUNTIFS($D$7:$D1162,$D1162,$E$7:$E1162,$E1162))</f>
        <v/>
      </c>
      <c r="P1162" s="16"/>
      <c r="Q1162" s="19"/>
      <c r="R1162" s="10"/>
      <c r="S1162" s="16"/>
      <c r="T1162" s="0" t="str">
        <f aca="false">IF(OR($D1162="",单元查询!$B$3=""),"",IF($D1162&lt;&gt;单元查询!$B$3,"",IF(OR(单元查询!$D$3="",$E1162&amp;""=单元查询!$D$3&amp;""),IF(ISNUMBER($B1162),$B1162*10000,0)+ROW(),"")))</f>
        <v/>
      </c>
      <c r="U1162" s="0" t="str">
        <f aca="false">IF(OR($B1162="",$L1162="已完成"),"",IF(ISNUMBER($B1162),IF(设置!$B$6&lt;$B1162,"",(设置!$B$6-$B1162)*100000+ROW()),""))</f>
        <v/>
      </c>
      <c r="V1162" s="0" t="str">
        <f aca="false">IF(ISNUMBER($O1162),IF($O1162&gt;=2,IF(COUNTIFS($D1162:$D$2006,$D1162,$E1162:$E$2006,$E1162)=1,ROW(),""),""),"")</f>
        <v/>
      </c>
    </row>
    <row r="1163" customFormat="false" ht="15" hidden="false" customHeight="true" outlineLevel="0" collapsed="false">
      <c r="A1163" s="13" t="str">
        <f aca="false">IF(AND($B1163="",$D1163="",$E1163="",$F1163=""),"",IF(OR($B1163="",$D1163="",$E1163=""),"待补",IF($D1163="公共区域","公",IF($D1163="商铺","S",SUBSTITUTE($D1163,"栋","")))&amp;"-"&amp;$E1163&amp;"-"&amp;TEXT(MONTH($B1163),"00")&amp;TEXT(DAY($B1163),"00")&amp;IF(ISNUMBER($O1163),IF($O1163&gt;1,"-"&amp;TEXT($O1163,"00"),""),"")))</f>
        <v/>
      </c>
      <c r="B1163" s="14"/>
      <c r="C1163" s="10"/>
      <c r="D1163" s="10"/>
      <c r="E1163" s="10"/>
      <c r="F1163" s="16"/>
      <c r="G1163" s="10"/>
      <c r="H1163" s="10"/>
      <c r="I1163" s="10"/>
      <c r="J1163" s="10"/>
      <c r="K1163" s="10"/>
      <c r="L1163" s="10"/>
      <c r="M1163" s="14"/>
      <c r="N1163" s="17" t="str">
        <f aca="false">IF($B1163="","",IF($L1163="已完成",IF($M1163="","",$M1163-$B1163),IF(设置!$B$6&lt;$B1163,"",IF((设置!$B$6-$B1163)&gt;=设置!$B$5,"超期"&amp;(设置!$B$6-$B1163)&amp;"天","已等"&amp;(设置!$B$6-$B1163)&amp;"天"))))</f>
        <v/>
      </c>
      <c r="O1163" s="18" t="str">
        <f aca="false">IF(OR($D1163="",$E1163=""),"",COUNTIFS($D$7:$D1163,$D1163,$E$7:$E1163,$E1163))</f>
        <v/>
      </c>
      <c r="P1163" s="16"/>
      <c r="Q1163" s="19"/>
      <c r="R1163" s="10"/>
      <c r="S1163" s="16"/>
      <c r="T1163" s="0" t="str">
        <f aca="false">IF(OR($D1163="",单元查询!$B$3=""),"",IF($D1163&lt;&gt;单元查询!$B$3,"",IF(OR(单元查询!$D$3="",$E1163&amp;""=单元查询!$D$3&amp;""),IF(ISNUMBER($B1163),$B1163*10000,0)+ROW(),"")))</f>
        <v/>
      </c>
      <c r="U1163" s="0" t="str">
        <f aca="false">IF(OR($B1163="",$L1163="已完成"),"",IF(ISNUMBER($B1163),IF(设置!$B$6&lt;$B1163,"",(设置!$B$6-$B1163)*100000+ROW()),""))</f>
        <v/>
      </c>
      <c r="V1163" s="0" t="str">
        <f aca="false">IF(ISNUMBER($O1163),IF($O1163&gt;=2,IF(COUNTIFS($D1163:$D$2006,$D1163,$E1163:$E$2006,$E1163)=1,ROW(),""),""),"")</f>
        <v/>
      </c>
    </row>
    <row r="1164" customFormat="false" ht="15" hidden="false" customHeight="true" outlineLevel="0" collapsed="false">
      <c r="A1164" s="13" t="str">
        <f aca="false">IF(AND($B1164="",$D1164="",$E1164="",$F1164=""),"",IF(OR($B1164="",$D1164="",$E1164=""),"待补",IF($D1164="公共区域","公",IF($D1164="商铺","S",SUBSTITUTE($D1164,"栋","")))&amp;"-"&amp;$E1164&amp;"-"&amp;TEXT(MONTH($B1164),"00")&amp;TEXT(DAY($B1164),"00")&amp;IF(ISNUMBER($O1164),IF($O1164&gt;1,"-"&amp;TEXT($O1164,"00"),""),"")))</f>
        <v/>
      </c>
      <c r="B1164" s="14"/>
      <c r="C1164" s="10"/>
      <c r="D1164" s="10"/>
      <c r="E1164" s="10"/>
      <c r="F1164" s="16"/>
      <c r="G1164" s="10"/>
      <c r="H1164" s="10"/>
      <c r="I1164" s="10"/>
      <c r="J1164" s="10"/>
      <c r="K1164" s="10"/>
      <c r="L1164" s="10"/>
      <c r="M1164" s="14"/>
      <c r="N1164" s="17" t="str">
        <f aca="false">IF($B1164="","",IF($L1164="已完成",IF($M1164="","",$M1164-$B1164),IF(设置!$B$6&lt;$B1164,"",IF((设置!$B$6-$B1164)&gt;=设置!$B$5,"超期"&amp;(设置!$B$6-$B1164)&amp;"天","已等"&amp;(设置!$B$6-$B1164)&amp;"天"))))</f>
        <v/>
      </c>
      <c r="O1164" s="18" t="str">
        <f aca="false">IF(OR($D1164="",$E1164=""),"",COUNTIFS($D$7:$D1164,$D1164,$E$7:$E1164,$E1164))</f>
        <v/>
      </c>
      <c r="P1164" s="16"/>
      <c r="Q1164" s="19"/>
      <c r="R1164" s="10"/>
      <c r="S1164" s="16"/>
      <c r="T1164" s="0" t="str">
        <f aca="false">IF(OR($D1164="",单元查询!$B$3=""),"",IF($D1164&lt;&gt;单元查询!$B$3,"",IF(OR(单元查询!$D$3="",$E1164&amp;""=单元查询!$D$3&amp;""),IF(ISNUMBER($B1164),$B1164*10000,0)+ROW(),"")))</f>
        <v/>
      </c>
      <c r="U1164" s="0" t="str">
        <f aca="false">IF(OR($B1164="",$L1164="已完成"),"",IF(ISNUMBER($B1164),IF(设置!$B$6&lt;$B1164,"",(设置!$B$6-$B1164)*100000+ROW()),""))</f>
        <v/>
      </c>
      <c r="V1164" s="0" t="str">
        <f aca="false">IF(ISNUMBER($O1164),IF($O1164&gt;=2,IF(COUNTIFS($D1164:$D$2006,$D1164,$E1164:$E$2006,$E1164)=1,ROW(),""),""),"")</f>
        <v/>
      </c>
    </row>
    <row r="1165" customFormat="false" ht="15" hidden="false" customHeight="true" outlineLevel="0" collapsed="false">
      <c r="A1165" s="13" t="str">
        <f aca="false">IF(AND($B1165="",$D1165="",$E1165="",$F1165=""),"",IF(OR($B1165="",$D1165="",$E1165=""),"待补",IF($D1165="公共区域","公",IF($D1165="商铺","S",SUBSTITUTE($D1165,"栋","")))&amp;"-"&amp;$E1165&amp;"-"&amp;TEXT(MONTH($B1165),"00")&amp;TEXT(DAY($B1165),"00")&amp;IF(ISNUMBER($O1165),IF($O1165&gt;1,"-"&amp;TEXT($O1165,"00"),""),"")))</f>
        <v/>
      </c>
      <c r="B1165" s="14"/>
      <c r="C1165" s="10"/>
      <c r="D1165" s="10"/>
      <c r="E1165" s="10"/>
      <c r="F1165" s="16"/>
      <c r="G1165" s="10"/>
      <c r="H1165" s="10"/>
      <c r="I1165" s="10"/>
      <c r="J1165" s="10"/>
      <c r="K1165" s="10"/>
      <c r="L1165" s="10"/>
      <c r="M1165" s="14"/>
      <c r="N1165" s="17" t="str">
        <f aca="false">IF($B1165="","",IF($L1165="已完成",IF($M1165="","",$M1165-$B1165),IF(设置!$B$6&lt;$B1165,"",IF((设置!$B$6-$B1165)&gt;=设置!$B$5,"超期"&amp;(设置!$B$6-$B1165)&amp;"天","已等"&amp;(设置!$B$6-$B1165)&amp;"天"))))</f>
        <v/>
      </c>
      <c r="O1165" s="18" t="str">
        <f aca="false">IF(OR($D1165="",$E1165=""),"",COUNTIFS($D$7:$D1165,$D1165,$E$7:$E1165,$E1165))</f>
        <v/>
      </c>
      <c r="P1165" s="16"/>
      <c r="Q1165" s="19"/>
      <c r="R1165" s="10"/>
      <c r="S1165" s="16"/>
      <c r="T1165" s="0" t="str">
        <f aca="false">IF(OR($D1165="",单元查询!$B$3=""),"",IF($D1165&lt;&gt;单元查询!$B$3,"",IF(OR(单元查询!$D$3="",$E1165&amp;""=单元查询!$D$3&amp;""),IF(ISNUMBER($B1165),$B1165*10000,0)+ROW(),"")))</f>
        <v/>
      </c>
      <c r="U1165" s="0" t="str">
        <f aca="false">IF(OR($B1165="",$L1165="已完成"),"",IF(ISNUMBER($B1165),IF(设置!$B$6&lt;$B1165,"",(设置!$B$6-$B1165)*100000+ROW()),""))</f>
        <v/>
      </c>
      <c r="V1165" s="0" t="str">
        <f aca="false">IF(ISNUMBER($O1165),IF($O1165&gt;=2,IF(COUNTIFS($D1165:$D$2006,$D1165,$E1165:$E$2006,$E1165)=1,ROW(),""),""),"")</f>
        <v/>
      </c>
    </row>
    <row r="1166" customFormat="false" ht="15" hidden="false" customHeight="true" outlineLevel="0" collapsed="false">
      <c r="A1166" s="13" t="str">
        <f aca="false">IF(AND($B1166="",$D1166="",$E1166="",$F1166=""),"",IF(OR($B1166="",$D1166="",$E1166=""),"待补",IF($D1166="公共区域","公",IF($D1166="商铺","S",SUBSTITUTE($D1166,"栋","")))&amp;"-"&amp;$E1166&amp;"-"&amp;TEXT(MONTH($B1166),"00")&amp;TEXT(DAY($B1166),"00")&amp;IF(ISNUMBER($O1166),IF($O1166&gt;1,"-"&amp;TEXT($O1166,"00"),""),"")))</f>
        <v/>
      </c>
      <c r="B1166" s="14"/>
      <c r="C1166" s="10"/>
      <c r="D1166" s="10"/>
      <c r="E1166" s="10"/>
      <c r="F1166" s="16"/>
      <c r="G1166" s="10"/>
      <c r="H1166" s="10"/>
      <c r="I1166" s="10"/>
      <c r="J1166" s="10"/>
      <c r="K1166" s="10"/>
      <c r="L1166" s="10"/>
      <c r="M1166" s="14"/>
      <c r="N1166" s="17" t="str">
        <f aca="false">IF($B1166="","",IF($L1166="已完成",IF($M1166="","",$M1166-$B1166),IF(设置!$B$6&lt;$B1166,"",IF((设置!$B$6-$B1166)&gt;=设置!$B$5,"超期"&amp;(设置!$B$6-$B1166)&amp;"天","已等"&amp;(设置!$B$6-$B1166)&amp;"天"))))</f>
        <v/>
      </c>
      <c r="O1166" s="18" t="str">
        <f aca="false">IF(OR($D1166="",$E1166=""),"",COUNTIFS($D$7:$D1166,$D1166,$E$7:$E1166,$E1166))</f>
        <v/>
      </c>
      <c r="P1166" s="16"/>
      <c r="Q1166" s="19"/>
      <c r="R1166" s="10"/>
      <c r="S1166" s="16"/>
      <c r="T1166" s="0" t="str">
        <f aca="false">IF(OR($D1166="",单元查询!$B$3=""),"",IF($D1166&lt;&gt;单元查询!$B$3,"",IF(OR(单元查询!$D$3="",$E1166&amp;""=单元查询!$D$3&amp;""),IF(ISNUMBER($B1166),$B1166*10000,0)+ROW(),"")))</f>
        <v/>
      </c>
      <c r="U1166" s="0" t="str">
        <f aca="false">IF(OR($B1166="",$L1166="已完成"),"",IF(ISNUMBER($B1166),IF(设置!$B$6&lt;$B1166,"",(设置!$B$6-$B1166)*100000+ROW()),""))</f>
        <v/>
      </c>
      <c r="V1166" s="0" t="str">
        <f aca="false">IF(ISNUMBER($O1166),IF($O1166&gt;=2,IF(COUNTIFS($D1166:$D$2006,$D1166,$E1166:$E$2006,$E1166)=1,ROW(),""),""),"")</f>
        <v/>
      </c>
    </row>
    <row r="1167" customFormat="false" ht="15" hidden="false" customHeight="true" outlineLevel="0" collapsed="false">
      <c r="A1167" s="13" t="str">
        <f aca="false">IF(AND($B1167="",$D1167="",$E1167="",$F1167=""),"",IF(OR($B1167="",$D1167="",$E1167=""),"待补",IF($D1167="公共区域","公",IF($D1167="商铺","S",SUBSTITUTE($D1167,"栋","")))&amp;"-"&amp;$E1167&amp;"-"&amp;TEXT(MONTH($B1167),"00")&amp;TEXT(DAY($B1167),"00")&amp;IF(ISNUMBER($O1167),IF($O1167&gt;1,"-"&amp;TEXT($O1167,"00"),""),"")))</f>
        <v/>
      </c>
      <c r="B1167" s="14"/>
      <c r="C1167" s="10"/>
      <c r="D1167" s="10"/>
      <c r="E1167" s="10"/>
      <c r="F1167" s="16"/>
      <c r="G1167" s="10"/>
      <c r="H1167" s="10"/>
      <c r="I1167" s="10"/>
      <c r="J1167" s="10"/>
      <c r="K1167" s="10"/>
      <c r="L1167" s="10"/>
      <c r="M1167" s="14"/>
      <c r="N1167" s="17" t="str">
        <f aca="false">IF($B1167="","",IF($L1167="已完成",IF($M1167="","",$M1167-$B1167),IF(设置!$B$6&lt;$B1167,"",IF((设置!$B$6-$B1167)&gt;=设置!$B$5,"超期"&amp;(设置!$B$6-$B1167)&amp;"天","已等"&amp;(设置!$B$6-$B1167)&amp;"天"))))</f>
        <v/>
      </c>
      <c r="O1167" s="18" t="str">
        <f aca="false">IF(OR($D1167="",$E1167=""),"",COUNTIFS($D$7:$D1167,$D1167,$E$7:$E1167,$E1167))</f>
        <v/>
      </c>
      <c r="P1167" s="16"/>
      <c r="Q1167" s="19"/>
      <c r="R1167" s="10"/>
      <c r="S1167" s="16"/>
      <c r="T1167" s="0" t="str">
        <f aca="false">IF(OR($D1167="",单元查询!$B$3=""),"",IF($D1167&lt;&gt;单元查询!$B$3,"",IF(OR(单元查询!$D$3="",$E1167&amp;""=单元查询!$D$3&amp;""),IF(ISNUMBER($B1167),$B1167*10000,0)+ROW(),"")))</f>
        <v/>
      </c>
      <c r="U1167" s="0" t="str">
        <f aca="false">IF(OR($B1167="",$L1167="已完成"),"",IF(ISNUMBER($B1167),IF(设置!$B$6&lt;$B1167,"",(设置!$B$6-$B1167)*100000+ROW()),""))</f>
        <v/>
      </c>
      <c r="V1167" s="0" t="str">
        <f aca="false">IF(ISNUMBER($O1167),IF($O1167&gt;=2,IF(COUNTIFS($D1167:$D$2006,$D1167,$E1167:$E$2006,$E1167)=1,ROW(),""),""),"")</f>
        <v/>
      </c>
    </row>
    <row r="1168" customFormat="false" ht="15" hidden="false" customHeight="true" outlineLevel="0" collapsed="false">
      <c r="A1168" s="13" t="str">
        <f aca="false">IF(AND($B1168="",$D1168="",$E1168="",$F1168=""),"",IF(OR($B1168="",$D1168="",$E1168=""),"待补",IF($D1168="公共区域","公",IF($D1168="商铺","S",SUBSTITUTE($D1168,"栋","")))&amp;"-"&amp;$E1168&amp;"-"&amp;TEXT(MONTH($B1168),"00")&amp;TEXT(DAY($B1168),"00")&amp;IF(ISNUMBER($O1168),IF($O1168&gt;1,"-"&amp;TEXT($O1168,"00"),""),"")))</f>
        <v/>
      </c>
      <c r="B1168" s="14"/>
      <c r="C1168" s="10"/>
      <c r="D1168" s="10"/>
      <c r="E1168" s="10"/>
      <c r="F1168" s="16"/>
      <c r="G1168" s="10"/>
      <c r="H1168" s="10"/>
      <c r="I1168" s="10"/>
      <c r="J1168" s="10"/>
      <c r="K1168" s="10"/>
      <c r="L1168" s="10"/>
      <c r="M1168" s="14"/>
      <c r="N1168" s="17" t="str">
        <f aca="false">IF($B1168="","",IF($L1168="已完成",IF($M1168="","",$M1168-$B1168),IF(设置!$B$6&lt;$B1168,"",IF((设置!$B$6-$B1168)&gt;=设置!$B$5,"超期"&amp;(设置!$B$6-$B1168)&amp;"天","已等"&amp;(设置!$B$6-$B1168)&amp;"天"))))</f>
        <v/>
      </c>
      <c r="O1168" s="18" t="str">
        <f aca="false">IF(OR($D1168="",$E1168=""),"",COUNTIFS($D$7:$D1168,$D1168,$E$7:$E1168,$E1168))</f>
        <v/>
      </c>
      <c r="P1168" s="16"/>
      <c r="Q1168" s="19"/>
      <c r="R1168" s="10"/>
      <c r="S1168" s="16"/>
      <c r="T1168" s="0" t="str">
        <f aca="false">IF(OR($D1168="",单元查询!$B$3=""),"",IF($D1168&lt;&gt;单元查询!$B$3,"",IF(OR(单元查询!$D$3="",$E1168&amp;""=单元查询!$D$3&amp;""),IF(ISNUMBER($B1168),$B1168*10000,0)+ROW(),"")))</f>
        <v/>
      </c>
      <c r="U1168" s="0" t="str">
        <f aca="false">IF(OR($B1168="",$L1168="已完成"),"",IF(ISNUMBER($B1168),IF(设置!$B$6&lt;$B1168,"",(设置!$B$6-$B1168)*100000+ROW()),""))</f>
        <v/>
      </c>
      <c r="V1168" s="0" t="str">
        <f aca="false">IF(ISNUMBER($O1168),IF($O1168&gt;=2,IF(COUNTIFS($D1168:$D$2006,$D1168,$E1168:$E$2006,$E1168)=1,ROW(),""),""),"")</f>
        <v/>
      </c>
    </row>
    <row r="1169" customFormat="false" ht="15" hidden="false" customHeight="true" outlineLevel="0" collapsed="false">
      <c r="A1169" s="13" t="str">
        <f aca="false">IF(AND($B1169="",$D1169="",$E1169="",$F1169=""),"",IF(OR($B1169="",$D1169="",$E1169=""),"待补",IF($D1169="公共区域","公",IF($D1169="商铺","S",SUBSTITUTE($D1169,"栋","")))&amp;"-"&amp;$E1169&amp;"-"&amp;TEXT(MONTH($B1169),"00")&amp;TEXT(DAY($B1169),"00")&amp;IF(ISNUMBER($O1169),IF($O1169&gt;1,"-"&amp;TEXT($O1169,"00"),""),"")))</f>
        <v/>
      </c>
      <c r="B1169" s="14"/>
      <c r="C1169" s="10"/>
      <c r="D1169" s="10"/>
      <c r="E1169" s="10"/>
      <c r="F1169" s="16"/>
      <c r="G1169" s="10"/>
      <c r="H1169" s="10"/>
      <c r="I1169" s="10"/>
      <c r="J1169" s="10"/>
      <c r="K1169" s="10"/>
      <c r="L1169" s="10"/>
      <c r="M1169" s="14"/>
      <c r="N1169" s="17" t="str">
        <f aca="false">IF($B1169="","",IF($L1169="已完成",IF($M1169="","",$M1169-$B1169),IF(设置!$B$6&lt;$B1169,"",IF((设置!$B$6-$B1169)&gt;=设置!$B$5,"超期"&amp;(设置!$B$6-$B1169)&amp;"天","已等"&amp;(设置!$B$6-$B1169)&amp;"天"))))</f>
        <v/>
      </c>
      <c r="O1169" s="18" t="str">
        <f aca="false">IF(OR($D1169="",$E1169=""),"",COUNTIFS($D$7:$D1169,$D1169,$E$7:$E1169,$E1169))</f>
        <v/>
      </c>
      <c r="P1169" s="16"/>
      <c r="Q1169" s="19"/>
      <c r="R1169" s="10"/>
      <c r="S1169" s="16"/>
      <c r="T1169" s="0" t="str">
        <f aca="false">IF(OR($D1169="",单元查询!$B$3=""),"",IF($D1169&lt;&gt;单元查询!$B$3,"",IF(OR(单元查询!$D$3="",$E1169&amp;""=单元查询!$D$3&amp;""),IF(ISNUMBER($B1169),$B1169*10000,0)+ROW(),"")))</f>
        <v/>
      </c>
      <c r="U1169" s="0" t="str">
        <f aca="false">IF(OR($B1169="",$L1169="已完成"),"",IF(ISNUMBER($B1169),IF(设置!$B$6&lt;$B1169,"",(设置!$B$6-$B1169)*100000+ROW()),""))</f>
        <v/>
      </c>
      <c r="V1169" s="0" t="str">
        <f aca="false">IF(ISNUMBER($O1169),IF($O1169&gt;=2,IF(COUNTIFS($D1169:$D$2006,$D1169,$E1169:$E$2006,$E1169)=1,ROW(),""),""),"")</f>
        <v/>
      </c>
    </row>
    <row r="1170" customFormat="false" ht="15" hidden="false" customHeight="true" outlineLevel="0" collapsed="false">
      <c r="A1170" s="13" t="str">
        <f aca="false">IF(AND($B1170="",$D1170="",$E1170="",$F1170=""),"",IF(OR($B1170="",$D1170="",$E1170=""),"待补",IF($D1170="公共区域","公",IF($D1170="商铺","S",SUBSTITUTE($D1170,"栋","")))&amp;"-"&amp;$E1170&amp;"-"&amp;TEXT(MONTH($B1170),"00")&amp;TEXT(DAY($B1170),"00")&amp;IF(ISNUMBER($O1170),IF($O1170&gt;1,"-"&amp;TEXT($O1170,"00"),""),"")))</f>
        <v/>
      </c>
      <c r="B1170" s="14"/>
      <c r="C1170" s="10"/>
      <c r="D1170" s="10"/>
      <c r="E1170" s="10"/>
      <c r="F1170" s="16"/>
      <c r="G1170" s="10"/>
      <c r="H1170" s="10"/>
      <c r="I1170" s="10"/>
      <c r="J1170" s="10"/>
      <c r="K1170" s="10"/>
      <c r="L1170" s="10"/>
      <c r="M1170" s="14"/>
      <c r="N1170" s="17" t="str">
        <f aca="false">IF($B1170="","",IF($L1170="已完成",IF($M1170="","",$M1170-$B1170),IF(设置!$B$6&lt;$B1170,"",IF((设置!$B$6-$B1170)&gt;=设置!$B$5,"超期"&amp;(设置!$B$6-$B1170)&amp;"天","已等"&amp;(设置!$B$6-$B1170)&amp;"天"))))</f>
        <v/>
      </c>
      <c r="O1170" s="18" t="str">
        <f aca="false">IF(OR($D1170="",$E1170=""),"",COUNTIFS($D$7:$D1170,$D1170,$E$7:$E1170,$E1170))</f>
        <v/>
      </c>
      <c r="P1170" s="16"/>
      <c r="Q1170" s="19"/>
      <c r="R1170" s="10"/>
      <c r="S1170" s="16"/>
      <c r="T1170" s="0" t="str">
        <f aca="false">IF(OR($D1170="",单元查询!$B$3=""),"",IF($D1170&lt;&gt;单元查询!$B$3,"",IF(OR(单元查询!$D$3="",$E1170&amp;""=单元查询!$D$3&amp;""),IF(ISNUMBER($B1170),$B1170*10000,0)+ROW(),"")))</f>
        <v/>
      </c>
      <c r="U1170" s="0" t="str">
        <f aca="false">IF(OR($B1170="",$L1170="已完成"),"",IF(ISNUMBER($B1170),IF(设置!$B$6&lt;$B1170,"",(设置!$B$6-$B1170)*100000+ROW()),""))</f>
        <v/>
      </c>
      <c r="V1170" s="0" t="str">
        <f aca="false">IF(ISNUMBER($O1170),IF($O1170&gt;=2,IF(COUNTIFS($D1170:$D$2006,$D1170,$E1170:$E$2006,$E1170)=1,ROW(),""),""),"")</f>
        <v/>
      </c>
    </row>
    <row r="1171" customFormat="false" ht="15" hidden="false" customHeight="true" outlineLevel="0" collapsed="false">
      <c r="A1171" s="13" t="str">
        <f aca="false">IF(AND($B1171="",$D1171="",$E1171="",$F1171=""),"",IF(OR($B1171="",$D1171="",$E1171=""),"待补",IF($D1171="公共区域","公",IF($D1171="商铺","S",SUBSTITUTE($D1171,"栋","")))&amp;"-"&amp;$E1171&amp;"-"&amp;TEXT(MONTH($B1171),"00")&amp;TEXT(DAY($B1171),"00")&amp;IF(ISNUMBER($O1171),IF($O1171&gt;1,"-"&amp;TEXT($O1171,"00"),""),"")))</f>
        <v/>
      </c>
      <c r="B1171" s="14"/>
      <c r="C1171" s="10"/>
      <c r="D1171" s="10"/>
      <c r="E1171" s="10"/>
      <c r="F1171" s="16"/>
      <c r="G1171" s="10"/>
      <c r="H1171" s="10"/>
      <c r="I1171" s="10"/>
      <c r="J1171" s="10"/>
      <c r="K1171" s="10"/>
      <c r="L1171" s="10"/>
      <c r="M1171" s="14"/>
      <c r="N1171" s="17" t="str">
        <f aca="false">IF($B1171="","",IF($L1171="已完成",IF($M1171="","",$M1171-$B1171),IF(设置!$B$6&lt;$B1171,"",IF((设置!$B$6-$B1171)&gt;=设置!$B$5,"超期"&amp;(设置!$B$6-$B1171)&amp;"天","已等"&amp;(设置!$B$6-$B1171)&amp;"天"))))</f>
        <v/>
      </c>
      <c r="O1171" s="18" t="str">
        <f aca="false">IF(OR($D1171="",$E1171=""),"",COUNTIFS($D$7:$D1171,$D1171,$E$7:$E1171,$E1171))</f>
        <v/>
      </c>
      <c r="P1171" s="16"/>
      <c r="Q1171" s="19"/>
      <c r="R1171" s="10"/>
      <c r="S1171" s="16"/>
      <c r="T1171" s="0" t="str">
        <f aca="false">IF(OR($D1171="",单元查询!$B$3=""),"",IF($D1171&lt;&gt;单元查询!$B$3,"",IF(OR(单元查询!$D$3="",$E1171&amp;""=单元查询!$D$3&amp;""),IF(ISNUMBER($B1171),$B1171*10000,0)+ROW(),"")))</f>
        <v/>
      </c>
      <c r="U1171" s="0" t="str">
        <f aca="false">IF(OR($B1171="",$L1171="已完成"),"",IF(ISNUMBER($B1171),IF(设置!$B$6&lt;$B1171,"",(设置!$B$6-$B1171)*100000+ROW()),""))</f>
        <v/>
      </c>
      <c r="V1171" s="0" t="str">
        <f aca="false">IF(ISNUMBER($O1171),IF($O1171&gt;=2,IF(COUNTIFS($D1171:$D$2006,$D1171,$E1171:$E$2006,$E1171)=1,ROW(),""),""),"")</f>
        <v/>
      </c>
    </row>
    <row r="1172" customFormat="false" ht="15" hidden="false" customHeight="true" outlineLevel="0" collapsed="false">
      <c r="A1172" s="13" t="str">
        <f aca="false">IF(AND($B1172="",$D1172="",$E1172="",$F1172=""),"",IF(OR($B1172="",$D1172="",$E1172=""),"待补",IF($D1172="公共区域","公",IF($D1172="商铺","S",SUBSTITUTE($D1172,"栋","")))&amp;"-"&amp;$E1172&amp;"-"&amp;TEXT(MONTH($B1172),"00")&amp;TEXT(DAY($B1172),"00")&amp;IF(ISNUMBER($O1172),IF($O1172&gt;1,"-"&amp;TEXT($O1172,"00"),""),"")))</f>
        <v/>
      </c>
      <c r="B1172" s="14"/>
      <c r="C1172" s="10"/>
      <c r="D1172" s="10"/>
      <c r="E1172" s="10"/>
      <c r="F1172" s="16"/>
      <c r="G1172" s="10"/>
      <c r="H1172" s="10"/>
      <c r="I1172" s="10"/>
      <c r="J1172" s="10"/>
      <c r="K1172" s="10"/>
      <c r="L1172" s="10"/>
      <c r="M1172" s="14"/>
      <c r="N1172" s="17" t="str">
        <f aca="false">IF($B1172="","",IF($L1172="已完成",IF($M1172="","",$M1172-$B1172),IF(设置!$B$6&lt;$B1172,"",IF((设置!$B$6-$B1172)&gt;=设置!$B$5,"超期"&amp;(设置!$B$6-$B1172)&amp;"天","已等"&amp;(设置!$B$6-$B1172)&amp;"天"))))</f>
        <v/>
      </c>
      <c r="O1172" s="18" t="str">
        <f aca="false">IF(OR($D1172="",$E1172=""),"",COUNTIFS($D$7:$D1172,$D1172,$E$7:$E1172,$E1172))</f>
        <v/>
      </c>
      <c r="P1172" s="16"/>
      <c r="Q1172" s="19"/>
      <c r="R1172" s="10"/>
      <c r="S1172" s="16"/>
      <c r="T1172" s="0" t="str">
        <f aca="false">IF(OR($D1172="",单元查询!$B$3=""),"",IF($D1172&lt;&gt;单元查询!$B$3,"",IF(OR(单元查询!$D$3="",$E1172&amp;""=单元查询!$D$3&amp;""),IF(ISNUMBER($B1172),$B1172*10000,0)+ROW(),"")))</f>
        <v/>
      </c>
      <c r="U1172" s="0" t="str">
        <f aca="false">IF(OR($B1172="",$L1172="已完成"),"",IF(ISNUMBER($B1172),IF(设置!$B$6&lt;$B1172,"",(设置!$B$6-$B1172)*100000+ROW()),""))</f>
        <v/>
      </c>
      <c r="V1172" s="0" t="str">
        <f aca="false">IF(ISNUMBER($O1172),IF($O1172&gt;=2,IF(COUNTIFS($D1172:$D$2006,$D1172,$E1172:$E$2006,$E1172)=1,ROW(),""),""),"")</f>
        <v/>
      </c>
    </row>
    <row r="1173" customFormat="false" ht="15" hidden="false" customHeight="true" outlineLevel="0" collapsed="false">
      <c r="A1173" s="13" t="str">
        <f aca="false">IF(AND($B1173="",$D1173="",$E1173="",$F1173=""),"",IF(OR($B1173="",$D1173="",$E1173=""),"待补",IF($D1173="公共区域","公",IF($D1173="商铺","S",SUBSTITUTE($D1173,"栋","")))&amp;"-"&amp;$E1173&amp;"-"&amp;TEXT(MONTH($B1173),"00")&amp;TEXT(DAY($B1173),"00")&amp;IF(ISNUMBER($O1173),IF($O1173&gt;1,"-"&amp;TEXT($O1173,"00"),""),"")))</f>
        <v/>
      </c>
      <c r="B1173" s="14"/>
      <c r="C1173" s="10"/>
      <c r="D1173" s="10"/>
      <c r="E1173" s="10"/>
      <c r="F1173" s="16"/>
      <c r="G1173" s="10"/>
      <c r="H1173" s="10"/>
      <c r="I1173" s="10"/>
      <c r="J1173" s="10"/>
      <c r="K1173" s="10"/>
      <c r="L1173" s="10"/>
      <c r="M1173" s="14"/>
      <c r="N1173" s="17" t="str">
        <f aca="false">IF($B1173="","",IF($L1173="已完成",IF($M1173="","",$M1173-$B1173),IF(设置!$B$6&lt;$B1173,"",IF((设置!$B$6-$B1173)&gt;=设置!$B$5,"超期"&amp;(设置!$B$6-$B1173)&amp;"天","已等"&amp;(设置!$B$6-$B1173)&amp;"天"))))</f>
        <v/>
      </c>
      <c r="O1173" s="18" t="str">
        <f aca="false">IF(OR($D1173="",$E1173=""),"",COUNTIFS($D$7:$D1173,$D1173,$E$7:$E1173,$E1173))</f>
        <v/>
      </c>
      <c r="P1173" s="16"/>
      <c r="Q1173" s="19"/>
      <c r="R1173" s="10"/>
      <c r="S1173" s="16"/>
      <c r="T1173" s="0" t="str">
        <f aca="false">IF(OR($D1173="",单元查询!$B$3=""),"",IF($D1173&lt;&gt;单元查询!$B$3,"",IF(OR(单元查询!$D$3="",$E1173&amp;""=单元查询!$D$3&amp;""),IF(ISNUMBER($B1173),$B1173*10000,0)+ROW(),"")))</f>
        <v/>
      </c>
      <c r="U1173" s="0" t="str">
        <f aca="false">IF(OR($B1173="",$L1173="已完成"),"",IF(ISNUMBER($B1173),IF(设置!$B$6&lt;$B1173,"",(设置!$B$6-$B1173)*100000+ROW()),""))</f>
        <v/>
      </c>
      <c r="V1173" s="0" t="str">
        <f aca="false">IF(ISNUMBER($O1173),IF($O1173&gt;=2,IF(COUNTIFS($D1173:$D$2006,$D1173,$E1173:$E$2006,$E1173)=1,ROW(),""),""),"")</f>
        <v/>
      </c>
    </row>
    <row r="1174" customFormat="false" ht="15" hidden="false" customHeight="true" outlineLevel="0" collapsed="false">
      <c r="A1174" s="13" t="str">
        <f aca="false">IF(AND($B1174="",$D1174="",$E1174="",$F1174=""),"",IF(OR($B1174="",$D1174="",$E1174=""),"待补",IF($D1174="公共区域","公",IF($D1174="商铺","S",SUBSTITUTE($D1174,"栋","")))&amp;"-"&amp;$E1174&amp;"-"&amp;TEXT(MONTH($B1174),"00")&amp;TEXT(DAY($B1174),"00")&amp;IF(ISNUMBER($O1174),IF($O1174&gt;1,"-"&amp;TEXT($O1174,"00"),""),"")))</f>
        <v/>
      </c>
      <c r="B1174" s="14"/>
      <c r="C1174" s="10"/>
      <c r="D1174" s="10"/>
      <c r="E1174" s="10"/>
      <c r="F1174" s="16"/>
      <c r="G1174" s="10"/>
      <c r="H1174" s="10"/>
      <c r="I1174" s="10"/>
      <c r="J1174" s="10"/>
      <c r="K1174" s="10"/>
      <c r="L1174" s="10"/>
      <c r="M1174" s="14"/>
      <c r="N1174" s="17" t="str">
        <f aca="false">IF($B1174="","",IF($L1174="已完成",IF($M1174="","",$M1174-$B1174),IF(设置!$B$6&lt;$B1174,"",IF((设置!$B$6-$B1174)&gt;=设置!$B$5,"超期"&amp;(设置!$B$6-$B1174)&amp;"天","已等"&amp;(设置!$B$6-$B1174)&amp;"天"))))</f>
        <v/>
      </c>
      <c r="O1174" s="18" t="str">
        <f aca="false">IF(OR($D1174="",$E1174=""),"",COUNTIFS($D$7:$D1174,$D1174,$E$7:$E1174,$E1174))</f>
        <v/>
      </c>
      <c r="P1174" s="16"/>
      <c r="Q1174" s="19"/>
      <c r="R1174" s="10"/>
      <c r="S1174" s="16"/>
      <c r="T1174" s="0" t="str">
        <f aca="false">IF(OR($D1174="",单元查询!$B$3=""),"",IF($D1174&lt;&gt;单元查询!$B$3,"",IF(OR(单元查询!$D$3="",$E1174&amp;""=单元查询!$D$3&amp;""),IF(ISNUMBER($B1174),$B1174*10000,0)+ROW(),"")))</f>
        <v/>
      </c>
      <c r="U1174" s="0" t="str">
        <f aca="false">IF(OR($B1174="",$L1174="已完成"),"",IF(ISNUMBER($B1174),IF(设置!$B$6&lt;$B1174,"",(设置!$B$6-$B1174)*100000+ROW()),""))</f>
        <v/>
      </c>
      <c r="V1174" s="0" t="str">
        <f aca="false">IF(ISNUMBER($O1174),IF($O1174&gt;=2,IF(COUNTIFS($D1174:$D$2006,$D1174,$E1174:$E$2006,$E1174)=1,ROW(),""),""),"")</f>
        <v/>
      </c>
    </row>
    <row r="1175" customFormat="false" ht="15" hidden="false" customHeight="true" outlineLevel="0" collapsed="false">
      <c r="A1175" s="13" t="str">
        <f aca="false">IF(AND($B1175="",$D1175="",$E1175="",$F1175=""),"",IF(OR($B1175="",$D1175="",$E1175=""),"待补",IF($D1175="公共区域","公",IF($D1175="商铺","S",SUBSTITUTE($D1175,"栋","")))&amp;"-"&amp;$E1175&amp;"-"&amp;TEXT(MONTH($B1175),"00")&amp;TEXT(DAY($B1175),"00")&amp;IF(ISNUMBER($O1175),IF($O1175&gt;1,"-"&amp;TEXT($O1175,"00"),""),"")))</f>
        <v/>
      </c>
      <c r="B1175" s="14"/>
      <c r="C1175" s="10"/>
      <c r="D1175" s="10"/>
      <c r="E1175" s="10"/>
      <c r="F1175" s="16"/>
      <c r="G1175" s="10"/>
      <c r="H1175" s="10"/>
      <c r="I1175" s="10"/>
      <c r="J1175" s="10"/>
      <c r="K1175" s="10"/>
      <c r="L1175" s="10"/>
      <c r="M1175" s="14"/>
      <c r="N1175" s="17" t="str">
        <f aca="false">IF($B1175="","",IF($L1175="已完成",IF($M1175="","",$M1175-$B1175),IF(设置!$B$6&lt;$B1175,"",IF((设置!$B$6-$B1175)&gt;=设置!$B$5,"超期"&amp;(设置!$B$6-$B1175)&amp;"天","已等"&amp;(设置!$B$6-$B1175)&amp;"天"))))</f>
        <v/>
      </c>
      <c r="O1175" s="18" t="str">
        <f aca="false">IF(OR($D1175="",$E1175=""),"",COUNTIFS($D$7:$D1175,$D1175,$E$7:$E1175,$E1175))</f>
        <v/>
      </c>
      <c r="P1175" s="16"/>
      <c r="Q1175" s="19"/>
      <c r="R1175" s="10"/>
      <c r="S1175" s="16"/>
      <c r="T1175" s="0" t="str">
        <f aca="false">IF(OR($D1175="",单元查询!$B$3=""),"",IF($D1175&lt;&gt;单元查询!$B$3,"",IF(OR(单元查询!$D$3="",$E1175&amp;""=单元查询!$D$3&amp;""),IF(ISNUMBER($B1175),$B1175*10000,0)+ROW(),"")))</f>
        <v/>
      </c>
      <c r="U1175" s="0" t="str">
        <f aca="false">IF(OR($B1175="",$L1175="已完成"),"",IF(ISNUMBER($B1175),IF(设置!$B$6&lt;$B1175,"",(设置!$B$6-$B1175)*100000+ROW()),""))</f>
        <v/>
      </c>
      <c r="V1175" s="0" t="str">
        <f aca="false">IF(ISNUMBER($O1175),IF($O1175&gt;=2,IF(COUNTIFS($D1175:$D$2006,$D1175,$E1175:$E$2006,$E1175)=1,ROW(),""),""),"")</f>
        <v/>
      </c>
    </row>
    <row r="1176" customFormat="false" ht="15" hidden="false" customHeight="true" outlineLevel="0" collapsed="false">
      <c r="A1176" s="13" t="str">
        <f aca="false">IF(AND($B1176="",$D1176="",$E1176="",$F1176=""),"",IF(OR($B1176="",$D1176="",$E1176=""),"待补",IF($D1176="公共区域","公",IF($D1176="商铺","S",SUBSTITUTE($D1176,"栋","")))&amp;"-"&amp;$E1176&amp;"-"&amp;TEXT(MONTH($B1176),"00")&amp;TEXT(DAY($B1176),"00")&amp;IF(ISNUMBER($O1176),IF($O1176&gt;1,"-"&amp;TEXT($O1176,"00"),""),"")))</f>
        <v/>
      </c>
      <c r="B1176" s="14"/>
      <c r="C1176" s="10"/>
      <c r="D1176" s="10"/>
      <c r="E1176" s="10"/>
      <c r="F1176" s="16"/>
      <c r="G1176" s="10"/>
      <c r="H1176" s="10"/>
      <c r="I1176" s="10"/>
      <c r="J1176" s="10"/>
      <c r="K1176" s="10"/>
      <c r="L1176" s="10"/>
      <c r="M1176" s="14"/>
      <c r="N1176" s="17" t="str">
        <f aca="false">IF($B1176="","",IF($L1176="已完成",IF($M1176="","",$M1176-$B1176),IF(设置!$B$6&lt;$B1176,"",IF((设置!$B$6-$B1176)&gt;=设置!$B$5,"超期"&amp;(设置!$B$6-$B1176)&amp;"天","已等"&amp;(设置!$B$6-$B1176)&amp;"天"))))</f>
        <v/>
      </c>
      <c r="O1176" s="18" t="str">
        <f aca="false">IF(OR($D1176="",$E1176=""),"",COUNTIFS($D$7:$D1176,$D1176,$E$7:$E1176,$E1176))</f>
        <v/>
      </c>
      <c r="P1176" s="16"/>
      <c r="Q1176" s="19"/>
      <c r="R1176" s="10"/>
      <c r="S1176" s="16"/>
      <c r="T1176" s="0" t="str">
        <f aca="false">IF(OR($D1176="",单元查询!$B$3=""),"",IF($D1176&lt;&gt;单元查询!$B$3,"",IF(OR(单元查询!$D$3="",$E1176&amp;""=单元查询!$D$3&amp;""),IF(ISNUMBER($B1176),$B1176*10000,0)+ROW(),"")))</f>
        <v/>
      </c>
      <c r="U1176" s="0" t="str">
        <f aca="false">IF(OR($B1176="",$L1176="已完成"),"",IF(ISNUMBER($B1176),IF(设置!$B$6&lt;$B1176,"",(设置!$B$6-$B1176)*100000+ROW()),""))</f>
        <v/>
      </c>
      <c r="V1176" s="0" t="str">
        <f aca="false">IF(ISNUMBER($O1176),IF($O1176&gt;=2,IF(COUNTIFS($D1176:$D$2006,$D1176,$E1176:$E$2006,$E1176)=1,ROW(),""),""),"")</f>
        <v/>
      </c>
    </row>
    <row r="1177" customFormat="false" ht="15" hidden="false" customHeight="true" outlineLevel="0" collapsed="false">
      <c r="A1177" s="13" t="str">
        <f aca="false">IF(AND($B1177="",$D1177="",$E1177="",$F1177=""),"",IF(OR($B1177="",$D1177="",$E1177=""),"待补",IF($D1177="公共区域","公",IF($D1177="商铺","S",SUBSTITUTE($D1177,"栋","")))&amp;"-"&amp;$E1177&amp;"-"&amp;TEXT(MONTH($B1177),"00")&amp;TEXT(DAY($B1177),"00")&amp;IF(ISNUMBER($O1177),IF($O1177&gt;1,"-"&amp;TEXT($O1177,"00"),""),"")))</f>
        <v/>
      </c>
      <c r="B1177" s="14"/>
      <c r="C1177" s="10"/>
      <c r="D1177" s="10"/>
      <c r="E1177" s="10"/>
      <c r="F1177" s="16"/>
      <c r="G1177" s="10"/>
      <c r="H1177" s="10"/>
      <c r="I1177" s="10"/>
      <c r="J1177" s="10"/>
      <c r="K1177" s="10"/>
      <c r="L1177" s="10"/>
      <c r="M1177" s="14"/>
      <c r="N1177" s="17" t="str">
        <f aca="false">IF($B1177="","",IF($L1177="已完成",IF($M1177="","",$M1177-$B1177),IF(设置!$B$6&lt;$B1177,"",IF((设置!$B$6-$B1177)&gt;=设置!$B$5,"超期"&amp;(设置!$B$6-$B1177)&amp;"天","已等"&amp;(设置!$B$6-$B1177)&amp;"天"))))</f>
        <v/>
      </c>
      <c r="O1177" s="18" t="str">
        <f aca="false">IF(OR($D1177="",$E1177=""),"",COUNTIFS($D$7:$D1177,$D1177,$E$7:$E1177,$E1177))</f>
        <v/>
      </c>
      <c r="P1177" s="16"/>
      <c r="Q1177" s="19"/>
      <c r="R1177" s="10"/>
      <c r="S1177" s="16"/>
      <c r="T1177" s="0" t="str">
        <f aca="false">IF(OR($D1177="",单元查询!$B$3=""),"",IF($D1177&lt;&gt;单元查询!$B$3,"",IF(OR(单元查询!$D$3="",$E1177&amp;""=单元查询!$D$3&amp;""),IF(ISNUMBER($B1177),$B1177*10000,0)+ROW(),"")))</f>
        <v/>
      </c>
      <c r="U1177" s="0" t="str">
        <f aca="false">IF(OR($B1177="",$L1177="已完成"),"",IF(ISNUMBER($B1177),IF(设置!$B$6&lt;$B1177,"",(设置!$B$6-$B1177)*100000+ROW()),""))</f>
        <v/>
      </c>
      <c r="V1177" s="0" t="str">
        <f aca="false">IF(ISNUMBER($O1177),IF($O1177&gt;=2,IF(COUNTIFS($D1177:$D$2006,$D1177,$E1177:$E$2006,$E1177)=1,ROW(),""),""),"")</f>
        <v/>
      </c>
    </row>
    <row r="1178" customFormat="false" ht="15" hidden="false" customHeight="true" outlineLevel="0" collapsed="false">
      <c r="A1178" s="13" t="str">
        <f aca="false">IF(AND($B1178="",$D1178="",$E1178="",$F1178=""),"",IF(OR($B1178="",$D1178="",$E1178=""),"待补",IF($D1178="公共区域","公",IF($D1178="商铺","S",SUBSTITUTE($D1178,"栋","")))&amp;"-"&amp;$E1178&amp;"-"&amp;TEXT(MONTH($B1178),"00")&amp;TEXT(DAY($B1178),"00")&amp;IF(ISNUMBER($O1178),IF($O1178&gt;1,"-"&amp;TEXT($O1178,"00"),""),"")))</f>
        <v/>
      </c>
      <c r="B1178" s="14"/>
      <c r="C1178" s="10"/>
      <c r="D1178" s="10"/>
      <c r="E1178" s="10"/>
      <c r="F1178" s="16"/>
      <c r="G1178" s="10"/>
      <c r="H1178" s="10"/>
      <c r="I1178" s="10"/>
      <c r="J1178" s="10"/>
      <c r="K1178" s="10"/>
      <c r="L1178" s="10"/>
      <c r="M1178" s="14"/>
      <c r="N1178" s="17" t="str">
        <f aca="false">IF($B1178="","",IF($L1178="已完成",IF($M1178="","",$M1178-$B1178),IF(设置!$B$6&lt;$B1178,"",IF((设置!$B$6-$B1178)&gt;=设置!$B$5,"超期"&amp;(设置!$B$6-$B1178)&amp;"天","已等"&amp;(设置!$B$6-$B1178)&amp;"天"))))</f>
        <v/>
      </c>
      <c r="O1178" s="18" t="str">
        <f aca="false">IF(OR($D1178="",$E1178=""),"",COUNTIFS($D$7:$D1178,$D1178,$E$7:$E1178,$E1178))</f>
        <v/>
      </c>
      <c r="P1178" s="16"/>
      <c r="Q1178" s="19"/>
      <c r="R1178" s="10"/>
      <c r="S1178" s="16"/>
      <c r="T1178" s="0" t="str">
        <f aca="false">IF(OR($D1178="",单元查询!$B$3=""),"",IF($D1178&lt;&gt;单元查询!$B$3,"",IF(OR(单元查询!$D$3="",$E1178&amp;""=单元查询!$D$3&amp;""),IF(ISNUMBER($B1178),$B1178*10000,0)+ROW(),"")))</f>
        <v/>
      </c>
      <c r="U1178" s="0" t="str">
        <f aca="false">IF(OR($B1178="",$L1178="已完成"),"",IF(ISNUMBER($B1178),IF(设置!$B$6&lt;$B1178,"",(设置!$B$6-$B1178)*100000+ROW()),""))</f>
        <v/>
      </c>
      <c r="V1178" s="0" t="str">
        <f aca="false">IF(ISNUMBER($O1178),IF($O1178&gt;=2,IF(COUNTIFS($D1178:$D$2006,$D1178,$E1178:$E$2006,$E1178)=1,ROW(),""),""),"")</f>
        <v/>
      </c>
    </row>
    <row r="1179" customFormat="false" ht="15" hidden="false" customHeight="true" outlineLevel="0" collapsed="false">
      <c r="A1179" s="13" t="str">
        <f aca="false">IF(AND($B1179="",$D1179="",$E1179="",$F1179=""),"",IF(OR($B1179="",$D1179="",$E1179=""),"待补",IF($D1179="公共区域","公",IF($D1179="商铺","S",SUBSTITUTE($D1179,"栋","")))&amp;"-"&amp;$E1179&amp;"-"&amp;TEXT(MONTH($B1179),"00")&amp;TEXT(DAY($B1179),"00")&amp;IF(ISNUMBER($O1179),IF($O1179&gt;1,"-"&amp;TEXT($O1179,"00"),""),"")))</f>
        <v/>
      </c>
      <c r="B1179" s="14"/>
      <c r="C1179" s="10"/>
      <c r="D1179" s="10"/>
      <c r="E1179" s="10"/>
      <c r="F1179" s="16"/>
      <c r="G1179" s="10"/>
      <c r="H1179" s="10"/>
      <c r="I1179" s="10"/>
      <c r="J1179" s="10"/>
      <c r="K1179" s="10"/>
      <c r="L1179" s="10"/>
      <c r="M1179" s="14"/>
      <c r="N1179" s="17" t="str">
        <f aca="false">IF($B1179="","",IF($L1179="已完成",IF($M1179="","",$M1179-$B1179),IF(设置!$B$6&lt;$B1179,"",IF((设置!$B$6-$B1179)&gt;=设置!$B$5,"超期"&amp;(设置!$B$6-$B1179)&amp;"天","已等"&amp;(设置!$B$6-$B1179)&amp;"天"))))</f>
        <v/>
      </c>
      <c r="O1179" s="18" t="str">
        <f aca="false">IF(OR($D1179="",$E1179=""),"",COUNTIFS($D$7:$D1179,$D1179,$E$7:$E1179,$E1179))</f>
        <v/>
      </c>
      <c r="P1179" s="16"/>
      <c r="Q1179" s="19"/>
      <c r="R1179" s="10"/>
      <c r="S1179" s="16"/>
      <c r="T1179" s="0" t="str">
        <f aca="false">IF(OR($D1179="",单元查询!$B$3=""),"",IF($D1179&lt;&gt;单元查询!$B$3,"",IF(OR(单元查询!$D$3="",$E1179&amp;""=单元查询!$D$3&amp;""),IF(ISNUMBER($B1179),$B1179*10000,0)+ROW(),"")))</f>
        <v/>
      </c>
      <c r="U1179" s="0" t="str">
        <f aca="false">IF(OR($B1179="",$L1179="已完成"),"",IF(ISNUMBER($B1179),IF(设置!$B$6&lt;$B1179,"",(设置!$B$6-$B1179)*100000+ROW()),""))</f>
        <v/>
      </c>
      <c r="V1179" s="0" t="str">
        <f aca="false">IF(ISNUMBER($O1179),IF($O1179&gt;=2,IF(COUNTIFS($D1179:$D$2006,$D1179,$E1179:$E$2006,$E1179)=1,ROW(),""),""),"")</f>
        <v/>
      </c>
    </row>
    <row r="1180" customFormat="false" ht="15" hidden="false" customHeight="true" outlineLevel="0" collapsed="false">
      <c r="A1180" s="13" t="str">
        <f aca="false">IF(AND($B1180="",$D1180="",$E1180="",$F1180=""),"",IF(OR($B1180="",$D1180="",$E1180=""),"待补",IF($D1180="公共区域","公",IF($D1180="商铺","S",SUBSTITUTE($D1180,"栋","")))&amp;"-"&amp;$E1180&amp;"-"&amp;TEXT(MONTH($B1180),"00")&amp;TEXT(DAY($B1180),"00")&amp;IF(ISNUMBER($O1180),IF($O1180&gt;1,"-"&amp;TEXT($O1180,"00"),""),"")))</f>
        <v/>
      </c>
      <c r="B1180" s="14"/>
      <c r="C1180" s="10"/>
      <c r="D1180" s="10"/>
      <c r="E1180" s="10"/>
      <c r="F1180" s="16"/>
      <c r="G1180" s="10"/>
      <c r="H1180" s="10"/>
      <c r="I1180" s="10"/>
      <c r="J1180" s="10"/>
      <c r="K1180" s="10"/>
      <c r="L1180" s="10"/>
      <c r="M1180" s="14"/>
      <c r="N1180" s="17" t="str">
        <f aca="false">IF($B1180="","",IF($L1180="已完成",IF($M1180="","",$M1180-$B1180),IF(设置!$B$6&lt;$B1180,"",IF((设置!$B$6-$B1180)&gt;=设置!$B$5,"超期"&amp;(设置!$B$6-$B1180)&amp;"天","已等"&amp;(设置!$B$6-$B1180)&amp;"天"))))</f>
        <v/>
      </c>
      <c r="O1180" s="18" t="str">
        <f aca="false">IF(OR($D1180="",$E1180=""),"",COUNTIFS($D$7:$D1180,$D1180,$E$7:$E1180,$E1180))</f>
        <v/>
      </c>
      <c r="P1180" s="16"/>
      <c r="Q1180" s="19"/>
      <c r="R1180" s="10"/>
      <c r="S1180" s="16"/>
      <c r="T1180" s="0" t="str">
        <f aca="false">IF(OR($D1180="",单元查询!$B$3=""),"",IF($D1180&lt;&gt;单元查询!$B$3,"",IF(OR(单元查询!$D$3="",$E1180&amp;""=单元查询!$D$3&amp;""),IF(ISNUMBER($B1180),$B1180*10000,0)+ROW(),"")))</f>
        <v/>
      </c>
      <c r="U1180" s="0" t="str">
        <f aca="false">IF(OR($B1180="",$L1180="已完成"),"",IF(ISNUMBER($B1180),IF(设置!$B$6&lt;$B1180,"",(设置!$B$6-$B1180)*100000+ROW()),""))</f>
        <v/>
      </c>
      <c r="V1180" s="0" t="str">
        <f aca="false">IF(ISNUMBER($O1180),IF($O1180&gt;=2,IF(COUNTIFS($D1180:$D$2006,$D1180,$E1180:$E$2006,$E1180)=1,ROW(),""),""),"")</f>
        <v/>
      </c>
    </row>
    <row r="1181" customFormat="false" ht="15" hidden="false" customHeight="true" outlineLevel="0" collapsed="false">
      <c r="A1181" s="13" t="str">
        <f aca="false">IF(AND($B1181="",$D1181="",$E1181="",$F1181=""),"",IF(OR($B1181="",$D1181="",$E1181=""),"待补",IF($D1181="公共区域","公",IF($D1181="商铺","S",SUBSTITUTE($D1181,"栋","")))&amp;"-"&amp;$E1181&amp;"-"&amp;TEXT(MONTH($B1181),"00")&amp;TEXT(DAY($B1181),"00")&amp;IF(ISNUMBER($O1181),IF($O1181&gt;1,"-"&amp;TEXT($O1181,"00"),""),"")))</f>
        <v/>
      </c>
      <c r="B1181" s="14"/>
      <c r="C1181" s="10"/>
      <c r="D1181" s="10"/>
      <c r="E1181" s="10"/>
      <c r="F1181" s="16"/>
      <c r="G1181" s="10"/>
      <c r="H1181" s="10"/>
      <c r="I1181" s="10"/>
      <c r="J1181" s="10"/>
      <c r="K1181" s="10"/>
      <c r="L1181" s="10"/>
      <c r="M1181" s="14"/>
      <c r="N1181" s="17" t="str">
        <f aca="false">IF($B1181="","",IF($L1181="已完成",IF($M1181="","",$M1181-$B1181),IF(设置!$B$6&lt;$B1181,"",IF((设置!$B$6-$B1181)&gt;=设置!$B$5,"超期"&amp;(设置!$B$6-$B1181)&amp;"天","已等"&amp;(设置!$B$6-$B1181)&amp;"天"))))</f>
        <v/>
      </c>
      <c r="O1181" s="18" t="str">
        <f aca="false">IF(OR($D1181="",$E1181=""),"",COUNTIFS($D$7:$D1181,$D1181,$E$7:$E1181,$E1181))</f>
        <v/>
      </c>
      <c r="P1181" s="16"/>
      <c r="Q1181" s="19"/>
      <c r="R1181" s="10"/>
      <c r="S1181" s="16"/>
      <c r="T1181" s="0" t="str">
        <f aca="false">IF(OR($D1181="",单元查询!$B$3=""),"",IF($D1181&lt;&gt;单元查询!$B$3,"",IF(OR(单元查询!$D$3="",$E1181&amp;""=单元查询!$D$3&amp;""),IF(ISNUMBER($B1181),$B1181*10000,0)+ROW(),"")))</f>
        <v/>
      </c>
      <c r="U1181" s="0" t="str">
        <f aca="false">IF(OR($B1181="",$L1181="已完成"),"",IF(ISNUMBER($B1181),IF(设置!$B$6&lt;$B1181,"",(设置!$B$6-$B1181)*100000+ROW()),""))</f>
        <v/>
      </c>
      <c r="V1181" s="0" t="str">
        <f aca="false">IF(ISNUMBER($O1181),IF($O1181&gt;=2,IF(COUNTIFS($D1181:$D$2006,$D1181,$E1181:$E$2006,$E1181)=1,ROW(),""),""),"")</f>
        <v/>
      </c>
    </row>
    <row r="1182" customFormat="false" ht="15" hidden="false" customHeight="true" outlineLevel="0" collapsed="false">
      <c r="A1182" s="13" t="str">
        <f aca="false">IF(AND($B1182="",$D1182="",$E1182="",$F1182=""),"",IF(OR($B1182="",$D1182="",$E1182=""),"待补",IF($D1182="公共区域","公",IF($D1182="商铺","S",SUBSTITUTE($D1182,"栋","")))&amp;"-"&amp;$E1182&amp;"-"&amp;TEXT(MONTH($B1182),"00")&amp;TEXT(DAY($B1182),"00")&amp;IF(ISNUMBER($O1182),IF($O1182&gt;1,"-"&amp;TEXT($O1182,"00"),""),"")))</f>
        <v/>
      </c>
      <c r="B1182" s="14"/>
      <c r="C1182" s="10"/>
      <c r="D1182" s="10"/>
      <c r="E1182" s="10"/>
      <c r="F1182" s="16"/>
      <c r="G1182" s="10"/>
      <c r="H1182" s="10"/>
      <c r="I1182" s="10"/>
      <c r="J1182" s="10"/>
      <c r="K1182" s="10"/>
      <c r="L1182" s="10"/>
      <c r="M1182" s="14"/>
      <c r="N1182" s="17" t="str">
        <f aca="false">IF($B1182="","",IF($L1182="已完成",IF($M1182="","",$M1182-$B1182),IF(设置!$B$6&lt;$B1182,"",IF((设置!$B$6-$B1182)&gt;=设置!$B$5,"超期"&amp;(设置!$B$6-$B1182)&amp;"天","已等"&amp;(设置!$B$6-$B1182)&amp;"天"))))</f>
        <v/>
      </c>
      <c r="O1182" s="18" t="str">
        <f aca="false">IF(OR($D1182="",$E1182=""),"",COUNTIFS($D$7:$D1182,$D1182,$E$7:$E1182,$E1182))</f>
        <v/>
      </c>
      <c r="P1182" s="16"/>
      <c r="Q1182" s="19"/>
      <c r="R1182" s="10"/>
      <c r="S1182" s="16"/>
      <c r="T1182" s="0" t="str">
        <f aca="false">IF(OR($D1182="",单元查询!$B$3=""),"",IF($D1182&lt;&gt;单元查询!$B$3,"",IF(OR(单元查询!$D$3="",$E1182&amp;""=单元查询!$D$3&amp;""),IF(ISNUMBER($B1182),$B1182*10000,0)+ROW(),"")))</f>
        <v/>
      </c>
      <c r="U1182" s="0" t="str">
        <f aca="false">IF(OR($B1182="",$L1182="已完成"),"",IF(ISNUMBER($B1182),IF(设置!$B$6&lt;$B1182,"",(设置!$B$6-$B1182)*100000+ROW()),""))</f>
        <v/>
      </c>
      <c r="V1182" s="0" t="str">
        <f aca="false">IF(ISNUMBER($O1182),IF($O1182&gt;=2,IF(COUNTIFS($D1182:$D$2006,$D1182,$E1182:$E$2006,$E1182)=1,ROW(),""),""),"")</f>
        <v/>
      </c>
    </row>
    <row r="1183" customFormat="false" ht="15" hidden="false" customHeight="true" outlineLevel="0" collapsed="false">
      <c r="A1183" s="13" t="str">
        <f aca="false">IF(AND($B1183="",$D1183="",$E1183="",$F1183=""),"",IF(OR($B1183="",$D1183="",$E1183=""),"待补",IF($D1183="公共区域","公",IF($D1183="商铺","S",SUBSTITUTE($D1183,"栋","")))&amp;"-"&amp;$E1183&amp;"-"&amp;TEXT(MONTH($B1183),"00")&amp;TEXT(DAY($B1183),"00")&amp;IF(ISNUMBER($O1183),IF($O1183&gt;1,"-"&amp;TEXT($O1183,"00"),""),"")))</f>
        <v/>
      </c>
      <c r="B1183" s="14"/>
      <c r="C1183" s="10"/>
      <c r="D1183" s="10"/>
      <c r="E1183" s="10"/>
      <c r="F1183" s="16"/>
      <c r="G1183" s="10"/>
      <c r="H1183" s="10"/>
      <c r="I1183" s="10"/>
      <c r="J1183" s="10"/>
      <c r="K1183" s="10"/>
      <c r="L1183" s="10"/>
      <c r="M1183" s="14"/>
      <c r="N1183" s="17" t="str">
        <f aca="false">IF($B1183="","",IF($L1183="已完成",IF($M1183="","",$M1183-$B1183),IF(设置!$B$6&lt;$B1183,"",IF((设置!$B$6-$B1183)&gt;=设置!$B$5,"超期"&amp;(设置!$B$6-$B1183)&amp;"天","已等"&amp;(设置!$B$6-$B1183)&amp;"天"))))</f>
        <v/>
      </c>
      <c r="O1183" s="18" t="str">
        <f aca="false">IF(OR($D1183="",$E1183=""),"",COUNTIFS($D$7:$D1183,$D1183,$E$7:$E1183,$E1183))</f>
        <v/>
      </c>
      <c r="P1183" s="16"/>
      <c r="Q1183" s="19"/>
      <c r="R1183" s="10"/>
      <c r="S1183" s="16"/>
      <c r="T1183" s="0" t="str">
        <f aca="false">IF(OR($D1183="",单元查询!$B$3=""),"",IF($D1183&lt;&gt;单元查询!$B$3,"",IF(OR(单元查询!$D$3="",$E1183&amp;""=单元查询!$D$3&amp;""),IF(ISNUMBER($B1183),$B1183*10000,0)+ROW(),"")))</f>
        <v/>
      </c>
      <c r="U1183" s="0" t="str">
        <f aca="false">IF(OR($B1183="",$L1183="已完成"),"",IF(ISNUMBER($B1183),IF(设置!$B$6&lt;$B1183,"",(设置!$B$6-$B1183)*100000+ROW()),""))</f>
        <v/>
      </c>
      <c r="V1183" s="0" t="str">
        <f aca="false">IF(ISNUMBER($O1183),IF($O1183&gt;=2,IF(COUNTIFS($D1183:$D$2006,$D1183,$E1183:$E$2006,$E1183)=1,ROW(),""),""),"")</f>
        <v/>
      </c>
    </row>
    <row r="1184" customFormat="false" ht="15" hidden="false" customHeight="true" outlineLevel="0" collapsed="false">
      <c r="A1184" s="13" t="str">
        <f aca="false">IF(AND($B1184="",$D1184="",$E1184="",$F1184=""),"",IF(OR($B1184="",$D1184="",$E1184=""),"待补",IF($D1184="公共区域","公",IF($D1184="商铺","S",SUBSTITUTE($D1184,"栋","")))&amp;"-"&amp;$E1184&amp;"-"&amp;TEXT(MONTH($B1184),"00")&amp;TEXT(DAY($B1184),"00")&amp;IF(ISNUMBER($O1184),IF($O1184&gt;1,"-"&amp;TEXT($O1184,"00"),""),"")))</f>
        <v/>
      </c>
      <c r="B1184" s="14"/>
      <c r="C1184" s="10"/>
      <c r="D1184" s="10"/>
      <c r="E1184" s="10"/>
      <c r="F1184" s="16"/>
      <c r="G1184" s="10"/>
      <c r="H1184" s="10"/>
      <c r="I1184" s="10"/>
      <c r="J1184" s="10"/>
      <c r="K1184" s="10"/>
      <c r="L1184" s="10"/>
      <c r="M1184" s="14"/>
      <c r="N1184" s="17" t="str">
        <f aca="false">IF($B1184="","",IF($L1184="已完成",IF($M1184="","",$M1184-$B1184),IF(设置!$B$6&lt;$B1184,"",IF((设置!$B$6-$B1184)&gt;=设置!$B$5,"超期"&amp;(设置!$B$6-$B1184)&amp;"天","已等"&amp;(设置!$B$6-$B1184)&amp;"天"))))</f>
        <v/>
      </c>
      <c r="O1184" s="18" t="str">
        <f aca="false">IF(OR($D1184="",$E1184=""),"",COUNTIFS($D$7:$D1184,$D1184,$E$7:$E1184,$E1184))</f>
        <v/>
      </c>
      <c r="P1184" s="16"/>
      <c r="Q1184" s="19"/>
      <c r="R1184" s="10"/>
      <c r="S1184" s="16"/>
      <c r="T1184" s="0" t="str">
        <f aca="false">IF(OR($D1184="",单元查询!$B$3=""),"",IF($D1184&lt;&gt;单元查询!$B$3,"",IF(OR(单元查询!$D$3="",$E1184&amp;""=单元查询!$D$3&amp;""),IF(ISNUMBER($B1184),$B1184*10000,0)+ROW(),"")))</f>
        <v/>
      </c>
      <c r="U1184" s="0" t="str">
        <f aca="false">IF(OR($B1184="",$L1184="已完成"),"",IF(ISNUMBER($B1184),IF(设置!$B$6&lt;$B1184,"",(设置!$B$6-$B1184)*100000+ROW()),""))</f>
        <v/>
      </c>
      <c r="V1184" s="0" t="str">
        <f aca="false">IF(ISNUMBER($O1184),IF($O1184&gt;=2,IF(COUNTIFS($D1184:$D$2006,$D1184,$E1184:$E$2006,$E1184)=1,ROW(),""),""),"")</f>
        <v/>
      </c>
    </row>
    <row r="1185" customFormat="false" ht="15" hidden="false" customHeight="true" outlineLevel="0" collapsed="false">
      <c r="A1185" s="13" t="str">
        <f aca="false">IF(AND($B1185="",$D1185="",$E1185="",$F1185=""),"",IF(OR($B1185="",$D1185="",$E1185=""),"待补",IF($D1185="公共区域","公",IF($D1185="商铺","S",SUBSTITUTE($D1185,"栋","")))&amp;"-"&amp;$E1185&amp;"-"&amp;TEXT(MONTH($B1185),"00")&amp;TEXT(DAY($B1185),"00")&amp;IF(ISNUMBER($O1185),IF($O1185&gt;1,"-"&amp;TEXT($O1185,"00"),""),"")))</f>
        <v/>
      </c>
      <c r="B1185" s="14"/>
      <c r="C1185" s="10"/>
      <c r="D1185" s="10"/>
      <c r="E1185" s="10"/>
      <c r="F1185" s="16"/>
      <c r="G1185" s="10"/>
      <c r="H1185" s="10"/>
      <c r="I1185" s="10"/>
      <c r="J1185" s="10"/>
      <c r="K1185" s="10"/>
      <c r="L1185" s="10"/>
      <c r="M1185" s="14"/>
      <c r="N1185" s="17" t="str">
        <f aca="false">IF($B1185="","",IF($L1185="已完成",IF($M1185="","",$M1185-$B1185),IF(设置!$B$6&lt;$B1185,"",IF((设置!$B$6-$B1185)&gt;=设置!$B$5,"超期"&amp;(设置!$B$6-$B1185)&amp;"天","已等"&amp;(设置!$B$6-$B1185)&amp;"天"))))</f>
        <v/>
      </c>
      <c r="O1185" s="18" t="str">
        <f aca="false">IF(OR($D1185="",$E1185=""),"",COUNTIFS($D$7:$D1185,$D1185,$E$7:$E1185,$E1185))</f>
        <v/>
      </c>
      <c r="P1185" s="16"/>
      <c r="Q1185" s="19"/>
      <c r="R1185" s="10"/>
      <c r="S1185" s="16"/>
      <c r="T1185" s="0" t="str">
        <f aca="false">IF(OR($D1185="",单元查询!$B$3=""),"",IF($D1185&lt;&gt;单元查询!$B$3,"",IF(OR(单元查询!$D$3="",$E1185&amp;""=单元查询!$D$3&amp;""),IF(ISNUMBER($B1185),$B1185*10000,0)+ROW(),"")))</f>
        <v/>
      </c>
      <c r="U1185" s="0" t="str">
        <f aca="false">IF(OR($B1185="",$L1185="已完成"),"",IF(ISNUMBER($B1185),IF(设置!$B$6&lt;$B1185,"",(设置!$B$6-$B1185)*100000+ROW()),""))</f>
        <v/>
      </c>
      <c r="V1185" s="0" t="str">
        <f aca="false">IF(ISNUMBER($O1185),IF($O1185&gt;=2,IF(COUNTIFS($D1185:$D$2006,$D1185,$E1185:$E$2006,$E1185)=1,ROW(),""),""),"")</f>
        <v/>
      </c>
    </row>
    <row r="1186" customFormat="false" ht="15" hidden="false" customHeight="true" outlineLevel="0" collapsed="false">
      <c r="A1186" s="13" t="str">
        <f aca="false">IF(AND($B1186="",$D1186="",$E1186="",$F1186=""),"",IF(OR($B1186="",$D1186="",$E1186=""),"待补",IF($D1186="公共区域","公",IF($D1186="商铺","S",SUBSTITUTE($D1186,"栋","")))&amp;"-"&amp;$E1186&amp;"-"&amp;TEXT(MONTH($B1186),"00")&amp;TEXT(DAY($B1186),"00")&amp;IF(ISNUMBER($O1186),IF($O1186&gt;1,"-"&amp;TEXT($O1186,"00"),""),"")))</f>
        <v/>
      </c>
      <c r="B1186" s="14"/>
      <c r="C1186" s="10"/>
      <c r="D1186" s="10"/>
      <c r="E1186" s="10"/>
      <c r="F1186" s="16"/>
      <c r="G1186" s="10"/>
      <c r="H1186" s="10"/>
      <c r="I1186" s="10"/>
      <c r="J1186" s="10"/>
      <c r="K1186" s="10"/>
      <c r="L1186" s="10"/>
      <c r="M1186" s="14"/>
      <c r="N1186" s="17" t="str">
        <f aca="false">IF($B1186="","",IF($L1186="已完成",IF($M1186="","",$M1186-$B1186),IF(设置!$B$6&lt;$B1186,"",IF((设置!$B$6-$B1186)&gt;=设置!$B$5,"超期"&amp;(设置!$B$6-$B1186)&amp;"天","已等"&amp;(设置!$B$6-$B1186)&amp;"天"))))</f>
        <v/>
      </c>
      <c r="O1186" s="18" t="str">
        <f aca="false">IF(OR($D1186="",$E1186=""),"",COUNTIFS($D$7:$D1186,$D1186,$E$7:$E1186,$E1186))</f>
        <v/>
      </c>
      <c r="P1186" s="16"/>
      <c r="Q1186" s="19"/>
      <c r="R1186" s="10"/>
      <c r="S1186" s="16"/>
      <c r="T1186" s="0" t="str">
        <f aca="false">IF(OR($D1186="",单元查询!$B$3=""),"",IF($D1186&lt;&gt;单元查询!$B$3,"",IF(OR(单元查询!$D$3="",$E1186&amp;""=单元查询!$D$3&amp;""),IF(ISNUMBER($B1186),$B1186*10000,0)+ROW(),"")))</f>
        <v/>
      </c>
      <c r="U1186" s="0" t="str">
        <f aca="false">IF(OR($B1186="",$L1186="已完成"),"",IF(ISNUMBER($B1186),IF(设置!$B$6&lt;$B1186,"",(设置!$B$6-$B1186)*100000+ROW()),""))</f>
        <v/>
      </c>
      <c r="V1186" s="0" t="str">
        <f aca="false">IF(ISNUMBER($O1186),IF($O1186&gt;=2,IF(COUNTIFS($D1186:$D$2006,$D1186,$E1186:$E$2006,$E1186)=1,ROW(),""),""),"")</f>
        <v/>
      </c>
    </row>
    <row r="1187" customFormat="false" ht="15" hidden="false" customHeight="true" outlineLevel="0" collapsed="false">
      <c r="A1187" s="13" t="str">
        <f aca="false">IF(AND($B1187="",$D1187="",$E1187="",$F1187=""),"",IF(OR($B1187="",$D1187="",$E1187=""),"待补",IF($D1187="公共区域","公",IF($D1187="商铺","S",SUBSTITUTE($D1187,"栋","")))&amp;"-"&amp;$E1187&amp;"-"&amp;TEXT(MONTH($B1187),"00")&amp;TEXT(DAY($B1187),"00")&amp;IF(ISNUMBER($O1187),IF($O1187&gt;1,"-"&amp;TEXT($O1187,"00"),""),"")))</f>
        <v/>
      </c>
      <c r="B1187" s="14"/>
      <c r="C1187" s="10"/>
      <c r="D1187" s="10"/>
      <c r="E1187" s="10"/>
      <c r="F1187" s="16"/>
      <c r="G1187" s="10"/>
      <c r="H1187" s="10"/>
      <c r="I1187" s="10"/>
      <c r="J1187" s="10"/>
      <c r="K1187" s="10"/>
      <c r="L1187" s="10"/>
      <c r="M1187" s="14"/>
      <c r="N1187" s="17" t="str">
        <f aca="false">IF($B1187="","",IF($L1187="已完成",IF($M1187="","",$M1187-$B1187),IF(设置!$B$6&lt;$B1187,"",IF((设置!$B$6-$B1187)&gt;=设置!$B$5,"超期"&amp;(设置!$B$6-$B1187)&amp;"天","已等"&amp;(设置!$B$6-$B1187)&amp;"天"))))</f>
        <v/>
      </c>
      <c r="O1187" s="18" t="str">
        <f aca="false">IF(OR($D1187="",$E1187=""),"",COUNTIFS($D$7:$D1187,$D1187,$E$7:$E1187,$E1187))</f>
        <v/>
      </c>
      <c r="P1187" s="16"/>
      <c r="Q1187" s="19"/>
      <c r="R1187" s="10"/>
      <c r="S1187" s="16"/>
      <c r="T1187" s="0" t="str">
        <f aca="false">IF(OR($D1187="",单元查询!$B$3=""),"",IF($D1187&lt;&gt;单元查询!$B$3,"",IF(OR(单元查询!$D$3="",$E1187&amp;""=单元查询!$D$3&amp;""),IF(ISNUMBER($B1187),$B1187*10000,0)+ROW(),"")))</f>
        <v/>
      </c>
      <c r="U1187" s="0" t="str">
        <f aca="false">IF(OR($B1187="",$L1187="已完成"),"",IF(ISNUMBER($B1187),IF(设置!$B$6&lt;$B1187,"",(设置!$B$6-$B1187)*100000+ROW()),""))</f>
        <v/>
      </c>
      <c r="V1187" s="0" t="str">
        <f aca="false">IF(ISNUMBER($O1187),IF($O1187&gt;=2,IF(COUNTIFS($D1187:$D$2006,$D1187,$E1187:$E$2006,$E1187)=1,ROW(),""),""),"")</f>
        <v/>
      </c>
    </row>
    <row r="1188" customFormat="false" ht="15" hidden="false" customHeight="true" outlineLevel="0" collapsed="false">
      <c r="A1188" s="13" t="str">
        <f aca="false">IF(AND($B1188="",$D1188="",$E1188="",$F1188=""),"",IF(OR($B1188="",$D1188="",$E1188=""),"待补",IF($D1188="公共区域","公",IF($D1188="商铺","S",SUBSTITUTE($D1188,"栋","")))&amp;"-"&amp;$E1188&amp;"-"&amp;TEXT(MONTH($B1188),"00")&amp;TEXT(DAY($B1188),"00")&amp;IF(ISNUMBER($O1188),IF($O1188&gt;1,"-"&amp;TEXT($O1188,"00"),""),"")))</f>
        <v/>
      </c>
      <c r="B1188" s="14"/>
      <c r="C1188" s="10"/>
      <c r="D1188" s="10"/>
      <c r="E1188" s="10"/>
      <c r="F1188" s="16"/>
      <c r="G1188" s="10"/>
      <c r="H1188" s="10"/>
      <c r="I1188" s="10"/>
      <c r="J1188" s="10"/>
      <c r="K1188" s="10"/>
      <c r="L1188" s="10"/>
      <c r="M1188" s="14"/>
      <c r="N1188" s="17" t="str">
        <f aca="false">IF($B1188="","",IF($L1188="已完成",IF($M1188="","",$M1188-$B1188),IF(设置!$B$6&lt;$B1188,"",IF((设置!$B$6-$B1188)&gt;=设置!$B$5,"超期"&amp;(设置!$B$6-$B1188)&amp;"天","已等"&amp;(设置!$B$6-$B1188)&amp;"天"))))</f>
        <v/>
      </c>
      <c r="O1188" s="18" t="str">
        <f aca="false">IF(OR($D1188="",$E1188=""),"",COUNTIFS($D$7:$D1188,$D1188,$E$7:$E1188,$E1188))</f>
        <v/>
      </c>
      <c r="P1188" s="16"/>
      <c r="Q1188" s="19"/>
      <c r="R1188" s="10"/>
      <c r="S1188" s="16"/>
      <c r="T1188" s="0" t="str">
        <f aca="false">IF(OR($D1188="",单元查询!$B$3=""),"",IF($D1188&lt;&gt;单元查询!$B$3,"",IF(OR(单元查询!$D$3="",$E1188&amp;""=单元查询!$D$3&amp;""),IF(ISNUMBER($B1188),$B1188*10000,0)+ROW(),"")))</f>
        <v/>
      </c>
      <c r="U1188" s="0" t="str">
        <f aca="false">IF(OR($B1188="",$L1188="已完成"),"",IF(ISNUMBER($B1188),IF(设置!$B$6&lt;$B1188,"",(设置!$B$6-$B1188)*100000+ROW()),""))</f>
        <v/>
      </c>
      <c r="V1188" s="0" t="str">
        <f aca="false">IF(ISNUMBER($O1188),IF($O1188&gt;=2,IF(COUNTIFS($D1188:$D$2006,$D1188,$E1188:$E$2006,$E1188)=1,ROW(),""),""),"")</f>
        <v/>
      </c>
    </row>
    <row r="1189" customFormat="false" ht="15" hidden="false" customHeight="true" outlineLevel="0" collapsed="false">
      <c r="A1189" s="13" t="str">
        <f aca="false">IF(AND($B1189="",$D1189="",$E1189="",$F1189=""),"",IF(OR($B1189="",$D1189="",$E1189=""),"待补",IF($D1189="公共区域","公",IF($D1189="商铺","S",SUBSTITUTE($D1189,"栋","")))&amp;"-"&amp;$E1189&amp;"-"&amp;TEXT(MONTH($B1189),"00")&amp;TEXT(DAY($B1189),"00")&amp;IF(ISNUMBER($O1189),IF($O1189&gt;1,"-"&amp;TEXT($O1189,"00"),""),"")))</f>
        <v/>
      </c>
      <c r="B1189" s="14"/>
      <c r="C1189" s="10"/>
      <c r="D1189" s="10"/>
      <c r="E1189" s="10"/>
      <c r="F1189" s="16"/>
      <c r="G1189" s="10"/>
      <c r="H1189" s="10"/>
      <c r="I1189" s="10"/>
      <c r="J1189" s="10"/>
      <c r="K1189" s="10"/>
      <c r="L1189" s="10"/>
      <c r="M1189" s="14"/>
      <c r="N1189" s="17" t="str">
        <f aca="false">IF($B1189="","",IF($L1189="已完成",IF($M1189="","",$M1189-$B1189),IF(设置!$B$6&lt;$B1189,"",IF((设置!$B$6-$B1189)&gt;=设置!$B$5,"超期"&amp;(设置!$B$6-$B1189)&amp;"天","已等"&amp;(设置!$B$6-$B1189)&amp;"天"))))</f>
        <v/>
      </c>
      <c r="O1189" s="18" t="str">
        <f aca="false">IF(OR($D1189="",$E1189=""),"",COUNTIFS($D$7:$D1189,$D1189,$E$7:$E1189,$E1189))</f>
        <v/>
      </c>
      <c r="P1189" s="16"/>
      <c r="Q1189" s="19"/>
      <c r="R1189" s="10"/>
      <c r="S1189" s="16"/>
      <c r="T1189" s="0" t="str">
        <f aca="false">IF(OR($D1189="",单元查询!$B$3=""),"",IF($D1189&lt;&gt;单元查询!$B$3,"",IF(OR(单元查询!$D$3="",$E1189&amp;""=单元查询!$D$3&amp;""),IF(ISNUMBER($B1189),$B1189*10000,0)+ROW(),"")))</f>
        <v/>
      </c>
      <c r="U1189" s="0" t="str">
        <f aca="false">IF(OR($B1189="",$L1189="已完成"),"",IF(ISNUMBER($B1189),IF(设置!$B$6&lt;$B1189,"",(设置!$B$6-$B1189)*100000+ROW()),""))</f>
        <v/>
      </c>
      <c r="V1189" s="0" t="str">
        <f aca="false">IF(ISNUMBER($O1189),IF($O1189&gt;=2,IF(COUNTIFS($D1189:$D$2006,$D1189,$E1189:$E$2006,$E1189)=1,ROW(),""),""),"")</f>
        <v/>
      </c>
    </row>
    <row r="1190" customFormat="false" ht="15" hidden="false" customHeight="true" outlineLevel="0" collapsed="false">
      <c r="A1190" s="13" t="str">
        <f aca="false">IF(AND($B1190="",$D1190="",$E1190="",$F1190=""),"",IF(OR($B1190="",$D1190="",$E1190=""),"待补",IF($D1190="公共区域","公",IF($D1190="商铺","S",SUBSTITUTE($D1190,"栋","")))&amp;"-"&amp;$E1190&amp;"-"&amp;TEXT(MONTH($B1190),"00")&amp;TEXT(DAY($B1190),"00")&amp;IF(ISNUMBER($O1190),IF($O1190&gt;1,"-"&amp;TEXT($O1190,"00"),""),"")))</f>
        <v/>
      </c>
      <c r="B1190" s="14"/>
      <c r="C1190" s="10"/>
      <c r="D1190" s="10"/>
      <c r="E1190" s="10"/>
      <c r="F1190" s="16"/>
      <c r="G1190" s="10"/>
      <c r="H1190" s="10"/>
      <c r="I1190" s="10"/>
      <c r="J1190" s="10"/>
      <c r="K1190" s="10"/>
      <c r="L1190" s="10"/>
      <c r="M1190" s="14"/>
      <c r="N1190" s="17" t="str">
        <f aca="false">IF($B1190="","",IF($L1190="已完成",IF($M1190="","",$M1190-$B1190),IF(设置!$B$6&lt;$B1190,"",IF((设置!$B$6-$B1190)&gt;=设置!$B$5,"超期"&amp;(设置!$B$6-$B1190)&amp;"天","已等"&amp;(设置!$B$6-$B1190)&amp;"天"))))</f>
        <v/>
      </c>
      <c r="O1190" s="18" t="str">
        <f aca="false">IF(OR($D1190="",$E1190=""),"",COUNTIFS($D$7:$D1190,$D1190,$E$7:$E1190,$E1190))</f>
        <v/>
      </c>
      <c r="P1190" s="16"/>
      <c r="Q1190" s="19"/>
      <c r="R1190" s="10"/>
      <c r="S1190" s="16"/>
      <c r="T1190" s="0" t="str">
        <f aca="false">IF(OR($D1190="",单元查询!$B$3=""),"",IF($D1190&lt;&gt;单元查询!$B$3,"",IF(OR(单元查询!$D$3="",$E1190&amp;""=单元查询!$D$3&amp;""),IF(ISNUMBER($B1190),$B1190*10000,0)+ROW(),"")))</f>
        <v/>
      </c>
      <c r="U1190" s="0" t="str">
        <f aca="false">IF(OR($B1190="",$L1190="已完成"),"",IF(ISNUMBER($B1190),IF(设置!$B$6&lt;$B1190,"",(设置!$B$6-$B1190)*100000+ROW()),""))</f>
        <v/>
      </c>
      <c r="V1190" s="0" t="str">
        <f aca="false">IF(ISNUMBER($O1190),IF($O1190&gt;=2,IF(COUNTIFS($D1190:$D$2006,$D1190,$E1190:$E$2006,$E1190)=1,ROW(),""),""),"")</f>
        <v/>
      </c>
    </row>
    <row r="1191" customFormat="false" ht="15" hidden="false" customHeight="true" outlineLevel="0" collapsed="false">
      <c r="A1191" s="13" t="str">
        <f aca="false">IF(AND($B1191="",$D1191="",$E1191="",$F1191=""),"",IF(OR($B1191="",$D1191="",$E1191=""),"待补",IF($D1191="公共区域","公",IF($D1191="商铺","S",SUBSTITUTE($D1191,"栋","")))&amp;"-"&amp;$E1191&amp;"-"&amp;TEXT(MONTH($B1191),"00")&amp;TEXT(DAY($B1191),"00")&amp;IF(ISNUMBER($O1191),IF($O1191&gt;1,"-"&amp;TEXT($O1191,"00"),""),"")))</f>
        <v/>
      </c>
      <c r="B1191" s="14"/>
      <c r="C1191" s="10"/>
      <c r="D1191" s="10"/>
      <c r="E1191" s="10"/>
      <c r="F1191" s="16"/>
      <c r="G1191" s="10"/>
      <c r="H1191" s="10"/>
      <c r="I1191" s="10"/>
      <c r="J1191" s="10"/>
      <c r="K1191" s="10"/>
      <c r="L1191" s="10"/>
      <c r="M1191" s="14"/>
      <c r="N1191" s="17" t="str">
        <f aca="false">IF($B1191="","",IF($L1191="已完成",IF($M1191="","",$M1191-$B1191),IF(设置!$B$6&lt;$B1191,"",IF((设置!$B$6-$B1191)&gt;=设置!$B$5,"超期"&amp;(设置!$B$6-$B1191)&amp;"天","已等"&amp;(设置!$B$6-$B1191)&amp;"天"))))</f>
        <v/>
      </c>
      <c r="O1191" s="18" t="str">
        <f aca="false">IF(OR($D1191="",$E1191=""),"",COUNTIFS($D$7:$D1191,$D1191,$E$7:$E1191,$E1191))</f>
        <v/>
      </c>
      <c r="P1191" s="16"/>
      <c r="Q1191" s="19"/>
      <c r="R1191" s="10"/>
      <c r="S1191" s="16"/>
      <c r="T1191" s="0" t="str">
        <f aca="false">IF(OR($D1191="",单元查询!$B$3=""),"",IF($D1191&lt;&gt;单元查询!$B$3,"",IF(OR(单元查询!$D$3="",$E1191&amp;""=单元查询!$D$3&amp;""),IF(ISNUMBER($B1191),$B1191*10000,0)+ROW(),"")))</f>
        <v/>
      </c>
      <c r="U1191" s="0" t="str">
        <f aca="false">IF(OR($B1191="",$L1191="已完成"),"",IF(ISNUMBER($B1191),IF(设置!$B$6&lt;$B1191,"",(设置!$B$6-$B1191)*100000+ROW()),""))</f>
        <v/>
      </c>
      <c r="V1191" s="0" t="str">
        <f aca="false">IF(ISNUMBER($O1191),IF($O1191&gt;=2,IF(COUNTIFS($D1191:$D$2006,$D1191,$E1191:$E$2006,$E1191)=1,ROW(),""),""),"")</f>
        <v/>
      </c>
    </row>
    <row r="1192" customFormat="false" ht="15" hidden="false" customHeight="true" outlineLevel="0" collapsed="false">
      <c r="A1192" s="13" t="str">
        <f aca="false">IF(AND($B1192="",$D1192="",$E1192="",$F1192=""),"",IF(OR($B1192="",$D1192="",$E1192=""),"待补",IF($D1192="公共区域","公",IF($D1192="商铺","S",SUBSTITUTE($D1192,"栋","")))&amp;"-"&amp;$E1192&amp;"-"&amp;TEXT(MONTH($B1192),"00")&amp;TEXT(DAY($B1192),"00")&amp;IF(ISNUMBER($O1192),IF($O1192&gt;1,"-"&amp;TEXT($O1192,"00"),""),"")))</f>
        <v/>
      </c>
      <c r="B1192" s="14"/>
      <c r="C1192" s="10"/>
      <c r="D1192" s="10"/>
      <c r="E1192" s="10"/>
      <c r="F1192" s="16"/>
      <c r="G1192" s="10"/>
      <c r="H1192" s="10"/>
      <c r="I1192" s="10"/>
      <c r="J1192" s="10"/>
      <c r="K1192" s="10"/>
      <c r="L1192" s="10"/>
      <c r="M1192" s="14"/>
      <c r="N1192" s="17" t="str">
        <f aca="false">IF($B1192="","",IF($L1192="已完成",IF($M1192="","",$M1192-$B1192),IF(设置!$B$6&lt;$B1192,"",IF((设置!$B$6-$B1192)&gt;=设置!$B$5,"超期"&amp;(设置!$B$6-$B1192)&amp;"天","已等"&amp;(设置!$B$6-$B1192)&amp;"天"))))</f>
        <v/>
      </c>
      <c r="O1192" s="18" t="str">
        <f aca="false">IF(OR($D1192="",$E1192=""),"",COUNTIFS($D$7:$D1192,$D1192,$E$7:$E1192,$E1192))</f>
        <v/>
      </c>
      <c r="P1192" s="16"/>
      <c r="Q1192" s="19"/>
      <c r="R1192" s="10"/>
      <c r="S1192" s="16"/>
      <c r="T1192" s="0" t="str">
        <f aca="false">IF(OR($D1192="",单元查询!$B$3=""),"",IF($D1192&lt;&gt;单元查询!$B$3,"",IF(OR(单元查询!$D$3="",$E1192&amp;""=单元查询!$D$3&amp;""),IF(ISNUMBER($B1192),$B1192*10000,0)+ROW(),"")))</f>
        <v/>
      </c>
      <c r="U1192" s="0" t="str">
        <f aca="false">IF(OR($B1192="",$L1192="已完成"),"",IF(ISNUMBER($B1192),IF(设置!$B$6&lt;$B1192,"",(设置!$B$6-$B1192)*100000+ROW()),""))</f>
        <v/>
      </c>
      <c r="V1192" s="0" t="str">
        <f aca="false">IF(ISNUMBER($O1192),IF($O1192&gt;=2,IF(COUNTIFS($D1192:$D$2006,$D1192,$E1192:$E$2006,$E1192)=1,ROW(),""),""),"")</f>
        <v/>
      </c>
    </row>
    <row r="1193" customFormat="false" ht="15" hidden="false" customHeight="true" outlineLevel="0" collapsed="false">
      <c r="A1193" s="13" t="str">
        <f aca="false">IF(AND($B1193="",$D1193="",$E1193="",$F1193=""),"",IF(OR($B1193="",$D1193="",$E1193=""),"待补",IF($D1193="公共区域","公",IF($D1193="商铺","S",SUBSTITUTE($D1193,"栋","")))&amp;"-"&amp;$E1193&amp;"-"&amp;TEXT(MONTH($B1193),"00")&amp;TEXT(DAY($B1193),"00")&amp;IF(ISNUMBER($O1193),IF($O1193&gt;1,"-"&amp;TEXT($O1193,"00"),""),"")))</f>
        <v/>
      </c>
      <c r="B1193" s="14"/>
      <c r="C1193" s="10"/>
      <c r="D1193" s="10"/>
      <c r="E1193" s="10"/>
      <c r="F1193" s="16"/>
      <c r="G1193" s="10"/>
      <c r="H1193" s="10"/>
      <c r="I1193" s="10"/>
      <c r="J1193" s="10"/>
      <c r="K1193" s="10"/>
      <c r="L1193" s="10"/>
      <c r="M1193" s="14"/>
      <c r="N1193" s="17" t="str">
        <f aca="false">IF($B1193="","",IF($L1193="已完成",IF($M1193="","",$M1193-$B1193),IF(设置!$B$6&lt;$B1193,"",IF((设置!$B$6-$B1193)&gt;=设置!$B$5,"超期"&amp;(设置!$B$6-$B1193)&amp;"天","已等"&amp;(设置!$B$6-$B1193)&amp;"天"))))</f>
        <v/>
      </c>
      <c r="O1193" s="18" t="str">
        <f aca="false">IF(OR($D1193="",$E1193=""),"",COUNTIFS($D$7:$D1193,$D1193,$E$7:$E1193,$E1193))</f>
        <v/>
      </c>
      <c r="P1193" s="16"/>
      <c r="Q1193" s="19"/>
      <c r="R1193" s="10"/>
      <c r="S1193" s="16"/>
      <c r="T1193" s="0" t="str">
        <f aca="false">IF(OR($D1193="",单元查询!$B$3=""),"",IF($D1193&lt;&gt;单元查询!$B$3,"",IF(OR(单元查询!$D$3="",$E1193&amp;""=单元查询!$D$3&amp;""),IF(ISNUMBER($B1193),$B1193*10000,0)+ROW(),"")))</f>
        <v/>
      </c>
      <c r="U1193" s="0" t="str">
        <f aca="false">IF(OR($B1193="",$L1193="已完成"),"",IF(ISNUMBER($B1193),IF(设置!$B$6&lt;$B1193,"",(设置!$B$6-$B1193)*100000+ROW()),""))</f>
        <v/>
      </c>
      <c r="V1193" s="0" t="str">
        <f aca="false">IF(ISNUMBER($O1193),IF($O1193&gt;=2,IF(COUNTIFS($D1193:$D$2006,$D1193,$E1193:$E$2006,$E1193)=1,ROW(),""),""),"")</f>
        <v/>
      </c>
    </row>
    <row r="1194" customFormat="false" ht="15" hidden="false" customHeight="true" outlineLevel="0" collapsed="false">
      <c r="A1194" s="13" t="str">
        <f aca="false">IF(AND($B1194="",$D1194="",$E1194="",$F1194=""),"",IF(OR($B1194="",$D1194="",$E1194=""),"待补",IF($D1194="公共区域","公",IF($D1194="商铺","S",SUBSTITUTE($D1194,"栋","")))&amp;"-"&amp;$E1194&amp;"-"&amp;TEXT(MONTH($B1194),"00")&amp;TEXT(DAY($B1194),"00")&amp;IF(ISNUMBER($O1194),IF($O1194&gt;1,"-"&amp;TEXT($O1194,"00"),""),"")))</f>
        <v/>
      </c>
      <c r="B1194" s="14"/>
      <c r="C1194" s="10"/>
      <c r="D1194" s="10"/>
      <c r="E1194" s="10"/>
      <c r="F1194" s="16"/>
      <c r="G1194" s="10"/>
      <c r="H1194" s="10"/>
      <c r="I1194" s="10"/>
      <c r="J1194" s="10"/>
      <c r="K1194" s="10"/>
      <c r="L1194" s="10"/>
      <c r="M1194" s="14"/>
      <c r="N1194" s="17" t="str">
        <f aca="false">IF($B1194="","",IF($L1194="已完成",IF($M1194="","",$M1194-$B1194),IF(设置!$B$6&lt;$B1194,"",IF((设置!$B$6-$B1194)&gt;=设置!$B$5,"超期"&amp;(设置!$B$6-$B1194)&amp;"天","已等"&amp;(设置!$B$6-$B1194)&amp;"天"))))</f>
        <v/>
      </c>
      <c r="O1194" s="18" t="str">
        <f aca="false">IF(OR($D1194="",$E1194=""),"",COUNTIFS($D$7:$D1194,$D1194,$E$7:$E1194,$E1194))</f>
        <v/>
      </c>
      <c r="P1194" s="16"/>
      <c r="Q1194" s="19"/>
      <c r="R1194" s="10"/>
      <c r="S1194" s="16"/>
      <c r="T1194" s="0" t="str">
        <f aca="false">IF(OR($D1194="",单元查询!$B$3=""),"",IF($D1194&lt;&gt;单元查询!$B$3,"",IF(OR(单元查询!$D$3="",$E1194&amp;""=单元查询!$D$3&amp;""),IF(ISNUMBER($B1194),$B1194*10000,0)+ROW(),"")))</f>
        <v/>
      </c>
      <c r="U1194" s="0" t="str">
        <f aca="false">IF(OR($B1194="",$L1194="已完成"),"",IF(ISNUMBER($B1194),IF(设置!$B$6&lt;$B1194,"",(设置!$B$6-$B1194)*100000+ROW()),""))</f>
        <v/>
      </c>
      <c r="V1194" s="0" t="str">
        <f aca="false">IF(ISNUMBER($O1194),IF($O1194&gt;=2,IF(COUNTIFS($D1194:$D$2006,$D1194,$E1194:$E$2006,$E1194)=1,ROW(),""),""),"")</f>
        <v/>
      </c>
    </row>
    <row r="1195" customFormat="false" ht="15" hidden="false" customHeight="true" outlineLevel="0" collapsed="false">
      <c r="A1195" s="13" t="str">
        <f aca="false">IF(AND($B1195="",$D1195="",$E1195="",$F1195=""),"",IF(OR($B1195="",$D1195="",$E1195=""),"待补",IF($D1195="公共区域","公",IF($D1195="商铺","S",SUBSTITUTE($D1195,"栋","")))&amp;"-"&amp;$E1195&amp;"-"&amp;TEXT(MONTH($B1195),"00")&amp;TEXT(DAY($B1195),"00")&amp;IF(ISNUMBER($O1195),IF($O1195&gt;1,"-"&amp;TEXT($O1195,"00"),""),"")))</f>
        <v/>
      </c>
      <c r="B1195" s="14"/>
      <c r="C1195" s="10"/>
      <c r="D1195" s="10"/>
      <c r="E1195" s="10"/>
      <c r="F1195" s="16"/>
      <c r="G1195" s="10"/>
      <c r="H1195" s="10"/>
      <c r="I1195" s="10"/>
      <c r="J1195" s="10"/>
      <c r="K1195" s="10"/>
      <c r="L1195" s="10"/>
      <c r="M1195" s="14"/>
      <c r="N1195" s="17" t="str">
        <f aca="false">IF($B1195="","",IF($L1195="已完成",IF($M1195="","",$M1195-$B1195),IF(设置!$B$6&lt;$B1195,"",IF((设置!$B$6-$B1195)&gt;=设置!$B$5,"超期"&amp;(设置!$B$6-$B1195)&amp;"天","已等"&amp;(设置!$B$6-$B1195)&amp;"天"))))</f>
        <v/>
      </c>
      <c r="O1195" s="18" t="str">
        <f aca="false">IF(OR($D1195="",$E1195=""),"",COUNTIFS($D$7:$D1195,$D1195,$E$7:$E1195,$E1195))</f>
        <v/>
      </c>
      <c r="P1195" s="16"/>
      <c r="Q1195" s="19"/>
      <c r="R1195" s="10"/>
      <c r="S1195" s="16"/>
      <c r="T1195" s="0" t="str">
        <f aca="false">IF(OR($D1195="",单元查询!$B$3=""),"",IF($D1195&lt;&gt;单元查询!$B$3,"",IF(OR(单元查询!$D$3="",$E1195&amp;""=单元查询!$D$3&amp;""),IF(ISNUMBER($B1195),$B1195*10000,0)+ROW(),"")))</f>
        <v/>
      </c>
      <c r="U1195" s="0" t="str">
        <f aca="false">IF(OR($B1195="",$L1195="已完成"),"",IF(ISNUMBER($B1195),IF(设置!$B$6&lt;$B1195,"",(设置!$B$6-$B1195)*100000+ROW()),""))</f>
        <v/>
      </c>
      <c r="V1195" s="0" t="str">
        <f aca="false">IF(ISNUMBER($O1195),IF($O1195&gt;=2,IF(COUNTIFS($D1195:$D$2006,$D1195,$E1195:$E$2006,$E1195)=1,ROW(),""),""),"")</f>
        <v/>
      </c>
    </row>
    <row r="1196" customFormat="false" ht="15" hidden="false" customHeight="true" outlineLevel="0" collapsed="false">
      <c r="A1196" s="13" t="str">
        <f aca="false">IF(AND($B1196="",$D1196="",$E1196="",$F1196=""),"",IF(OR($B1196="",$D1196="",$E1196=""),"待补",IF($D1196="公共区域","公",IF($D1196="商铺","S",SUBSTITUTE($D1196,"栋","")))&amp;"-"&amp;$E1196&amp;"-"&amp;TEXT(MONTH($B1196),"00")&amp;TEXT(DAY($B1196),"00")&amp;IF(ISNUMBER($O1196),IF($O1196&gt;1,"-"&amp;TEXT($O1196,"00"),""),"")))</f>
        <v/>
      </c>
      <c r="B1196" s="14"/>
      <c r="C1196" s="10"/>
      <c r="D1196" s="10"/>
      <c r="E1196" s="10"/>
      <c r="F1196" s="16"/>
      <c r="G1196" s="10"/>
      <c r="H1196" s="10"/>
      <c r="I1196" s="10"/>
      <c r="J1196" s="10"/>
      <c r="K1196" s="10"/>
      <c r="L1196" s="10"/>
      <c r="M1196" s="14"/>
      <c r="N1196" s="17" t="str">
        <f aca="false">IF($B1196="","",IF($L1196="已完成",IF($M1196="","",$M1196-$B1196),IF(设置!$B$6&lt;$B1196,"",IF((设置!$B$6-$B1196)&gt;=设置!$B$5,"超期"&amp;(设置!$B$6-$B1196)&amp;"天","已等"&amp;(设置!$B$6-$B1196)&amp;"天"))))</f>
        <v/>
      </c>
      <c r="O1196" s="18" t="str">
        <f aca="false">IF(OR($D1196="",$E1196=""),"",COUNTIFS($D$7:$D1196,$D1196,$E$7:$E1196,$E1196))</f>
        <v/>
      </c>
      <c r="P1196" s="16"/>
      <c r="Q1196" s="19"/>
      <c r="R1196" s="10"/>
      <c r="S1196" s="16"/>
      <c r="T1196" s="0" t="str">
        <f aca="false">IF(OR($D1196="",单元查询!$B$3=""),"",IF($D1196&lt;&gt;单元查询!$B$3,"",IF(OR(单元查询!$D$3="",$E1196&amp;""=单元查询!$D$3&amp;""),IF(ISNUMBER($B1196),$B1196*10000,0)+ROW(),"")))</f>
        <v/>
      </c>
      <c r="U1196" s="0" t="str">
        <f aca="false">IF(OR($B1196="",$L1196="已完成"),"",IF(ISNUMBER($B1196),IF(设置!$B$6&lt;$B1196,"",(设置!$B$6-$B1196)*100000+ROW()),""))</f>
        <v/>
      </c>
      <c r="V1196" s="0" t="str">
        <f aca="false">IF(ISNUMBER($O1196),IF($O1196&gt;=2,IF(COUNTIFS($D1196:$D$2006,$D1196,$E1196:$E$2006,$E1196)=1,ROW(),""),""),"")</f>
        <v/>
      </c>
    </row>
    <row r="1197" customFormat="false" ht="15" hidden="false" customHeight="true" outlineLevel="0" collapsed="false">
      <c r="A1197" s="13" t="str">
        <f aca="false">IF(AND($B1197="",$D1197="",$E1197="",$F1197=""),"",IF(OR($B1197="",$D1197="",$E1197=""),"待补",IF($D1197="公共区域","公",IF($D1197="商铺","S",SUBSTITUTE($D1197,"栋","")))&amp;"-"&amp;$E1197&amp;"-"&amp;TEXT(MONTH($B1197),"00")&amp;TEXT(DAY($B1197),"00")&amp;IF(ISNUMBER($O1197),IF($O1197&gt;1,"-"&amp;TEXT($O1197,"00"),""),"")))</f>
        <v/>
      </c>
      <c r="B1197" s="14"/>
      <c r="C1197" s="10"/>
      <c r="D1197" s="10"/>
      <c r="E1197" s="10"/>
      <c r="F1197" s="16"/>
      <c r="G1197" s="10"/>
      <c r="H1197" s="10"/>
      <c r="I1197" s="10"/>
      <c r="J1197" s="10"/>
      <c r="K1197" s="10"/>
      <c r="L1197" s="10"/>
      <c r="M1197" s="14"/>
      <c r="N1197" s="17" t="str">
        <f aca="false">IF($B1197="","",IF($L1197="已完成",IF($M1197="","",$M1197-$B1197),IF(设置!$B$6&lt;$B1197,"",IF((设置!$B$6-$B1197)&gt;=设置!$B$5,"超期"&amp;(设置!$B$6-$B1197)&amp;"天","已等"&amp;(设置!$B$6-$B1197)&amp;"天"))))</f>
        <v/>
      </c>
      <c r="O1197" s="18" t="str">
        <f aca="false">IF(OR($D1197="",$E1197=""),"",COUNTIFS($D$7:$D1197,$D1197,$E$7:$E1197,$E1197))</f>
        <v/>
      </c>
      <c r="P1197" s="16"/>
      <c r="Q1197" s="19"/>
      <c r="R1197" s="10"/>
      <c r="S1197" s="16"/>
      <c r="T1197" s="0" t="str">
        <f aca="false">IF(OR($D1197="",单元查询!$B$3=""),"",IF($D1197&lt;&gt;单元查询!$B$3,"",IF(OR(单元查询!$D$3="",$E1197&amp;""=单元查询!$D$3&amp;""),IF(ISNUMBER($B1197),$B1197*10000,0)+ROW(),"")))</f>
        <v/>
      </c>
      <c r="U1197" s="0" t="str">
        <f aca="false">IF(OR($B1197="",$L1197="已完成"),"",IF(ISNUMBER($B1197),IF(设置!$B$6&lt;$B1197,"",(设置!$B$6-$B1197)*100000+ROW()),""))</f>
        <v/>
      </c>
      <c r="V1197" s="0" t="str">
        <f aca="false">IF(ISNUMBER($O1197),IF($O1197&gt;=2,IF(COUNTIFS($D1197:$D$2006,$D1197,$E1197:$E$2006,$E1197)=1,ROW(),""),""),"")</f>
        <v/>
      </c>
    </row>
    <row r="1198" customFormat="false" ht="15" hidden="false" customHeight="true" outlineLevel="0" collapsed="false">
      <c r="A1198" s="13" t="str">
        <f aca="false">IF(AND($B1198="",$D1198="",$E1198="",$F1198=""),"",IF(OR($B1198="",$D1198="",$E1198=""),"待补",IF($D1198="公共区域","公",IF($D1198="商铺","S",SUBSTITUTE($D1198,"栋","")))&amp;"-"&amp;$E1198&amp;"-"&amp;TEXT(MONTH($B1198),"00")&amp;TEXT(DAY($B1198),"00")&amp;IF(ISNUMBER($O1198),IF($O1198&gt;1,"-"&amp;TEXT($O1198,"00"),""),"")))</f>
        <v/>
      </c>
      <c r="B1198" s="14"/>
      <c r="C1198" s="10"/>
      <c r="D1198" s="10"/>
      <c r="E1198" s="10"/>
      <c r="F1198" s="16"/>
      <c r="G1198" s="10"/>
      <c r="H1198" s="10"/>
      <c r="I1198" s="10"/>
      <c r="J1198" s="10"/>
      <c r="K1198" s="10"/>
      <c r="L1198" s="10"/>
      <c r="M1198" s="14"/>
      <c r="N1198" s="17" t="str">
        <f aca="false">IF($B1198="","",IF($L1198="已完成",IF($M1198="","",$M1198-$B1198),IF(设置!$B$6&lt;$B1198,"",IF((设置!$B$6-$B1198)&gt;=设置!$B$5,"超期"&amp;(设置!$B$6-$B1198)&amp;"天","已等"&amp;(设置!$B$6-$B1198)&amp;"天"))))</f>
        <v/>
      </c>
      <c r="O1198" s="18" t="str">
        <f aca="false">IF(OR($D1198="",$E1198=""),"",COUNTIFS($D$7:$D1198,$D1198,$E$7:$E1198,$E1198))</f>
        <v/>
      </c>
      <c r="P1198" s="16"/>
      <c r="Q1198" s="19"/>
      <c r="R1198" s="10"/>
      <c r="S1198" s="16"/>
      <c r="T1198" s="0" t="str">
        <f aca="false">IF(OR($D1198="",单元查询!$B$3=""),"",IF($D1198&lt;&gt;单元查询!$B$3,"",IF(OR(单元查询!$D$3="",$E1198&amp;""=单元查询!$D$3&amp;""),IF(ISNUMBER($B1198),$B1198*10000,0)+ROW(),"")))</f>
        <v/>
      </c>
      <c r="U1198" s="0" t="str">
        <f aca="false">IF(OR($B1198="",$L1198="已完成"),"",IF(ISNUMBER($B1198),IF(设置!$B$6&lt;$B1198,"",(设置!$B$6-$B1198)*100000+ROW()),""))</f>
        <v/>
      </c>
      <c r="V1198" s="0" t="str">
        <f aca="false">IF(ISNUMBER($O1198),IF($O1198&gt;=2,IF(COUNTIFS($D1198:$D$2006,$D1198,$E1198:$E$2006,$E1198)=1,ROW(),""),""),"")</f>
        <v/>
      </c>
    </row>
    <row r="1199" customFormat="false" ht="15" hidden="false" customHeight="true" outlineLevel="0" collapsed="false">
      <c r="A1199" s="13" t="str">
        <f aca="false">IF(AND($B1199="",$D1199="",$E1199="",$F1199=""),"",IF(OR($B1199="",$D1199="",$E1199=""),"待补",IF($D1199="公共区域","公",IF($D1199="商铺","S",SUBSTITUTE($D1199,"栋","")))&amp;"-"&amp;$E1199&amp;"-"&amp;TEXT(MONTH($B1199),"00")&amp;TEXT(DAY($B1199),"00")&amp;IF(ISNUMBER($O1199),IF($O1199&gt;1,"-"&amp;TEXT($O1199,"00"),""),"")))</f>
        <v/>
      </c>
      <c r="B1199" s="14"/>
      <c r="C1199" s="10"/>
      <c r="D1199" s="10"/>
      <c r="E1199" s="10"/>
      <c r="F1199" s="16"/>
      <c r="G1199" s="10"/>
      <c r="H1199" s="10"/>
      <c r="I1199" s="10"/>
      <c r="J1199" s="10"/>
      <c r="K1199" s="10"/>
      <c r="L1199" s="10"/>
      <c r="M1199" s="14"/>
      <c r="N1199" s="17" t="str">
        <f aca="false">IF($B1199="","",IF($L1199="已完成",IF($M1199="","",$M1199-$B1199),IF(设置!$B$6&lt;$B1199,"",IF((设置!$B$6-$B1199)&gt;=设置!$B$5,"超期"&amp;(设置!$B$6-$B1199)&amp;"天","已等"&amp;(设置!$B$6-$B1199)&amp;"天"))))</f>
        <v/>
      </c>
      <c r="O1199" s="18" t="str">
        <f aca="false">IF(OR($D1199="",$E1199=""),"",COUNTIFS($D$7:$D1199,$D1199,$E$7:$E1199,$E1199))</f>
        <v/>
      </c>
      <c r="P1199" s="16"/>
      <c r="Q1199" s="19"/>
      <c r="R1199" s="10"/>
      <c r="S1199" s="16"/>
      <c r="T1199" s="0" t="str">
        <f aca="false">IF(OR($D1199="",单元查询!$B$3=""),"",IF($D1199&lt;&gt;单元查询!$B$3,"",IF(OR(单元查询!$D$3="",$E1199&amp;""=单元查询!$D$3&amp;""),IF(ISNUMBER($B1199),$B1199*10000,0)+ROW(),"")))</f>
        <v/>
      </c>
      <c r="U1199" s="0" t="str">
        <f aca="false">IF(OR($B1199="",$L1199="已完成"),"",IF(ISNUMBER($B1199),IF(设置!$B$6&lt;$B1199,"",(设置!$B$6-$B1199)*100000+ROW()),""))</f>
        <v/>
      </c>
      <c r="V1199" s="0" t="str">
        <f aca="false">IF(ISNUMBER($O1199),IF($O1199&gt;=2,IF(COUNTIFS($D1199:$D$2006,$D1199,$E1199:$E$2006,$E1199)=1,ROW(),""),""),"")</f>
        <v/>
      </c>
    </row>
    <row r="1200" customFormat="false" ht="15" hidden="false" customHeight="true" outlineLevel="0" collapsed="false">
      <c r="A1200" s="13" t="str">
        <f aca="false">IF(AND($B1200="",$D1200="",$E1200="",$F1200=""),"",IF(OR($B1200="",$D1200="",$E1200=""),"待补",IF($D1200="公共区域","公",IF($D1200="商铺","S",SUBSTITUTE($D1200,"栋","")))&amp;"-"&amp;$E1200&amp;"-"&amp;TEXT(MONTH($B1200),"00")&amp;TEXT(DAY($B1200),"00")&amp;IF(ISNUMBER($O1200),IF($O1200&gt;1,"-"&amp;TEXT($O1200,"00"),""),"")))</f>
        <v/>
      </c>
      <c r="B1200" s="14"/>
      <c r="C1200" s="10"/>
      <c r="D1200" s="10"/>
      <c r="E1200" s="10"/>
      <c r="F1200" s="16"/>
      <c r="G1200" s="10"/>
      <c r="H1200" s="10"/>
      <c r="I1200" s="10"/>
      <c r="J1200" s="10"/>
      <c r="K1200" s="10"/>
      <c r="L1200" s="10"/>
      <c r="M1200" s="14"/>
      <c r="N1200" s="17" t="str">
        <f aca="false">IF($B1200="","",IF($L1200="已完成",IF($M1200="","",$M1200-$B1200),IF(设置!$B$6&lt;$B1200,"",IF((设置!$B$6-$B1200)&gt;=设置!$B$5,"超期"&amp;(设置!$B$6-$B1200)&amp;"天","已等"&amp;(设置!$B$6-$B1200)&amp;"天"))))</f>
        <v/>
      </c>
      <c r="O1200" s="18" t="str">
        <f aca="false">IF(OR($D1200="",$E1200=""),"",COUNTIFS($D$7:$D1200,$D1200,$E$7:$E1200,$E1200))</f>
        <v/>
      </c>
      <c r="P1200" s="16"/>
      <c r="Q1200" s="19"/>
      <c r="R1200" s="10"/>
      <c r="S1200" s="16"/>
      <c r="T1200" s="0" t="str">
        <f aca="false">IF(OR($D1200="",单元查询!$B$3=""),"",IF($D1200&lt;&gt;单元查询!$B$3,"",IF(OR(单元查询!$D$3="",$E1200&amp;""=单元查询!$D$3&amp;""),IF(ISNUMBER($B1200),$B1200*10000,0)+ROW(),"")))</f>
        <v/>
      </c>
      <c r="U1200" s="0" t="str">
        <f aca="false">IF(OR($B1200="",$L1200="已完成"),"",IF(ISNUMBER($B1200),IF(设置!$B$6&lt;$B1200,"",(设置!$B$6-$B1200)*100000+ROW()),""))</f>
        <v/>
      </c>
      <c r="V1200" s="0" t="str">
        <f aca="false">IF(ISNUMBER($O1200),IF($O1200&gt;=2,IF(COUNTIFS($D1200:$D$2006,$D1200,$E1200:$E$2006,$E1200)=1,ROW(),""),""),"")</f>
        <v/>
      </c>
    </row>
    <row r="1201" customFormat="false" ht="15" hidden="false" customHeight="true" outlineLevel="0" collapsed="false">
      <c r="A1201" s="13" t="str">
        <f aca="false">IF(AND($B1201="",$D1201="",$E1201="",$F1201=""),"",IF(OR($B1201="",$D1201="",$E1201=""),"待补",IF($D1201="公共区域","公",IF($D1201="商铺","S",SUBSTITUTE($D1201,"栋","")))&amp;"-"&amp;$E1201&amp;"-"&amp;TEXT(MONTH($B1201),"00")&amp;TEXT(DAY($B1201),"00")&amp;IF(ISNUMBER($O1201),IF($O1201&gt;1,"-"&amp;TEXT($O1201,"00"),""),"")))</f>
        <v/>
      </c>
      <c r="B1201" s="14"/>
      <c r="C1201" s="10"/>
      <c r="D1201" s="10"/>
      <c r="E1201" s="10"/>
      <c r="F1201" s="16"/>
      <c r="G1201" s="10"/>
      <c r="H1201" s="10"/>
      <c r="I1201" s="10"/>
      <c r="J1201" s="10"/>
      <c r="K1201" s="10"/>
      <c r="L1201" s="10"/>
      <c r="M1201" s="14"/>
      <c r="N1201" s="17" t="str">
        <f aca="false">IF($B1201="","",IF($L1201="已完成",IF($M1201="","",$M1201-$B1201),IF(设置!$B$6&lt;$B1201,"",IF((设置!$B$6-$B1201)&gt;=设置!$B$5,"超期"&amp;(设置!$B$6-$B1201)&amp;"天","已等"&amp;(设置!$B$6-$B1201)&amp;"天"))))</f>
        <v/>
      </c>
      <c r="O1201" s="18" t="str">
        <f aca="false">IF(OR($D1201="",$E1201=""),"",COUNTIFS($D$7:$D1201,$D1201,$E$7:$E1201,$E1201))</f>
        <v/>
      </c>
      <c r="P1201" s="16"/>
      <c r="Q1201" s="19"/>
      <c r="R1201" s="10"/>
      <c r="S1201" s="16"/>
      <c r="T1201" s="0" t="str">
        <f aca="false">IF(OR($D1201="",单元查询!$B$3=""),"",IF($D1201&lt;&gt;单元查询!$B$3,"",IF(OR(单元查询!$D$3="",$E1201&amp;""=单元查询!$D$3&amp;""),IF(ISNUMBER($B1201),$B1201*10000,0)+ROW(),"")))</f>
        <v/>
      </c>
      <c r="U1201" s="0" t="str">
        <f aca="false">IF(OR($B1201="",$L1201="已完成"),"",IF(ISNUMBER($B1201),IF(设置!$B$6&lt;$B1201,"",(设置!$B$6-$B1201)*100000+ROW()),""))</f>
        <v/>
      </c>
      <c r="V1201" s="0" t="str">
        <f aca="false">IF(ISNUMBER($O1201),IF($O1201&gt;=2,IF(COUNTIFS($D1201:$D$2006,$D1201,$E1201:$E$2006,$E1201)=1,ROW(),""),""),"")</f>
        <v/>
      </c>
    </row>
    <row r="1202" customFormat="false" ht="15" hidden="false" customHeight="true" outlineLevel="0" collapsed="false">
      <c r="A1202" s="13" t="str">
        <f aca="false">IF(AND($B1202="",$D1202="",$E1202="",$F1202=""),"",IF(OR($B1202="",$D1202="",$E1202=""),"待补",IF($D1202="公共区域","公",IF($D1202="商铺","S",SUBSTITUTE($D1202,"栋","")))&amp;"-"&amp;$E1202&amp;"-"&amp;TEXT(MONTH($B1202),"00")&amp;TEXT(DAY($B1202),"00")&amp;IF(ISNUMBER($O1202),IF($O1202&gt;1,"-"&amp;TEXT($O1202,"00"),""),"")))</f>
        <v/>
      </c>
      <c r="B1202" s="14"/>
      <c r="C1202" s="10"/>
      <c r="D1202" s="10"/>
      <c r="E1202" s="10"/>
      <c r="F1202" s="16"/>
      <c r="G1202" s="10"/>
      <c r="H1202" s="10"/>
      <c r="I1202" s="10"/>
      <c r="J1202" s="10"/>
      <c r="K1202" s="10"/>
      <c r="L1202" s="10"/>
      <c r="M1202" s="14"/>
      <c r="N1202" s="17" t="str">
        <f aca="false">IF($B1202="","",IF($L1202="已完成",IF($M1202="","",$M1202-$B1202),IF(设置!$B$6&lt;$B1202,"",IF((设置!$B$6-$B1202)&gt;=设置!$B$5,"超期"&amp;(设置!$B$6-$B1202)&amp;"天","已等"&amp;(设置!$B$6-$B1202)&amp;"天"))))</f>
        <v/>
      </c>
      <c r="O1202" s="18" t="str">
        <f aca="false">IF(OR($D1202="",$E1202=""),"",COUNTIFS($D$7:$D1202,$D1202,$E$7:$E1202,$E1202))</f>
        <v/>
      </c>
      <c r="P1202" s="16"/>
      <c r="Q1202" s="19"/>
      <c r="R1202" s="10"/>
      <c r="S1202" s="16"/>
      <c r="T1202" s="0" t="str">
        <f aca="false">IF(OR($D1202="",单元查询!$B$3=""),"",IF($D1202&lt;&gt;单元查询!$B$3,"",IF(OR(单元查询!$D$3="",$E1202&amp;""=单元查询!$D$3&amp;""),IF(ISNUMBER($B1202),$B1202*10000,0)+ROW(),"")))</f>
        <v/>
      </c>
      <c r="U1202" s="0" t="str">
        <f aca="false">IF(OR($B1202="",$L1202="已完成"),"",IF(ISNUMBER($B1202),IF(设置!$B$6&lt;$B1202,"",(设置!$B$6-$B1202)*100000+ROW()),""))</f>
        <v/>
      </c>
      <c r="V1202" s="0" t="str">
        <f aca="false">IF(ISNUMBER($O1202),IF($O1202&gt;=2,IF(COUNTIFS($D1202:$D$2006,$D1202,$E1202:$E$2006,$E1202)=1,ROW(),""),""),"")</f>
        <v/>
      </c>
    </row>
    <row r="1203" customFormat="false" ht="15" hidden="false" customHeight="true" outlineLevel="0" collapsed="false">
      <c r="A1203" s="13" t="str">
        <f aca="false">IF(AND($B1203="",$D1203="",$E1203="",$F1203=""),"",IF(OR($B1203="",$D1203="",$E1203=""),"待补",IF($D1203="公共区域","公",IF($D1203="商铺","S",SUBSTITUTE($D1203,"栋","")))&amp;"-"&amp;$E1203&amp;"-"&amp;TEXT(MONTH($B1203),"00")&amp;TEXT(DAY($B1203),"00")&amp;IF(ISNUMBER($O1203),IF($O1203&gt;1,"-"&amp;TEXT($O1203,"00"),""),"")))</f>
        <v/>
      </c>
      <c r="B1203" s="14"/>
      <c r="C1203" s="10"/>
      <c r="D1203" s="10"/>
      <c r="E1203" s="10"/>
      <c r="F1203" s="16"/>
      <c r="G1203" s="10"/>
      <c r="H1203" s="10"/>
      <c r="I1203" s="10"/>
      <c r="J1203" s="10"/>
      <c r="K1203" s="10"/>
      <c r="L1203" s="10"/>
      <c r="M1203" s="14"/>
      <c r="N1203" s="17" t="str">
        <f aca="false">IF($B1203="","",IF($L1203="已完成",IF($M1203="","",$M1203-$B1203),IF(设置!$B$6&lt;$B1203,"",IF((设置!$B$6-$B1203)&gt;=设置!$B$5,"超期"&amp;(设置!$B$6-$B1203)&amp;"天","已等"&amp;(设置!$B$6-$B1203)&amp;"天"))))</f>
        <v/>
      </c>
      <c r="O1203" s="18" t="str">
        <f aca="false">IF(OR($D1203="",$E1203=""),"",COUNTIFS($D$7:$D1203,$D1203,$E$7:$E1203,$E1203))</f>
        <v/>
      </c>
      <c r="P1203" s="16"/>
      <c r="Q1203" s="19"/>
      <c r="R1203" s="10"/>
      <c r="S1203" s="16"/>
      <c r="T1203" s="0" t="str">
        <f aca="false">IF(OR($D1203="",单元查询!$B$3=""),"",IF($D1203&lt;&gt;单元查询!$B$3,"",IF(OR(单元查询!$D$3="",$E1203&amp;""=单元查询!$D$3&amp;""),IF(ISNUMBER($B1203),$B1203*10000,0)+ROW(),"")))</f>
        <v/>
      </c>
      <c r="U1203" s="0" t="str">
        <f aca="false">IF(OR($B1203="",$L1203="已完成"),"",IF(ISNUMBER($B1203),IF(设置!$B$6&lt;$B1203,"",(设置!$B$6-$B1203)*100000+ROW()),""))</f>
        <v/>
      </c>
      <c r="V1203" s="0" t="str">
        <f aca="false">IF(ISNUMBER($O1203),IF($O1203&gt;=2,IF(COUNTIFS($D1203:$D$2006,$D1203,$E1203:$E$2006,$E1203)=1,ROW(),""),""),"")</f>
        <v/>
      </c>
    </row>
    <row r="1204" customFormat="false" ht="15" hidden="false" customHeight="true" outlineLevel="0" collapsed="false">
      <c r="A1204" s="13" t="str">
        <f aca="false">IF(AND($B1204="",$D1204="",$E1204="",$F1204=""),"",IF(OR($B1204="",$D1204="",$E1204=""),"待补",IF($D1204="公共区域","公",IF($D1204="商铺","S",SUBSTITUTE($D1204,"栋","")))&amp;"-"&amp;$E1204&amp;"-"&amp;TEXT(MONTH($B1204),"00")&amp;TEXT(DAY($B1204),"00")&amp;IF(ISNUMBER($O1204),IF($O1204&gt;1,"-"&amp;TEXT($O1204,"00"),""),"")))</f>
        <v/>
      </c>
      <c r="B1204" s="14"/>
      <c r="C1204" s="10"/>
      <c r="D1204" s="10"/>
      <c r="E1204" s="10"/>
      <c r="F1204" s="16"/>
      <c r="G1204" s="10"/>
      <c r="H1204" s="10"/>
      <c r="I1204" s="10"/>
      <c r="J1204" s="10"/>
      <c r="K1204" s="10"/>
      <c r="L1204" s="10"/>
      <c r="M1204" s="14"/>
      <c r="N1204" s="17" t="str">
        <f aca="false">IF($B1204="","",IF($L1204="已完成",IF($M1204="","",$M1204-$B1204),IF(设置!$B$6&lt;$B1204,"",IF((设置!$B$6-$B1204)&gt;=设置!$B$5,"超期"&amp;(设置!$B$6-$B1204)&amp;"天","已等"&amp;(设置!$B$6-$B1204)&amp;"天"))))</f>
        <v/>
      </c>
      <c r="O1204" s="18" t="str">
        <f aca="false">IF(OR($D1204="",$E1204=""),"",COUNTIFS($D$7:$D1204,$D1204,$E$7:$E1204,$E1204))</f>
        <v/>
      </c>
      <c r="P1204" s="16"/>
      <c r="Q1204" s="19"/>
      <c r="R1204" s="10"/>
      <c r="S1204" s="16"/>
      <c r="T1204" s="0" t="str">
        <f aca="false">IF(OR($D1204="",单元查询!$B$3=""),"",IF($D1204&lt;&gt;单元查询!$B$3,"",IF(OR(单元查询!$D$3="",$E1204&amp;""=单元查询!$D$3&amp;""),IF(ISNUMBER($B1204),$B1204*10000,0)+ROW(),"")))</f>
        <v/>
      </c>
      <c r="U1204" s="0" t="str">
        <f aca="false">IF(OR($B1204="",$L1204="已完成"),"",IF(ISNUMBER($B1204),IF(设置!$B$6&lt;$B1204,"",(设置!$B$6-$B1204)*100000+ROW()),""))</f>
        <v/>
      </c>
      <c r="V1204" s="0" t="str">
        <f aca="false">IF(ISNUMBER($O1204),IF($O1204&gt;=2,IF(COUNTIFS($D1204:$D$2006,$D1204,$E1204:$E$2006,$E1204)=1,ROW(),""),""),"")</f>
        <v/>
      </c>
    </row>
    <row r="1205" customFormat="false" ht="15" hidden="false" customHeight="true" outlineLevel="0" collapsed="false">
      <c r="A1205" s="13" t="str">
        <f aca="false">IF(AND($B1205="",$D1205="",$E1205="",$F1205=""),"",IF(OR($B1205="",$D1205="",$E1205=""),"待补",IF($D1205="公共区域","公",IF($D1205="商铺","S",SUBSTITUTE($D1205,"栋","")))&amp;"-"&amp;$E1205&amp;"-"&amp;TEXT(MONTH($B1205),"00")&amp;TEXT(DAY($B1205),"00")&amp;IF(ISNUMBER($O1205),IF($O1205&gt;1,"-"&amp;TEXT($O1205,"00"),""),"")))</f>
        <v/>
      </c>
      <c r="B1205" s="14"/>
      <c r="C1205" s="10"/>
      <c r="D1205" s="10"/>
      <c r="E1205" s="10"/>
      <c r="F1205" s="16"/>
      <c r="G1205" s="10"/>
      <c r="H1205" s="10"/>
      <c r="I1205" s="10"/>
      <c r="J1205" s="10"/>
      <c r="K1205" s="10"/>
      <c r="L1205" s="10"/>
      <c r="M1205" s="14"/>
      <c r="N1205" s="17" t="str">
        <f aca="false">IF($B1205="","",IF($L1205="已完成",IF($M1205="","",$M1205-$B1205),IF(设置!$B$6&lt;$B1205,"",IF((设置!$B$6-$B1205)&gt;=设置!$B$5,"超期"&amp;(设置!$B$6-$B1205)&amp;"天","已等"&amp;(设置!$B$6-$B1205)&amp;"天"))))</f>
        <v/>
      </c>
      <c r="O1205" s="18" t="str">
        <f aca="false">IF(OR($D1205="",$E1205=""),"",COUNTIFS($D$7:$D1205,$D1205,$E$7:$E1205,$E1205))</f>
        <v/>
      </c>
      <c r="P1205" s="16"/>
      <c r="Q1205" s="19"/>
      <c r="R1205" s="10"/>
      <c r="S1205" s="16"/>
      <c r="T1205" s="0" t="str">
        <f aca="false">IF(OR($D1205="",单元查询!$B$3=""),"",IF($D1205&lt;&gt;单元查询!$B$3,"",IF(OR(单元查询!$D$3="",$E1205&amp;""=单元查询!$D$3&amp;""),IF(ISNUMBER($B1205),$B1205*10000,0)+ROW(),"")))</f>
        <v/>
      </c>
      <c r="U1205" s="0" t="str">
        <f aca="false">IF(OR($B1205="",$L1205="已完成"),"",IF(ISNUMBER($B1205),IF(设置!$B$6&lt;$B1205,"",(设置!$B$6-$B1205)*100000+ROW()),""))</f>
        <v/>
      </c>
      <c r="V1205" s="0" t="str">
        <f aca="false">IF(ISNUMBER($O1205),IF($O1205&gt;=2,IF(COUNTIFS($D1205:$D$2006,$D1205,$E1205:$E$2006,$E1205)=1,ROW(),""),""),"")</f>
        <v/>
      </c>
    </row>
    <row r="1206" customFormat="false" ht="15" hidden="false" customHeight="true" outlineLevel="0" collapsed="false">
      <c r="A1206" s="13" t="str">
        <f aca="false">IF(AND($B1206="",$D1206="",$E1206="",$F1206=""),"",IF(OR($B1206="",$D1206="",$E1206=""),"待补",IF($D1206="公共区域","公",IF($D1206="商铺","S",SUBSTITUTE($D1206,"栋","")))&amp;"-"&amp;$E1206&amp;"-"&amp;TEXT(MONTH($B1206),"00")&amp;TEXT(DAY($B1206),"00")&amp;IF(ISNUMBER($O1206),IF($O1206&gt;1,"-"&amp;TEXT($O1206,"00"),""),"")))</f>
        <v/>
      </c>
      <c r="B1206" s="14"/>
      <c r="C1206" s="10"/>
      <c r="D1206" s="10"/>
      <c r="E1206" s="10"/>
      <c r="F1206" s="16"/>
      <c r="G1206" s="10"/>
      <c r="H1206" s="10"/>
      <c r="I1206" s="10"/>
      <c r="J1206" s="10"/>
      <c r="K1206" s="10"/>
      <c r="L1206" s="10"/>
      <c r="M1206" s="14"/>
      <c r="N1206" s="17" t="str">
        <f aca="false">IF($B1206="","",IF($L1206="已完成",IF($M1206="","",$M1206-$B1206),IF(设置!$B$6&lt;$B1206,"",IF((设置!$B$6-$B1206)&gt;=设置!$B$5,"超期"&amp;(设置!$B$6-$B1206)&amp;"天","已等"&amp;(设置!$B$6-$B1206)&amp;"天"))))</f>
        <v/>
      </c>
      <c r="O1206" s="18" t="str">
        <f aca="false">IF(OR($D1206="",$E1206=""),"",COUNTIFS($D$7:$D1206,$D1206,$E$7:$E1206,$E1206))</f>
        <v/>
      </c>
      <c r="P1206" s="16"/>
      <c r="Q1206" s="19"/>
      <c r="R1206" s="10"/>
      <c r="S1206" s="16"/>
      <c r="T1206" s="0" t="str">
        <f aca="false">IF(OR($D1206="",单元查询!$B$3=""),"",IF($D1206&lt;&gt;单元查询!$B$3,"",IF(OR(单元查询!$D$3="",$E1206&amp;""=单元查询!$D$3&amp;""),IF(ISNUMBER($B1206),$B1206*10000,0)+ROW(),"")))</f>
        <v/>
      </c>
      <c r="U1206" s="0" t="str">
        <f aca="false">IF(OR($B1206="",$L1206="已完成"),"",IF(ISNUMBER($B1206),IF(设置!$B$6&lt;$B1206,"",(设置!$B$6-$B1206)*100000+ROW()),""))</f>
        <v/>
      </c>
      <c r="V1206" s="0" t="str">
        <f aca="false">IF(ISNUMBER($O1206),IF($O1206&gt;=2,IF(COUNTIFS($D1206:$D$2006,$D1206,$E1206:$E$2006,$E1206)=1,ROW(),""),""),"")</f>
        <v/>
      </c>
    </row>
    <row r="1207" customFormat="false" ht="15" hidden="false" customHeight="true" outlineLevel="0" collapsed="false">
      <c r="A1207" s="13" t="str">
        <f aca="false">IF(AND($B1207="",$D1207="",$E1207="",$F1207=""),"",IF(OR($B1207="",$D1207="",$E1207=""),"待补",IF($D1207="公共区域","公",IF($D1207="商铺","S",SUBSTITUTE($D1207,"栋","")))&amp;"-"&amp;$E1207&amp;"-"&amp;TEXT(MONTH($B1207),"00")&amp;TEXT(DAY($B1207),"00")&amp;IF(ISNUMBER($O1207),IF($O1207&gt;1,"-"&amp;TEXT($O1207,"00"),""),"")))</f>
        <v/>
      </c>
      <c r="B1207" s="14"/>
      <c r="C1207" s="10"/>
      <c r="D1207" s="10"/>
      <c r="E1207" s="10"/>
      <c r="F1207" s="16"/>
      <c r="G1207" s="10"/>
      <c r="H1207" s="10"/>
      <c r="I1207" s="10"/>
      <c r="J1207" s="10"/>
      <c r="K1207" s="10"/>
      <c r="L1207" s="10"/>
      <c r="M1207" s="14"/>
      <c r="N1207" s="17" t="str">
        <f aca="false">IF($B1207="","",IF($L1207="已完成",IF($M1207="","",$M1207-$B1207),IF(设置!$B$6&lt;$B1207,"",IF((设置!$B$6-$B1207)&gt;=设置!$B$5,"超期"&amp;(设置!$B$6-$B1207)&amp;"天","已等"&amp;(设置!$B$6-$B1207)&amp;"天"))))</f>
        <v/>
      </c>
      <c r="O1207" s="18" t="str">
        <f aca="false">IF(OR($D1207="",$E1207=""),"",COUNTIFS($D$7:$D1207,$D1207,$E$7:$E1207,$E1207))</f>
        <v/>
      </c>
      <c r="P1207" s="16"/>
      <c r="Q1207" s="19"/>
      <c r="R1207" s="10"/>
      <c r="S1207" s="16"/>
      <c r="T1207" s="0" t="str">
        <f aca="false">IF(OR($D1207="",单元查询!$B$3=""),"",IF($D1207&lt;&gt;单元查询!$B$3,"",IF(OR(单元查询!$D$3="",$E1207&amp;""=单元查询!$D$3&amp;""),IF(ISNUMBER($B1207),$B1207*10000,0)+ROW(),"")))</f>
        <v/>
      </c>
      <c r="U1207" s="0" t="str">
        <f aca="false">IF(OR($B1207="",$L1207="已完成"),"",IF(ISNUMBER($B1207),IF(设置!$B$6&lt;$B1207,"",(设置!$B$6-$B1207)*100000+ROW()),""))</f>
        <v/>
      </c>
      <c r="V1207" s="0" t="str">
        <f aca="false">IF(ISNUMBER($O1207),IF($O1207&gt;=2,IF(COUNTIFS($D1207:$D$2006,$D1207,$E1207:$E$2006,$E1207)=1,ROW(),""),""),"")</f>
        <v/>
      </c>
    </row>
    <row r="1208" customFormat="false" ht="15" hidden="false" customHeight="true" outlineLevel="0" collapsed="false">
      <c r="A1208" s="13" t="str">
        <f aca="false">IF(AND($B1208="",$D1208="",$E1208="",$F1208=""),"",IF(OR($B1208="",$D1208="",$E1208=""),"待补",IF($D1208="公共区域","公",IF($D1208="商铺","S",SUBSTITUTE($D1208,"栋","")))&amp;"-"&amp;$E1208&amp;"-"&amp;TEXT(MONTH($B1208),"00")&amp;TEXT(DAY($B1208),"00")&amp;IF(ISNUMBER($O1208),IF($O1208&gt;1,"-"&amp;TEXT($O1208,"00"),""),"")))</f>
        <v/>
      </c>
      <c r="B1208" s="14"/>
      <c r="C1208" s="10"/>
      <c r="D1208" s="10"/>
      <c r="E1208" s="10"/>
      <c r="F1208" s="16"/>
      <c r="G1208" s="10"/>
      <c r="H1208" s="10"/>
      <c r="I1208" s="10"/>
      <c r="J1208" s="10"/>
      <c r="K1208" s="10"/>
      <c r="L1208" s="10"/>
      <c r="M1208" s="14"/>
      <c r="N1208" s="17" t="str">
        <f aca="false">IF($B1208="","",IF($L1208="已完成",IF($M1208="","",$M1208-$B1208),IF(设置!$B$6&lt;$B1208,"",IF((设置!$B$6-$B1208)&gt;=设置!$B$5,"超期"&amp;(设置!$B$6-$B1208)&amp;"天","已等"&amp;(设置!$B$6-$B1208)&amp;"天"))))</f>
        <v/>
      </c>
      <c r="O1208" s="18" t="str">
        <f aca="false">IF(OR($D1208="",$E1208=""),"",COUNTIFS($D$7:$D1208,$D1208,$E$7:$E1208,$E1208))</f>
        <v/>
      </c>
      <c r="P1208" s="16"/>
      <c r="Q1208" s="19"/>
      <c r="R1208" s="10"/>
      <c r="S1208" s="16"/>
      <c r="T1208" s="0" t="str">
        <f aca="false">IF(OR($D1208="",单元查询!$B$3=""),"",IF($D1208&lt;&gt;单元查询!$B$3,"",IF(OR(单元查询!$D$3="",$E1208&amp;""=单元查询!$D$3&amp;""),IF(ISNUMBER($B1208),$B1208*10000,0)+ROW(),"")))</f>
        <v/>
      </c>
      <c r="U1208" s="0" t="str">
        <f aca="false">IF(OR($B1208="",$L1208="已完成"),"",IF(ISNUMBER($B1208),IF(设置!$B$6&lt;$B1208,"",(设置!$B$6-$B1208)*100000+ROW()),""))</f>
        <v/>
      </c>
      <c r="V1208" s="0" t="str">
        <f aca="false">IF(ISNUMBER($O1208),IF($O1208&gt;=2,IF(COUNTIFS($D1208:$D$2006,$D1208,$E1208:$E$2006,$E1208)=1,ROW(),""),""),"")</f>
        <v/>
      </c>
    </row>
    <row r="1209" customFormat="false" ht="15" hidden="false" customHeight="true" outlineLevel="0" collapsed="false">
      <c r="A1209" s="13" t="str">
        <f aca="false">IF(AND($B1209="",$D1209="",$E1209="",$F1209=""),"",IF(OR($B1209="",$D1209="",$E1209=""),"待补",IF($D1209="公共区域","公",IF($D1209="商铺","S",SUBSTITUTE($D1209,"栋","")))&amp;"-"&amp;$E1209&amp;"-"&amp;TEXT(MONTH($B1209),"00")&amp;TEXT(DAY($B1209),"00")&amp;IF(ISNUMBER($O1209),IF($O1209&gt;1,"-"&amp;TEXT($O1209,"00"),""),"")))</f>
        <v/>
      </c>
      <c r="B1209" s="14"/>
      <c r="C1209" s="10"/>
      <c r="D1209" s="10"/>
      <c r="E1209" s="10"/>
      <c r="F1209" s="16"/>
      <c r="G1209" s="10"/>
      <c r="H1209" s="10"/>
      <c r="I1209" s="10"/>
      <c r="J1209" s="10"/>
      <c r="K1209" s="10"/>
      <c r="L1209" s="10"/>
      <c r="M1209" s="14"/>
      <c r="N1209" s="17" t="str">
        <f aca="false">IF($B1209="","",IF($L1209="已完成",IF($M1209="","",$M1209-$B1209),IF(设置!$B$6&lt;$B1209,"",IF((设置!$B$6-$B1209)&gt;=设置!$B$5,"超期"&amp;(设置!$B$6-$B1209)&amp;"天","已等"&amp;(设置!$B$6-$B1209)&amp;"天"))))</f>
        <v/>
      </c>
      <c r="O1209" s="18" t="str">
        <f aca="false">IF(OR($D1209="",$E1209=""),"",COUNTIFS($D$7:$D1209,$D1209,$E$7:$E1209,$E1209))</f>
        <v/>
      </c>
      <c r="P1209" s="16"/>
      <c r="Q1209" s="19"/>
      <c r="R1209" s="10"/>
      <c r="S1209" s="16"/>
      <c r="T1209" s="0" t="str">
        <f aca="false">IF(OR($D1209="",单元查询!$B$3=""),"",IF($D1209&lt;&gt;单元查询!$B$3,"",IF(OR(单元查询!$D$3="",$E1209&amp;""=单元查询!$D$3&amp;""),IF(ISNUMBER($B1209),$B1209*10000,0)+ROW(),"")))</f>
        <v/>
      </c>
      <c r="U1209" s="0" t="str">
        <f aca="false">IF(OR($B1209="",$L1209="已完成"),"",IF(ISNUMBER($B1209),IF(设置!$B$6&lt;$B1209,"",(设置!$B$6-$B1209)*100000+ROW()),""))</f>
        <v/>
      </c>
      <c r="V1209" s="0" t="str">
        <f aca="false">IF(ISNUMBER($O1209),IF($O1209&gt;=2,IF(COUNTIFS($D1209:$D$2006,$D1209,$E1209:$E$2006,$E1209)=1,ROW(),""),""),"")</f>
        <v/>
      </c>
    </row>
    <row r="1210" customFormat="false" ht="15" hidden="false" customHeight="true" outlineLevel="0" collapsed="false">
      <c r="A1210" s="13" t="str">
        <f aca="false">IF(AND($B1210="",$D1210="",$E1210="",$F1210=""),"",IF(OR($B1210="",$D1210="",$E1210=""),"待补",IF($D1210="公共区域","公",IF($D1210="商铺","S",SUBSTITUTE($D1210,"栋","")))&amp;"-"&amp;$E1210&amp;"-"&amp;TEXT(MONTH($B1210),"00")&amp;TEXT(DAY($B1210),"00")&amp;IF(ISNUMBER($O1210),IF($O1210&gt;1,"-"&amp;TEXT($O1210,"00"),""),"")))</f>
        <v/>
      </c>
      <c r="B1210" s="14"/>
      <c r="C1210" s="10"/>
      <c r="D1210" s="10"/>
      <c r="E1210" s="10"/>
      <c r="F1210" s="16"/>
      <c r="G1210" s="10"/>
      <c r="H1210" s="10"/>
      <c r="I1210" s="10"/>
      <c r="J1210" s="10"/>
      <c r="K1210" s="10"/>
      <c r="L1210" s="10"/>
      <c r="M1210" s="14"/>
      <c r="N1210" s="17" t="str">
        <f aca="false">IF($B1210="","",IF($L1210="已完成",IF($M1210="","",$M1210-$B1210),IF(设置!$B$6&lt;$B1210,"",IF((设置!$B$6-$B1210)&gt;=设置!$B$5,"超期"&amp;(设置!$B$6-$B1210)&amp;"天","已等"&amp;(设置!$B$6-$B1210)&amp;"天"))))</f>
        <v/>
      </c>
      <c r="O1210" s="18" t="str">
        <f aca="false">IF(OR($D1210="",$E1210=""),"",COUNTIFS($D$7:$D1210,$D1210,$E$7:$E1210,$E1210))</f>
        <v/>
      </c>
      <c r="P1210" s="16"/>
      <c r="Q1210" s="19"/>
      <c r="R1210" s="10"/>
      <c r="S1210" s="16"/>
      <c r="T1210" s="0" t="str">
        <f aca="false">IF(OR($D1210="",单元查询!$B$3=""),"",IF($D1210&lt;&gt;单元查询!$B$3,"",IF(OR(单元查询!$D$3="",$E1210&amp;""=单元查询!$D$3&amp;""),IF(ISNUMBER($B1210),$B1210*10000,0)+ROW(),"")))</f>
        <v/>
      </c>
      <c r="U1210" s="0" t="str">
        <f aca="false">IF(OR($B1210="",$L1210="已完成"),"",IF(ISNUMBER($B1210),IF(设置!$B$6&lt;$B1210,"",(设置!$B$6-$B1210)*100000+ROW()),""))</f>
        <v/>
      </c>
      <c r="V1210" s="0" t="str">
        <f aca="false">IF(ISNUMBER($O1210),IF($O1210&gt;=2,IF(COUNTIFS($D1210:$D$2006,$D1210,$E1210:$E$2006,$E1210)=1,ROW(),""),""),"")</f>
        <v/>
      </c>
    </row>
    <row r="1211" customFormat="false" ht="15" hidden="false" customHeight="true" outlineLevel="0" collapsed="false">
      <c r="A1211" s="13" t="str">
        <f aca="false">IF(AND($B1211="",$D1211="",$E1211="",$F1211=""),"",IF(OR($B1211="",$D1211="",$E1211=""),"待补",IF($D1211="公共区域","公",IF($D1211="商铺","S",SUBSTITUTE($D1211,"栋","")))&amp;"-"&amp;$E1211&amp;"-"&amp;TEXT(MONTH($B1211),"00")&amp;TEXT(DAY($B1211),"00")&amp;IF(ISNUMBER($O1211),IF($O1211&gt;1,"-"&amp;TEXT($O1211,"00"),""),"")))</f>
        <v/>
      </c>
      <c r="B1211" s="14"/>
      <c r="C1211" s="10"/>
      <c r="D1211" s="10"/>
      <c r="E1211" s="10"/>
      <c r="F1211" s="16"/>
      <c r="G1211" s="10"/>
      <c r="H1211" s="10"/>
      <c r="I1211" s="10"/>
      <c r="J1211" s="10"/>
      <c r="K1211" s="10"/>
      <c r="L1211" s="10"/>
      <c r="M1211" s="14"/>
      <c r="N1211" s="17" t="str">
        <f aca="false">IF($B1211="","",IF($L1211="已完成",IF($M1211="","",$M1211-$B1211),IF(设置!$B$6&lt;$B1211,"",IF((设置!$B$6-$B1211)&gt;=设置!$B$5,"超期"&amp;(设置!$B$6-$B1211)&amp;"天","已等"&amp;(设置!$B$6-$B1211)&amp;"天"))))</f>
        <v/>
      </c>
      <c r="O1211" s="18" t="str">
        <f aca="false">IF(OR($D1211="",$E1211=""),"",COUNTIFS($D$7:$D1211,$D1211,$E$7:$E1211,$E1211))</f>
        <v/>
      </c>
      <c r="P1211" s="16"/>
      <c r="Q1211" s="19"/>
      <c r="R1211" s="10"/>
      <c r="S1211" s="16"/>
      <c r="T1211" s="0" t="str">
        <f aca="false">IF(OR($D1211="",单元查询!$B$3=""),"",IF($D1211&lt;&gt;单元查询!$B$3,"",IF(OR(单元查询!$D$3="",$E1211&amp;""=单元查询!$D$3&amp;""),IF(ISNUMBER($B1211),$B1211*10000,0)+ROW(),"")))</f>
        <v/>
      </c>
      <c r="U1211" s="0" t="str">
        <f aca="false">IF(OR($B1211="",$L1211="已完成"),"",IF(ISNUMBER($B1211),IF(设置!$B$6&lt;$B1211,"",(设置!$B$6-$B1211)*100000+ROW()),""))</f>
        <v/>
      </c>
      <c r="V1211" s="0" t="str">
        <f aca="false">IF(ISNUMBER($O1211),IF($O1211&gt;=2,IF(COUNTIFS($D1211:$D$2006,$D1211,$E1211:$E$2006,$E1211)=1,ROW(),""),""),"")</f>
        <v/>
      </c>
    </row>
    <row r="1212" customFormat="false" ht="15" hidden="false" customHeight="true" outlineLevel="0" collapsed="false">
      <c r="A1212" s="13" t="str">
        <f aca="false">IF(AND($B1212="",$D1212="",$E1212="",$F1212=""),"",IF(OR($B1212="",$D1212="",$E1212=""),"待补",IF($D1212="公共区域","公",IF($D1212="商铺","S",SUBSTITUTE($D1212,"栋","")))&amp;"-"&amp;$E1212&amp;"-"&amp;TEXT(MONTH($B1212),"00")&amp;TEXT(DAY($B1212),"00")&amp;IF(ISNUMBER($O1212),IF($O1212&gt;1,"-"&amp;TEXT($O1212,"00"),""),"")))</f>
        <v/>
      </c>
      <c r="B1212" s="14"/>
      <c r="C1212" s="10"/>
      <c r="D1212" s="10"/>
      <c r="E1212" s="10"/>
      <c r="F1212" s="16"/>
      <c r="G1212" s="10"/>
      <c r="H1212" s="10"/>
      <c r="I1212" s="10"/>
      <c r="J1212" s="10"/>
      <c r="K1212" s="10"/>
      <c r="L1212" s="10"/>
      <c r="M1212" s="14"/>
      <c r="N1212" s="17" t="str">
        <f aca="false">IF($B1212="","",IF($L1212="已完成",IF($M1212="","",$M1212-$B1212),IF(设置!$B$6&lt;$B1212,"",IF((设置!$B$6-$B1212)&gt;=设置!$B$5,"超期"&amp;(设置!$B$6-$B1212)&amp;"天","已等"&amp;(设置!$B$6-$B1212)&amp;"天"))))</f>
        <v/>
      </c>
      <c r="O1212" s="18" t="str">
        <f aca="false">IF(OR($D1212="",$E1212=""),"",COUNTIFS($D$7:$D1212,$D1212,$E$7:$E1212,$E1212))</f>
        <v/>
      </c>
      <c r="P1212" s="16"/>
      <c r="Q1212" s="19"/>
      <c r="R1212" s="10"/>
      <c r="S1212" s="16"/>
      <c r="T1212" s="0" t="str">
        <f aca="false">IF(OR($D1212="",单元查询!$B$3=""),"",IF($D1212&lt;&gt;单元查询!$B$3,"",IF(OR(单元查询!$D$3="",$E1212&amp;""=单元查询!$D$3&amp;""),IF(ISNUMBER($B1212),$B1212*10000,0)+ROW(),"")))</f>
        <v/>
      </c>
      <c r="U1212" s="0" t="str">
        <f aca="false">IF(OR($B1212="",$L1212="已完成"),"",IF(ISNUMBER($B1212),IF(设置!$B$6&lt;$B1212,"",(设置!$B$6-$B1212)*100000+ROW()),""))</f>
        <v/>
      </c>
      <c r="V1212" s="0" t="str">
        <f aca="false">IF(ISNUMBER($O1212),IF($O1212&gt;=2,IF(COUNTIFS($D1212:$D$2006,$D1212,$E1212:$E$2006,$E1212)=1,ROW(),""),""),"")</f>
        <v/>
      </c>
    </row>
    <row r="1213" customFormat="false" ht="15" hidden="false" customHeight="true" outlineLevel="0" collapsed="false">
      <c r="A1213" s="13" t="str">
        <f aca="false">IF(AND($B1213="",$D1213="",$E1213="",$F1213=""),"",IF(OR($B1213="",$D1213="",$E1213=""),"待补",IF($D1213="公共区域","公",IF($D1213="商铺","S",SUBSTITUTE($D1213,"栋","")))&amp;"-"&amp;$E1213&amp;"-"&amp;TEXT(MONTH($B1213),"00")&amp;TEXT(DAY($B1213),"00")&amp;IF(ISNUMBER($O1213),IF($O1213&gt;1,"-"&amp;TEXT($O1213,"00"),""),"")))</f>
        <v/>
      </c>
      <c r="B1213" s="14"/>
      <c r="C1213" s="10"/>
      <c r="D1213" s="10"/>
      <c r="E1213" s="10"/>
      <c r="F1213" s="16"/>
      <c r="G1213" s="10"/>
      <c r="H1213" s="10"/>
      <c r="I1213" s="10"/>
      <c r="J1213" s="10"/>
      <c r="K1213" s="10"/>
      <c r="L1213" s="10"/>
      <c r="M1213" s="14"/>
      <c r="N1213" s="17" t="str">
        <f aca="false">IF($B1213="","",IF($L1213="已完成",IF($M1213="","",$M1213-$B1213),IF(设置!$B$6&lt;$B1213,"",IF((设置!$B$6-$B1213)&gt;=设置!$B$5,"超期"&amp;(设置!$B$6-$B1213)&amp;"天","已等"&amp;(设置!$B$6-$B1213)&amp;"天"))))</f>
        <v/>
      </c>
      <c r="O1213" s="18" t="str">
        <f aca="false">IF(OR($D1213="",$E1213=""),"",COUNTIFS($D$7:$D1213,$D1213,$E$7:$E1213,$E1213))</f>
        <v/>
      </c>
      <c r="P1213" s="16"/>
      <c r="Q1213" s="19"/>
      <c r="R1213" s="10"/>
      <c r="S1213" s="16"/>
      <c r="T1213" s="0" t="str">
        <f aca="false">IF(OR($D1213="",单元查询!$B$3=""),"",IF($D1213&lt;&gt;单元查询!$B$3,"",IF(OR(单元查询!$D$3="",$E1213&amp;""=单元查询!$D$3&amp;""),IF(ISNUMBER($B1213),$B1213*10000,0)+ROW(),"")))</f>
        <v/>
      </c>
      <c r="U1213" s="0" t="str">
        <f aca="false">IF(OR($B1213="",$L1213="已完成"),"",IF(ISNUMBER($B1213),IF(设置!$B$6&lt;$B1213,"",(设置!$B$6-$B1213)*100000+ROW()),""))</f>
        <v/>
      </c>
      <c r="V1213" s="0" t="str">
        <f aca="false">IF(ISNUMBER($O1213),IF($O1213&gt;=2,IF(COUNTIFS($D1213:$D$2006,$D1213,$E1213:$E$2006,$E1213)=1,ROW(),""),""),"")</f>
        <v/>
      </c>
    </row>
    <row r="1214" customFormat="false" ht="15" hidden="false" customHeight="true" outlineLevel="0" collapsed="false">
      <c r="A1214" s="13" t="str">
        <f aca="false">IF(AND($B1214="",$D1214="",$E1214="",$F1214=""),"",IF(OR($B1214="",$D1214="",$E1214=""),"待补",IF($D1214="公共区域","公",IF($D1214="商铺","S",SUBSTITUTE($D1214,"栋","")))&amp;"-"&amp;$E1214&amp;"-"&amp;TEXT(MONTH($B1214),"00")&amp;TEXT(DAY($B1214),"00")&amp;IF(ISNUMBER($O1214),IF($O1214&gt;1,"-"&amp;TEXT($O1214,"00"),""),"")))</f>
        <v/>
      </c>
      <c r="B1214" s="14"/>
      <c r="C1214" s="10"/>
      <c r="D1214" s="10"/>
      <c r="E1214" s="10"/>
      <c r="F1214" s="16"/>
      <c r="G1214" s="10"/>
      <c r="H1214" s="10"/>
      <c r="I1214" s="10"/>
      <c r="J1214" s="10"/>
      <c r="K1214" s="10"/>
      <c r="L1214" s="10"/>
      <c r="M1214" s="14"/>
      <c r="N1214" s="17" t="str">
        <f aca="false">IF($B1214="","",IF($L1214="已完成",IF($M1214="","",$M1214-$B1214),IF(设置!$B$6&lt;$B1214,"",IF((设置!$B$6-$B1214)&gt;=设置!$B$5,"超期"&amp;(设置!$B$6-$B1214)&amp;"天","已等"&amp;(设置!$B$6-$B1214)&amp;"天"))))</f>
        <v/>
      </c>
      <c r="O1214" s="18" t="str">
        <f aca="false">IF(OR($D1214="",$E1214=""),"",COUNTIFS($D$7:$D1214,$D1214,$E$7:$E1214,$E1214))</f>
        <v/>
      </c>
      <c r="P1214" s="16"/>
      <c r="Q1214" s="19"/>
      <c r="R1214" s="10"/>
      <c r="S1214" s="16"/>
      <c r="T1214" s="0" t="str">
        <f aca="false">IF(OR($D1214="",单元查询!$B$3=""),"",IF($D1214&lt;&gt;单元查询!$B$3,"",IF(OR(单元查询!$D$3="",$E1214&amp;""=单元查询!$D$3&amp;""),IF(ISNUMBER($B1214),$B1214*10000,0)+ROW(),"")))</f>
        <v/>
      </c>
      <c r="U1214" s="0" t="str">
        <f aca="false">IF(OR($B1214="",$L1214="已完成"),"",IF(ISNUMBER($B1214),IF(设置!$B$6&lt;$B1214,"",(设置!$B$6-$B1214)*100000+ROW()),""))</f>
        <v/>
      </c>
      <c r="V1214" s="0" t="str">
        <f aca="false">IF(ISNUMBER($O1214),IF($O1214&gt;=2,IF(COUNTIFS($D1214:$D$2006,$D1214,$E1214:$E$2006,$E1214)=1,ROW(),""),""),"")</f>
        <v/>
      </c>
    </row>
    <row r="1215" customFormat="false" ht="15" hidden="false" customHeight="true" outlineLevel="0" collapsed="false">
      <c r="A1215" s="13" t="str">
        <f aca="false">IF(AND($B1215="",$D1215="",$E1215="",$F1215=""),"",IF(OR($B1215="",$D1215="",$E1215=""),"待补",IF($D1215="公共区域","公",IF($D1215="商铺","S",SUBSTITUTE($D1215,"栋","")))&amp;"-"&amp;$E1215&amp;"-"&amp;TEXT(MONTH($B1215),"00")&amp;TEXT(DAY($B1215),"00")&amp;IF(ISNUMBER($O1215),IF($O1215&gt;1,"-"&amp;TEXT($O1215,"00"),""),"")))</f>
        <v/>
      </c>
      <c r="B1215" s="14"/>
      <c r="C1215" s="10"/>
      <c r="D1215" s="10"/>
      <c r="E1215" s="10"/>
      <c r="F1215" s="16"/>
      <c r="G1215" s="10"/>
      <c r="H1215" s="10"/>
      <c r="I1215" s="10"/>
      <c r="J1215" s="10"/>
      <c r="K1215" s="10"/>
      <c r="L1215" s="10"/>
      <c r="M1215" s="14"/>
      <c r="N1215" s="17" t="str">
        <f aca="false">IF($B1215="","",IF($L1215="已完成",IF($M1215="","",$M1215-$B1215),IF(设置!$B$6&lt;$B1215,"",IF((设置!$B$6-$B1215)&gt;=设置!$B$5,"超期"&amp;(设置!$B$6-$B1215)&amp;"天","已等"&amp;(设置!$B$6-$B1215)&amp;"天"))))</f>
        <v/>
      </c>
      <c r="O1215" s="18" t="str">
        <f aca="false">IF(OR($D1215="",$E1215=""),"",COUNTIFS($D$7:$D1215,$D1215,$E$7:$E1215,$E1215))</f>
        <v/>
      </c>
      <c r="P1215" s="16"/>
      <c r="Q1215" s="19"/>
      <c r="R1215" s="10"/>
      <c r="S1215" s="16"/>
      <c r="T1215" s="0" t="str">
        <f aca="false">IF(OR($D1215="",单元查询!$B$3=""),"",IF($D1215&lt;&gt;单元查询!$B$3,"",IF(OR(单元查询!$D$3="",$E1215&amp;""=单元查询!$D$3&amp;""),IF(ISNUMBER($B1215),$B1215*10000,0)+ROW(),"")))</f>
        <v/>
      </c>
      <c r="U1215" s="0" t="str">
        <f aca="false">IF(OR($B1215="",$L1215="已完成"),"",IF(ISNUMBER($B1215),IF(设置!$B$6&lt;$B1215,"",(设置!$B$6-$B1215)*100000+ROW()),""))</f>
        <v/>
      </c>
      <c r="V1215" s="0" t="str">
        <f aca="false">IF(ISNUMBER($O1215),IF($O1215&gt;=2,IF(COUNTIFS($D1215:$D$2006,$D1215,$E1215:$E$2006,$E1215)=1,ROW(),""),""),"")</f>
        <v/>
      </c>
    </row>
    <row r="1216" customFormat="false" ht="15" hidden="false" customHeight="true" outlineLevel="0" collapsed="false">
      <c r="A1216" s="13" t="str">
        <f aca="false">IF(AND($B1216="",$D1216="",$E1216="",$F1216=""),"",IF(OR($B1216="",$D1216="",$E1216=""),"待补",IF($D1216="公共区域","公",IF($D1216="商铺","S",SUBSTITUTE($D1216,"栋","")))&amp;"-"&amp;$E1216&amp;"-"&amp;TEXT(MONTH($B1216),"00")&amp;TEXT(DAY($B1216),"00")&amp;IF(ISNUMBER($O1216),IF($O1216&gt;1,"-"&amp;TEXT($O1216,"00"),""),"")))</f>
        <v/>
      </c>
      <c r="B1216" s="14"/>
      <c r="C1216" s="10"/>
      <c r="D1216" s="10"/>
      <c r="E1216" s="10"/>
      <c r="F1216" s="16"/>
      <c r="G1216" s="10"/>
      <c r="H1216" s="10"/>
      <c r="I1216" s="10"/>
      <c r="J1216" s="10"/>
      <c r="K1216" s="10"/>
      <c r="L1216" s="10"/>
      <c r="M1216" s="14"/>
      <c r="N1216" s="17" t="str">
        <f aca="false">IF($B1216="","",IF($L1216="已完成",IF($M1216="","",$M1216-$B1216),IF(设置!$B$6&lt;$B1216,"",IF((设置!$B$6-$B1216)&gt;=设置!$B$5,"超期"&amp;(设置!$B$6-$B1216)&amp;"天","已等"&amp;(设置!$B$6-$B1216)&amp;"天"))))</f>
        <v/>
      </c>
      <c r="O1216" s="18" t="str">
        <f aca="false">IF(OR($D1216="",$E1216=""),"",COUNTIFS($D$7:$D1216,$D1216,$E$7:$E1216,$E1216))</f>
        <v/>
      </c>
      <c r="P1216" s="16"/>
      <c r="Q1216" s="19"/>
      <c r="R1216" s="10"/>
      <c r="S1216" s="16"/>
      <c r="T1216" s="0" t="str">
        <f aca="false">IF(OR($D1216="",单元查询!$B$3=""),"",IF($D1216&lt;&gt;单元查询!$B$3,"",IF(OR(单元查询!$D$3="",$E1216&amp;""=单元查询!$D$3&amp;""),IF(ISNUMBER($B1216),$B1216*10000,0)+ROW(),"")))</f>
        <v/>
      </c>
      <c r="U1216" s="0" t="str">
        <f aca="false">IF(OR($B1216="",$L1216="已完成"),"",IF(ISNUMBER($B1216),IF(设置!$B$6&lt;$B1216,"",(设置!$B$6-$B1216)*100000+ROW()),""))</f>
        <v/>
      </c>
      <c r="V1216" s="0" t="str">
        <f aca="false">IF(ISNUMBER($O1216),IF($O1216&gt;=2,IF(COUNTIFS($D1216:$D$2006,$D1216,$E1216:$E$2006,$E1216)=1,ROW(),""),""),"")</f>
        <v/>
      </c>
    </row>
    <row r="1217" customFormat="false" ht="15" hidden="false" customHeight="true" outlineLevel="0" collapsed="false">
      <c r="A1217" s="13" t="str">
        <f aca="false">IF(AND($B1217="",$D1217="",$E1217="",$F1217=""),"",IF(OR($B1217="",$D1217="",$E1217=""),"待补",IF($D1217="公共区域","公",IF($D1217="商铺","S",SUBSTITUTE($D1217,"栋","")))&amp;"-"&amp;$E1217&amp;"-"&amp;TEXT(MONTH($B1217),"00")&amp;TEXT(DAY($B1217),"00")&amp;IF(ISNUMBER($O1217),IF($O1217&gt;1,"-"&amp;TEXT($O1217,"00"),""),"")))</f>
        <v/>
      </c>
      <c r="B1217" s="14"/>
      <c r="C1217" s="10"/>
      <c r="D1217" s="10"/>
      <c r="E1217" s="10"/>
      <c r="F1217" s="16"/>
      <c r="G1217" s="10"/>
      <c r="H1217" s="10"/>
      <c r="I1217" s="10"/>
      <c r="J1217" s="10"/>
      <c r="K1217" s="10"/>
      <c r="L1217" s="10"/>
      <c r="M1217" s="14"/>
      <c r="N1217" s="17" t="str">
        <f aca="false">IF($B1217="","",IF($L1217="已完成",IF($M1217="","",$M1217-$B1217),IF(设置!$B$6&lt;$B1217,"",IF((设置!$B$6-$B1217)&gt;=设置!$B$5,"超期"&amp;(设置!$B$6-$B1217)&amp;"天","已等"&amp;(设置!$B$6-$B1217)&amp;"天"))))</f>
        <v/>
      </c>
      <c r="O1217" s="18" t="str">
        <f aca="false">IF(OR($D1217="",$E1217=""),"",COUNTIFS($D$7:$D1217,$D1217,$E$7:$E1217,$E1217))</f>
        <v/>
      </c>
      <c r="P1217" s="16"/>
      <c r="Q1217" s="19"/>
      <c r="R1217" s="10"/>
      <c r="S1217" s="16"/>
      <c r="T1217" s="0" t="str">
        <f aca="false">IF(OR($D1217="",单元查询!$B$3=""),"",IF($D1217&lt;&gt;单元查询!$B$3,"",IF(OR(单元查询!$D$3="",$E1217&amp;""=单元查询!$D$3&amp;""),IF(ISNUMBER($B1217),$B1217*10000,0)+ROW(),"")))</f>
        <v/>
      </c>
      <c r="U1217" s="0" t="str">
        <f aca="false">IF(OR($B1217="",$L1217="已完成"),"",IF(ISNUMBER($B1217),IF(设置!$B$6&lt;$B1217,"",(设置!$B$6-$B1217)*100000+ROW()),""))</f>
        <v/>
      </c>
      <c r="V1217" s="0" t="str">
        <f aca="false">IF(ISNUMBER($O1217),IF($O1217&gt;=2,IF(COUNTIFS($D1217:$D$2006,$D1217,$E1217:$E$2006,$E1217)=1,ROW(),""),""),"")</f>
        <v/>
      </c>
    </row>
    <row r="1218" customFormat="false" ht="15" hidden="false" customHeight="true" outlineLevel="0" collapsed="false">
      <c r="A1218" s="13" t="str">
        <f aca="false">IF(AND($B1218="",$D1218="",$E1218="",$F1218=""),"",IF(OR($B1218="",$D1218="",$E1218=""),"待补",IF($D1218="公共区域","公",IF($D1218="商铺","S",SUBSTITUTE($D1218,"栋","")))&amp;"-"&amp;$E1218&amp;"-"&amp;TEXT(MONTH($B1218),"00")&amp;TEXT(DAY($B1218),"00")&amp;IF(ISNUMBER($O1218),IF($O1218&gt;1,"-"&amp;TEXT($O1218,"00"),""),"")))</f>
        <v/>
      </c>
      <c r="B1218" s="14"/>
      <c r="C1218" s="10"/>
      <c r="D1218" s="10"/>
      <c r="E1218" s="10"/>
      <c r="F1218" s="16"/>
      <c r="G1218" s="10"/>
      <c r="H1218" s="10"/>
      <c r="I1218" s="10"/>
      <c r="J1218" s="10"/>
      <c r="K1218" s="10"/>
      <c r="L1218" s="10"/>
      <c r="M1218" s="14"/>
      <c r="N1218" s="17" t="str">
        <f aca="false">IF($B1218="","",IF($L1218="已完成",IF($M1218="","",$M1218-$B1218),IF(设置!$B$6&lt;$B1218,"",IF((设置!$B$6-$B1218)&gt;=设置!$B$5,"超期"&amp;(设置!$B$6-$B1218)&amp;"天","已等"&amp;(设置!$B$6-$B1218)&amp;"天"))))</f>
        <v/>
      </c>
      <c r="O1218" s="18" t="str">
        <f aca="false">IF(OR($D1218="",$E1218=""),"",COUNTIFS($D$7:$D1218,$D1218,$E$7:$E1218,$E1218))</f>
        <v/>
      </c>
      <c r="P1218" s="16"/>
      <c r="Q1218" s="19"/>
      <c r="R1218" s="10"/>
      <c r="S1218" s="16"/>
      <c r="T1218" s="0" t="str">
        <f aca="false">IF(OR($D1218="",单元查询!$B$3=""),"",IF($D1218&lt;&gt;单元查询!$B$3,"",IF(OR(单元查询!$D$3="",$E1218&amp;""=单元查询!$D$3&amp;""),IF(ISNUMBER($B1218),$B1218*10000,0)+ROW(),"")))</f>
        <v/>
      </c>
      <c r="U1218" s="0" t="str">
        <f aca="false">IF(OR($B1218="",$L1218="已完成"),"",IF(ISNUMBER($B1218),IF(设置!$B$6&lt;$B1218,"",(设置!$B$6-$B1218)*100000+ROW()),""))</f>
        <v/>
      </c>
      <c r="V1218" s="0" t="str">
        <f aca="false">IF(ISNUMBER($O1218),IF($O1218&gt;=2,IF(COUNTIFS($D1218:$D$2006,$D1218,$E1218:$E$2006,$E1218)=1,ROW(),""),""),"")</f>
        <v/>
      </c>
    </row>
    <row r="1219" customFormat="false" ht="15" hidden="false" customHeight="true" outlineLevel="0" collapsed="false">
      <c r="A1219" s="13" t="str">
        <f aca="false">IF(AND($B1219="",$D1219="",$E1219="",$F1219=""),"",IF(OR($B1219="",$D1219="",$E1219=""),"待补",IF($D1219="公共区域","公",IF($D1219="商铺","S",SUBSTITUTE($D1219,"栋","")))&amp;"-"&amp;$E1219&amp;"-"&amp;TEXT(MONTH($B1219),"00")&amp;TEXT(DAY($B1219),"00")&amp;IF(ISNUMBER($O1219),IF($O1219&gt;1,"-"&amp;TEXT($O1219,"00"),""),"")))</f>
        <v/>
      </c>
      <c r="B1219" s="14"/>
      <c r="C1219" s="10"/>
      <c r="D1219" s="10"/>
      <c r="E1219" s="10"/>
      <c r="F1219" s="16"/>
      <c r="G1219" s="10"/>
      <c r="H1219" s="10"/>
      <c r="I1219" s="10"/>
      <c r="J1219" s="10"/>
      <c r="K1219" s="10"/>
      <c r="L1219" s="10"/>
      <c r="M1219" s="14"/>
      <c r="N1219" s="17" t="str">
        <f aca="false">IF($B1219="","",IF($L1219="已完成",IF($M1219="","",$M1219-$B1219),IF(设置!$B$6&lt;$B1219,"",IF((设置!$B$6-$B1219)&gt;=设置!$B$5,"超期"&amp;(设置!$B$6-$B1219)&amp;"天","已等"&amp;(设置!$B$6-$B1219)&amp;"天"))))</f>
        <v/>
      </c>
      <c r="O1219" s="18" t="str">
        <f aca="false">IF(OR($D1219="",$E1219=""),"",COUNTIFS($D$7:$D1219,$D1219,$E$7:$E1219,$E1219))</f>
        <v/>
      </c>
      <c r="P1219" s="16"/>
      <c r="Q1219" s="19"/>
      <c r="R1219" s="10"/>
      <c r="S1219" s="16"/>
      <c r="T1219" s="0" t="str">
        <f aca="false">IF(OR($D1219="",单元查询!$B$3=""),"",IF($D1219&lt;&gt;单元查询!$B$3,"",IF(OR(单元查询!$D$3="",$E1219&amp;""=单元查询!$D$3&amp;""),IF(ISNUMBER($B1219),$B1219*10000,0)+ROW(),"")))</f>
        <v/>
      </c>
      <c r="U1219" s="0" t="str">
        <f aca="false">IF(OR($B1219="",$L1219="已完成"),"",IF(ISNUMBER($B1219),IF(设置!$B$6&lt;$B1219,"",(设置!$B$6-$B1219)*100000+ROW()),""))</f>
        <v/>
      </c>
      <c r="V1219" s="0" t="str">
        <f aca="false">IF(ISNUMBER($O1219),IF($O1219&gt;=2,IF(COUNTIFS($D1219:$D$2006,$D1219,$E1219:$E$2006,$E1219)=1,ROW(),""),""),"")</f>
        <v/>
      </c>
    </row>
    <row r="1220" customFormat="false" ht="15" hidden="false" customHeight="true" outlineLevel="0" collapsed="false">
      <c r="A1220" s="13" t="str">
        <f aca="false">IF(AND($B1220="",$D1220="",$E1220="",$F1220=""),"",IF(OR($B1220="",$D1220="",$E1220=""),"待补",IF($D1220="公共区域","公",IF($D1220="商铺","S",SUBSTITUTE($D1220,"栋","")))&amp;"-"&amp;$E1220&amp;"-"&amp;TEXT(MONTH($B1220),"00")&amp;TEXT(DAY($B1220),"00")&amp;IF(ISNUMBER($O1220),IF($O1220&gt;1,"-"&amp;TEXT($O1220,"00"),""),"")))</f>
        <v/>
      </c>
      <c r="B1220" s="14"/>
      <c r="C1220" s="10"/>
      <c r="D1220" s="10"/>
      <c r="E1220" s="10"/>
      <c r="F1220" s="16"/>
      <c r="G1220" s="10"/>
      <c r="H1220" s="10"/>
      <c r="I1220" s="10"/>
      <c r="J1220" s="10"/>
      <c r="K1220" s="10"/>
      <c r="L1220" s="10"/>
      <c r="M1220" s="14"/>
      <c r="N1220" s="17" t="str">
        <f aca="false">IF($B1220="","",IF($L1220="已完成",IF($M1220="","",$M1220-$B1220),IF(设置!$B$6&lt;$B1220,"",IF((设置!$B$6-$B1220)&gt;=设置!$B$5,"超期"&amp;(设置!$B$6-$B1220)&amp;"天","已等"&amp;(设置!$B$6-$B1220)&amp;"天"))))</f>
        <v/>
      </c>
      <c r="O1220" s="18" t="str">
        <f aca="false">IF(OR($D1220="",$E1220=""),"",COUNTIFS($D$7:$D1220,$D1220,$E$7:$E1220,$E1220))</f>
        <v/>
      </c>
      <c r="P1220" s="16"/>
      <c r="Q1220" s="19"/>
      <c r="R1220" s="10"/>
      <c r="S1220" s="16"/>
      <c r="T1220" s="0" t="str">
        <f aca="false">IF(OR($D1220="",单元查询!$B$3=""),"",IF($D1220&lt;&gt;单元查询!$B$3,"",IF(OR(单元查询!$D$3="",$E1220&amp;""=单元查询!$D$3&amp;""),IF(ISNUMBER($B1220),$B1220*10000,0)+ROW(),"")))</f>
        <v/>
      </c>
      <c r="U1220" s="0" t="str">
        <f aca="false">IF(OR($B1220="",$L1220="已完成"),"",IF(ISNUMBER($B1220),IF(设置!$B$6&lt;$B1220,"",(设置!$B$6-$B1220)*100000+ROW()),""))</f>
        <v/>
      </c>
      <c r="V1220" s="0" t="str">
        <f aca="false">IF(ISNUMBER($O1220),IF($O1220&gt;=2,IF(COUNTIFS($D1220:$D$2006,$D1220,$E1220:$E$2006,$E1220)=1,ROW(),""),""),"")</f>
        <v/>
      </c>
    </row>
    <row r="1221" customFormat="false" ht="15" hidden="false" customHeight="true" outlineLevel="0" collapsed="false">
      <c r="A1221" s="13" t="str">
        <f aca="false">IF(AND($B1221="",$D1221="",$E1221="",$F1221=""),"",IF(OR($B1221="",$D1221="",$E1221=""),"待补",IF($D1221="公共区域","公",IF($D1221="商铺","S",SUBSTITUTE($D1221,"栋","")))&amp;"-"&amp;$E1221&amp;"-"&amp;TEXT(MONTH($B1221),"00")&amp;TEXT(DAY($B1221),"00")&amp;IF(ISNUMBER($O1221),IF($O1221&gt;1,"-"&amp;TEXT($O1221,"00"),""),"")))</f>
        <v/>
      </c>
      <c r="B1221" s="14"/>
      <c r="C1221" s="10"/>
      <c r="D1221" s="10"/>
      <c r="E1221" s="10"/>
      <c r="F1221" s="16"/>
      <c r="G1221" s="10"/>
      <c r="H1221" s="10"/>
      <c r="I1221" s="10"/>
      <c r="J1221" s="10"/>
      <c r="K1221" s="10"/>
      <c r="L1221" s="10"/>
      <c r="M1221" s="14"/>
      <c r="N1221" s="17" t="str">
        <f aca="false">IF($B1221="","",IF($L1221="已完成",IF($M1221="","",$M1221-$B1221),IF(设置!$B$6&lt;$B1221,"",IF((设置!$B$6-$B1221)&gt;=设置!$B$5,"超期"&amp;(设置!$B$6-$B1221)&amp;"天","已等"&amp;(设置!$B$6-$B1221)&amp;"天"))))</f>
        <v/>
      </c>
      <c r="O1221" s="18" t="str">
        <f aca="false">IF(OR($D1221="",$E1221=""),"",COUNTIFS($D$7:$D1221,$D1221,$E$7:$E1221,$E1221))</f>
        <v/>
      </c>
      <c r="P1221" s="16"/>
      <c r="Q1221" s="19"/>
      <c r="R1221" s="10"/>
      <c r="S1221" s="16"/>
      <c r="T1221" s="0" t="str">
        <f aca="false">IF(OR($D1221="",单元查询!$B$3=""),"",IF($D1221&lt;&gt;单元查询!$B$3,"",IF(OR(单元查询!$D$3="",$E1221&amp;""=单元查询!$D$3&amp;""),IF(ISNUMBER($B1221),$B1221*10000,0)+ROW(),"")))</f>
        <v/>
      </c>
      <c r="U1221" s="0" t="str">
        <f aca="false">IF(OR($B1221="",$L1221="已完成"),"",IF(ISNUMBER($B1221),IF(设置!$B$6&lt;$B1221,"",(设置!$B$6-$B1221)*100000+ROW()),""))</f>
        <v/>
      </c>
      <c r="V1221" s="0" t="str">
        <f aca="false">IF(ISNUMBER($O1221),IF($O1221&gt;=2,IF(COUNTIFS($D1221:$D$2006,$D1221,$E1221:$E$2006,$E1221)=1,ROW(),""),""),"")</f>
        <v/>
      </c>
    </row>
    <row r="1222" customFormat="false" ht="15" hidden="false" customHeight="true" outlineLevel="0" collapsed="false">
      <c r="A1222" s="13" t="str">
        <f aca="false">IF(AND($B1222="",$D1222="",$E1222="",$F1222=""),"",IF(OR($B1222="",$D1222="",$E1222=""),"待补",IF($D1222="公共区域","公",IF($D1222="商铺","S",SUBSTITUTE($D1222,"栋","")))&amp;"-"&amp;$E1222&amp;"-"&amp;TEXT(MONTH($B1222),"00")&amp;TEXT(DAY($B1222),"00")&amp;IF(ISNUMBER($O1222),IF($O1222&gt;1,"-"&amp;TEXT($O1222,"00"),""),"")))</f>
        <v/>
      </c>
      <c r="B1222" s="14"/>
      <c r="C1222" s="10"/>
      <c r="D1222" s="10"/>
      <c r="E1222" s="10"/>
      <c r="F1222" s="16"/>
      <c r="G1222" s="10"/>
      <c r="H1222" s="10"/>
      <c r="I1222" s="10"/>
      <c r="J1222" s="10"/>
      <c r="K1222" s="10"/>
      <c r="L1222" s="10"/>
      <c r="M1222" s="14"/>
      <c r="N1222" s="17" t="str">
        <f aca="false">IF($B1222="","",IF($L1222="已完成",IF($M1222="","",$M1222-$B1222),IF(设置!$B$6&lt;$B1222,"",IF((设置!$B$6-$B1222)&gt;=设置!$B$5,"超期"&amp;(设置!$B$6-$B1222)&amp;"天","已等"&amp;(设置!$B$6-$B1222)&amp;"天"))))</f>
        <v/>
      </c>
      <c r="O1222" s="18" t="str">
        <f aca="false">IF(OR($D1222="",$E1222=""),"",COUNTIFS($D$7:$D1222,$D1222,$E$7:$E1222,$E1222))</f>
        <v/>
      </c>
      <c r="P1222" s="16"/>
      <c r="Q1222" s="19"/>
      <c r="R1222" s="10"/>
      <c r="S1222" s="16"/>
      <c r="T1222" s="0" t="str">
        <f aca="false">IF(OR($D1222="",单元查询!$B$3=""),"",IF($D1222&lt;&gt;单元查询!$B$3,"",IF(OR(单元查询!$D$3="",$E1222&amp;""=单元查询!$D$3&amp;""),IF(ISNUMBER($B1222),$B1222*10000,0)+ROW(),"")))</f>
        <v/>
      </c>
      <c r="U1222" s="0" t="str">
        <f aca="false">IF(OR($B1222="",$L1222="已完成"),"",IF(ISNUMBER($B1222),IF(设置!$B$6&lt;$B1222,"",(设置!$B$6-$B1222)*100000+ROW()),""))</f>
        <v/>
      </c>
      <c r="V1222" s="0" t="str">
        <f aca="false">IF(ISNUMBER($O1222),IF($O1222&gt;=2,IF(COUNTIFS($D1222:$D$2006,$D1222,$E1222:$E$2006,$E1222)=1,ROW(),""),""),"")</f>
        <v/>
      </c>
    </row>
    <row r="1223" customFormat="false" ht="15" hidden="false" customHeight="true" outlineLevel="0" collapsed="false">
      <c r="A1223" s="13" t="str">
        <f aca="false">IF(AND($B1223="",$D1223="",$E1223="",$F1223=""),"",IF(OR($B1223="",$D1223="",$E1223=""),"待补",IF($D1223="公共区域","公",IF($D1223="商铺","S",SUBSTITUTE($D1223,"栋","")))&amp;"-"&amp;$E1223&amp;"-"&amp;TEXT(MONTH($B1223),"00")&amp;TEXT(DAY($B1223),"00")&amp;IF(ISNUMBER($O1223),IF($O1223&gt;1,"-"&amp;TEXT($O1223,"00"),""),"")))</f>
        <v/>
      </c>
      <c r="B1223" s="14"/>
      <c r="C1223" s="10"/>
      <c r="D1223" s="10"/>
      <c r="E1223" s="10"/>
      <c r="F1223" s="16"/>
      <c r="G1223" s="10"/>
      <c r="H1223" s="10"/>
      <c r="I1223" s="10"/>
      <c r="J1223" s="10"/>
      <c r="K1223" s="10"/>
      <c r="L1223" s="10"/>
      <c r="M1223" s="14"/>
      <c r="N1223" s="17" t="str">
        <f aca="false">IF($B1223="","",IF($L1223="已完成",IF($M1223="","",$M1223-$B1223),IF(设置!$B$6&lt;$B1223,"",IF((设置!$B$6-$B1223)&gt;=设置!$B$5,"超期"&amp;(设置!$B$6-$B1223)&amp;"天","已等"&amp;(设置!$B$6-$B1223)&amp;"天"))))</f>
        <v/>
      </c>
      <c r="O1223" s="18" t="str">
        <f aca="false">IF(OR($D1223="",$E1223=""),"",COUNTIFS($D$7:$D1223,$D1223,$E$7:$E1223,$E1223))</f>
        <v/>
      </c>
      <c r="P1223" s="16"/>
      <c r="Q1223" s="19"/>
      <c r="R1223" s="10"/>
      <c r="S1223" s="16"/>
      <c r="T1223" s="0" t="str">
        <f aca="false">IF(OR($D1223="",单元查询!$B$3=""),"",IF($D1223&lt;&gt;单元查询!$B$3,"",IF(OR(单元查询!$D$3="",$E1223&amp;""=单元查询!$D$3&amp;""),IF(ISNUMBER($B1223),$B1223*10000,0)+ROW(),"")))</f>
        <v/>
      </c>
      <c r="U1223" s="0" t="str">
        <f aca="false">IF(OR($B1223="",$L1223="已完成"),"",IF(ISNUMBER($B1223),IF(设置!$B$6&lt;$B1223,"",(设置!$B$6-$B1223)*100000+ROW()),""))</f>
        <v/>
      </c>
      <c r="V1223" s="0" t="str">
        <f aca="false">IF(ISNUMBER($O1223),IF($O1223&gt;=2,IF(COUNTIFS($D1223:$D$2006,$D1223,$E1223:$E$2006,$E1223)=1,ROW(),""),""),"")</f>
        <v/>
      </c>
    </row>
    <row r="1224" customFormat="false" ht="15" hidden="false" customHeight="true" outlineLevel="0" collapsed="false">
      <c r="A1224" s="13" t="str">
        <f aca="false">IF(AND($B1224="",$D1224="",$E1224="",$F1224=""),"",IF(OR($B1224="",$D1224="",$E1224=""),"待补",IF($D1224="公共区域","公",IF($D1224="商铺","S",SUBSTITUTE($D1224,"栋","")))&amp;"-"&amp;$E1224&amp;"-"&amp;TEXT(MONTH($B1224),"00")&amp;TEXT(DAY($B1224),"00")&amp;IF(ISNUMBER($O1224),IF($O1224&gt;1,"-"&amp;TEXT($O1224,"00"),""),"")))</f>
        <v/>
      </c>
      <c r="B1224" s="14"/>
      <c r="C1224" s="10"/>
      <c r="D1224" s="10"/>
      <c r="E1224" s="10"/>
      <c r="F1224" s="16"/>
      <c r="G1224" s="10"/>
      <c r="H1224" s="10"/>
      <c r="I1224" s="10"/>
      <c r="J1224" s="10"/>
      <c r="K1224" s="10"/>
      <c r="L1224" s="10"/>
      <c r="M1224" s="14"/>
      <c r="N1224" s="17" t="str">
        <f aca="false">IF($B1224="","",IF($L1224="已完成",IF($M1224="","",$M1224-$B1224),IF(设置!$B$6&lt;$B1224,"",IF((设置!$B$6-$B1224)&gt;=设置!$B$5,"超期"&amp;(设置!$B$6-$B1224)&amp;"天","已等"&amp;(设置!$B$6-$B1224)&amp;"天"))))</f>
        <v/>
      </c>
      <c r="O1224" s="18" t="str">
        <f aca="false">IF(OR($D1224="",$E1224=""),"",COUNTIFS($D$7:$D1224,$D1224,$E$7:$E1224,$E1224))</f>
        <v/>
      </c>
      <c r="P1224" s="16"/>
      <c r="Q1224" s="19"/>
      <c r="R1224" s="10"/>
      <c r="S1224" s="16"/>
      <c r="T1224" s="0" t="str">
        <f aca="false">IF(OR($D1224="",单元查询!$B$3=""),"",IF($D1224&lt;&gt;单元查询!$B$3,"",IF(OR(单元查询!$D$3="",$E1224&amp;""=单元查询!$D$3&amp;""),IF(ISNUMBER($B1224),$B1224*10000,0)+ROW(),"")))</f>
        <v/>
      </c>
      <c r="U1224" s="0" t="str">
        <f aca="false">IF(OR($B1224="",$L1224="已完成"),"",IF(ISNUMBER($B1224),IF(设置!$B$6&lt;$B1224,"",(设置!$B$6-$B1224)*100000+ROW()),""))</f>
        <v/>
      </c>
      <c r="V1224" s="0" t="str">
        <f aca="false">IF(ISNUMBER($O1224),IF($O1224&gt;=2,IF(COUNTIFS($D1224:$D$2006,$D1224,$E1224:$E$2006,$E1224)=1,ROW(),""),""),"")</f>
        <v/>
      </c>
    </row>
    <row r="1225" customFormat="false" ht="15" hidden="false" customHeight="true" outlineLevel="0" collapsed="false">
      <c r="A1225" s="13" t="str">
        <f aca="false">IF(AND($B1225="",$D1225="",$E1225="",$F1225=""),"",IF(OR($B1225="",$D1225="",$E1225=""),"待补",IF($D1225="公共区域","公",IF($D1225="商铺","S",SUBSTITUTE($D1225,"栋","")))&amp;"-"&amp;$E1225&amp;"-"&amp;TEXT(MONTH($B1225),"00")&amp;TEXT(DAY($B1225),"00")&amp;IF(ISNUMBER($O1225),IF($O1225&gt;1,"-"&amp;TEXT($O1225,"00"),""),"")))</f>
        <v/>
      </c>
      <c r="B1225" s="14"/>
      <c r="C1225" s="10"/>
      <c r="D1225" s="10"/>
      <c r="E1225" s="10"/>
      <c r="F1225" s="16"/>
      <c r="G1225" s="10"/>
      <c r="H1225" s="10"/>
      <c r="I1225" s="10"/>
      <c r="J1225" s="10"/>
      <c r="K1225" s="10"/>
      <c r="L1225" s="10"/>
      <c r="M1225" s="14"/>
      <c r="N1225" s="17" t="str">
        <f aca="false">IF($B1225="","",IF($L1225="已完成",IF($M1225="","",$M1225-$B1225),IF(设置!$B$6&lt;$B1225,"",IF((设置!$B$6-$B1225)&gt;=设置!$B$5,"超期"&amp;(设置!$B$6-$B1225)&amp;"天","已等"&amp;(设置!$B$6-$B1225)&amp;"天"))))</f>
        <v/>
      </c>
      <c r="O1225" s="18" t="str">
        <f aca="false">IF(OR($D1225="",$E1225=""),"",COUNTIFS($D$7:$D1225,$D1225,$E$7:$E1225,$E1225))</f>
        <v/>
      </c>
      <c r="P1225" s="16"/>
      <c r="Q1225" s="19"/>
      <c r="R1225" s="10"/>
      <c r="S1225" s="16"/>
      <c r="T1225" s="0" t="str">
        <f aca="false">IF(OR($D1225="",单元查询!$B$3=""),"",IF($D1225&lt;&gt;单元查询!$B$3,"",IF(OR(单元查询!$D$3="",$E1225&amp;""=单元查询!$D$3&amp;""),IF(ISNUMBER($B1225),$B1225*10000,0)+ROW(),"")))</f>
        <v/>
      </c>
      <c r="U1225" s="0" t="str">
        <f aca="false">IF(OR($B1225="",$L1225="已完成"),"",IF(ISNUMBER($B1225),IF(设置!$B$6&lt;$B1225,"",(设置!$B$6-$B1225)*100000+ROW()),""))</f>
        <v/>
      </c>
      <c r="V1225" s="0" t="str">
        <f aca="false">IF(ISNUMBER($O1225),IF($O1225&gt;=2,IF(COUNTIFS($D1225:$D$2006,$D1225,$E1225:$E$2006,$E1225)=1,ROW(),""),""),"")</f>
        <v/>
      </c>
    </row>
    <row r="1226" customFormat="false" ht="15" hidden="false" customHeight="true" outlineLevel="0" collapsed="false">
      <c r="A1226" s="13" t="str">
        <f aca="false">IF(AND($B1226="",$D1226="",$E1226="",$F1226=""),"",IF(OR($B1226="",$D1226="",$E1226=""),"待补",IF($D1226="公共区域","公",IF($D1226="商铺","S",SUBSTITUTE($D1226,"栋","")))&amp;"-"&amp;$E1226&amp;"-"&amp;TEXT(MONTH($B1226),"00")&amp;TEXT(DAY($B1226),"00")&amp;IF(ISNUMBER($O1226),IF($O1226&gt;1,"-"&amp;TEXT($O1226,"00"),""),"")))</f>
        <v/>
      </c>
      <c r="B1226" s="14"/>
      <c r="C1226" s="10"/>
      <c r="D1226" s="10"/>
      <c r="E1226" s="10"/>
      <c r="F1226" s="16"/>
      <c r="G1226" s="10"/>
      <c r="H1226" s="10"/>
      <c r="I1226" s="10"/>
      <c r="J1226" s="10"/>
      <c r="K1226" s="10"/>
      <c r="L1226" s="10"/>
      <c r="M1226" s="14"/>
      <c r="N1226" s="17" t="str">
        <f aca="false">IF($B1226="","",IF($L1226="已完成",IF($M1226="","",$M1226-$B1226),IF(设置!$B$6&lt;$B1226,"",IF((设置!$B$6-$B1226)&gt;=设置!$B$5,"超期"&amp;(设置!$B$6-$B1226)&amp;"天","已等"&amp;(设置!$B$6-$B1226)&amp;"天"))))</f>
        <v/>
      </c>
      <c r="O1226" s="18" t="str">
        <f aca="false">IF(OR($D1226="",$E1226=""),"",COUNTIFS($D$7:$D1226,$D1226,$E$7:$E1226,$E1226))</f>
        <v/>
      </c>
      <c r="P1226" s="16"/>
      <c r="Q1226" s="19"/>
      <c r="R1226" s="10"/>
      <c r="S1226" s="16"/>
      <c r="T1226" s="0" t="str">
        <f aca="false">IF(OR($D1226="",单元查询!$B$3=""),"",IF($D1226&lt;&gt;单元查询!$B$3,"",IF(OR(单元查询!$D$3="",$E1226&amp;""=单元查询!$D$3&amp;""),IF(ISNUMBER($B1226),$B1226*10000,0)+ROW(),"")))</f>
        <v/>
      </c>
      <c r="U1226" s="0" t="str">
        <f aca="false">IF(OR($B1226="",$L1226="已完成"),"",IF(ISNUMBER($B1226),IF(设置!$B$6&lt;$B1226,"",(设置!$B$6-$B1226)*100000+ROW()),""))</f>
        <v/>
      </c>
      <c r="V1226" s="0" t="str">
        <f aca="false">IF(ISNUMBER($O1226),IF($O1226&gt;=2,IF(COUNTIFS($D1226:$D$2006,$D1226,$E1226:$E$2006,$E1226)=1,ROW(),""),""),"")</f>
        <v/>
      </c>
    </row>
    <row r="1227" customFormat="false" ht="15" hidden="false" customHeight="true" outlineLevel="0" collapsed="false">
      <c r="A1227" s="13" t="str">
        <f aca="false">IF(AND($B1227="",$D1227="",$E1227="",$F1227=""),"",IF(OR($B1227="",$D1227="",$E1227=""),"待补",IF($D1227="公共区域","公",IF($D1227="商铺","S",SUBSTITUTE($D1227,"栋","")))&amp;"-"&amp;$E1227&amp;"-"&amp;TEXT(MONTH($B1227),"00")&amp;TEXT(DAY($B1227),"00")&amp;IF(ISNUMBER($O1227),IF($O1227&gt;1,"-"&amp;TEXT($O1227,"00"),""),"")))</f>
        <v/>
      </c>
      <c r="B1227" s="14"/>
      <c r="C1227" s="10"/>
      <c r="D1227" s="10"/>
      <c r="E1227" s="10"/>
      <c r="F1227" s="16"/>
      <c r="G1227" s="10"/>
      <c r="H1227" s="10"/>
      <c r="I1227" s="10"/>
      <c r="J1227" s="10"/>
      <c r="K1227" s="10"/>
      <c r="L1227" s="10"/>
      <c r="M1227" s="14"/>
      <c r="N1227" s="17" t="str">
        <f aca="false">IF($B1227="","",IF($L1227="已完成",IF($M1227="","",$M1227-$B1227),IF(设置!$B$6&lt;$B1227,"",IF((设置!$B$6-$B1227)&gt;=设置!$B$5,"超期"&amp;(设置!$B$6-$B1227)&amp;"天","已等"&amp;(设置!$B$6-$B1227)&amp;"天"))))</f>
        <v/>
      </c>
      <c r="O1227" s="18" t="str">
        <f aca="false">IF(OR($D1227="",$E1227=""),"",COUNTIFS($D$7:$D1227,$D1227,$E$7:$E1227,$E1227))</f>
        <v/>
      </c>
      <c r="P1227" s="16"/>
      <c r="Q1227" s="19"/>
      <c r="R1227" s="10"/>
      <c r="S1227" s="16"/>
      <c r="T1227" s="0" t="str">
        <f aca="false">IF(OR($D1227="",单元查询!$B$3=""),"",IF($D1227&lt;&gt;单元查询!$B$3,"",IF(OR(单元查询!$D$3="",$E1227&amp;""=单元查询!$D$3&amp;""),IF(ISNUMBER($B1227),$B1227*10000,0)+ROW(),"")))</f>
        <v/>
      </c>
      <c r="U1227" s="0" t="str">
        <f aca="false">IF(OR($B1227="",$L1227="已完成"),"",IF(ISNUMBER($B1227),IF(设置!$B$6&lt;$B1227,"",(设置!$B$6-$B1227)*100000+ROW()),""))</f>
        <v/>
      </c>
      <c r="V1227" s="0" t="str">
        <f aca="false">IF(ISNUMBER($O1227),IF($O1227&gt;=2,IF(COUNTIFS($D1227:$D$2006,$D1227,$E1227:$E$2006,$E1227)=1,ROW(),""),""),"")</f>
        <v/>
      </c>
    </row>
    <row r="1228" customFormat="false" ht="15" hidden="false" customHeight="true" outlineLevel="0" collapsed="false">
      <c r="A1228" s="13" t="str">
        <f aca="false">IF(AND($B1228="",$D1228="",$E1228="",$F1228=""),"",IF(OR($B1228="",$D1228="",$E1228=""),"待补",IF($D1228="公共区域","公",IF($D1228="商铺","S",SUBSTITUTE($D1228,"栋","")))&amp;"-"&amp;$E1228&amp;"-"&amp;TEXT(MONTH($B1228),"00")&amp;TEXT(DAY($B1228),"00")&amp;IF(ISNUMBER($O1228),IF($O1228&gt;1,"-"&amp;TEXT($O1228,"00"),""),"")))</f>
        <v/>
      </c>
      <c r="B1228" s="14"/>
      <c r="C1228" s="10"/>
      <c r="D1228" s="10"/>
      <c r="E1228" s="10"/>
      <c r="F1228" s="16"/>
      <c r="G1228" s="10"/>
      <c r="H1228" s="10"/>
      <c r="I1228" s="10"/>
      <c r="J1228" s="10"/>
      <c r="K1228" s="10"/>
      <c r="L1228" s="10"/>
      <c r="M1228" s="14"/>
      <c r="N1228" s="17" t="str">
        <f aca="false">IF($B1228="","",IF($L1228="已完成",IF($M1228="","",$M1228-$B1228),IF(设置!$B$6&lt;$B1228,"",IF((设置!$B$6-$B1228)&gt;=设置!$B$5,"超期"&amp;(设置!$B$6-$B1228)&amp;"天","已等"&amp;(设置!$B$6-$B1228)&amp;"天"))))</f>
        <v/>
      </c>
      <c r="O1228" s="18" t="str">
        <f aca="false">IF(OR($D1228="",$E1228=""),"",COUNTIFS($D$7:$D1228,$D1228,$E$7:$E1228,$E1228))</f>
        <v/>
      </c>
      <c r="P1228" s="16"/>
      <c r="Q1228" s="19"/>
      <c r="R1228" s="10"/>
      <c r="S1228" s="16"/>
      <c r="T1228" s="0" t="str">
        <f aca="false">IF(OR($D1228="",单元查询!$B$3=""),"",IF($D1228&lt;&gt;单元查询!$B$3,"",IF(OR(单元查询!$D$3="",$E1228&amp;""=单元查询!$D$3&amp;""),IF(ISNUMBER($B1228),$B1228*10000,0)+ROW(),"")))</f>
        <v/>
      </c>
      <c r="U1228" s="0" t="str">
        <f aca="false">IF(OR($B1228="",$L1228="已完成"),"",IF(ISNUMBER($B1228),IF(设置!$B$6&lt;$B1228,"",(设置!$B$6-$B1228)*100000+ROW()),""))</f>
        <v/>
      </c>
      <c r="V1228" s="0" t="str">
        <f aca="false">IF(ISNUMBER($O1228),IF($O1228&gt;=2,IF(COUNTIFS($D1228:$D$2006,$D1228,$E1228:$E$2006,$E1228)=1,ROW(),""),""),"")</f>
        <v/>
      </c>
    </row>
    <row r="1229" customFormat="false" ht="15" hidden="false" customHeight="true" outlineLevel="0" collapsed="false">
      <c r="A1229" s="13" t="str">
        <f aca="false">IF(AND($B1229="",$D1229="",$E1229="",$F1229=""),"",IF(OR($B1229="",$D1229="",$E1229=""),"待补",IF($D1229="公共区域","公",IF($D1229="商铺","S",SUBSTITUTE($D1229,"栋","")))&amp;"-"&amp;$E1229&amp;"-"&amp;TEXT(MONTH($B1229),"00")&amp;TEXT(DAY($B1229),"00")&amp;IF(ISNUMBER($O1229),IF($O1229&gt;1,"-"&amp;TEXT($O1229,"00"),""),"")))</f>
        <v/>
      </c>
      <c r="B1229" s="14"/>
      <c r="C1229" s="10"/>
      <c r="D1229" s="10"/>
      <c r="E1229" s="10"/>
      <c r="F1229" s="16"/>
      <c r="G1229" s="10"/>
      <c r="H1229" s="10"/>
      <c r="I1229" s="10"/>
      <c r="J1229" s="10"/>
      <c r="K1229" s="10"/>
      <c r="L1229" s="10"/>
      <c r="M1229" s="14"/>
      <c r="N1229" s="17" t="str">
        <f aca="false">IF($B1229="","",IF($L1229="已完成",IF($M1229="","",$M1229-$B1229),IF(设置!$B$6&lt;$B1229,"",IF((设置!$B$6-$B1229)&gt;=设置!$B$5,"超期"&amp;(设置!$B$6-$B1229)&amp;"天","已等"&amp;(设置!$B$6-$B1229)&amp;"天"))))</f>
        <v/>
      </c>
      <c r="O1229" s="18" t="str">
        <f aca="false">IF(OR($D1229="",$E1229=""),"",COUNTIFS($D$7:$D1229,$D1229,$E$7:$E1229,$E1229))</f>
        <v/>
      </c>
      <c r="P1229" s="16"/>
      <c r="Q1229" s="19"/>
      <c r="R1229" s="10"/>
      <c r="S1229" s="16"/>
      <c r="T1229" s="0" t="str">
        <f aca="false">IF(OR($D1229="",单元查询!$B$3=""),"",IF($D1229&lt;&gt;单元查询!$B$3,"",IF(OR(单元查询!$D$3="",$E1229&amp;""=单元查询!$D$3&amp;""),IF(ISNUMBER($B1229),$B1229*10000,0)+ROW(),"")))</f>
        <v/>
      </c>
      <c r="U1229" s="0" t="str">
        <f aca="false">IF(OR($B1229="",$L1229="已完成"),"",IF(ISNUMBER($B1229),IF(设置!$B$6&lt;$B1229,"",(设置!$B$6-$B1229)*100000+ROW()),""))</f>
        <v/>
      </c>
      <c r="V1229" s="0" t="str">
        <f aca="false">IF(ISNUMBER($O1229),IF($O1229&gt;=2,IF(COUNTIFS($D1229:$D$2006,$D1229,$E1229:$E$2006,$E1229)=1,ROW(),""),""),"")</f>
        <v/>
      </c>
    </row>
    <row r="1230" customFormat="false" ht="15" hidden="false" customHeight="true" outlineLevel="0" collapsed="false">
      <c r="A1230" s="13" t="str">
        <f aca="false">IF(AND($B1230="",$D1230="",$E1230="",$F1230=""),"",IF(OR($B1230="",$D1230="",$E1230=""),"待补",IF($D1230="公共区域","公",IF($D1230="商铺","S",SUBSTITUTE($D1230,"栋","")))&amp;"-"&amp;$E1230&amp;"-"&amp;TEXT(MONTH($B1230),"00")&amp;TEXT(DAY($B1230),"00")&amp;IF(ISNUMBER($O1230),IF($O1230&gt;1,"-"&amp;TEXT($O1230,"00"),""),"")))</f>
        <v/>
      </c>
      <c r="B1230" s="14"/>
      <c r="C1230" s="10"/>
      <c r="D1230" s="10"/>
      <c r="E1230" s="10"/>
      <c r="F1230" s="16"/>
      <c r="G1230" s="10"/>
      <c r="H1230" s="10"/>
      <c r="I1230" s="10"/>
      <c r="J1230" s="10"/>
      <c r="K1230" s="10"/>
      <c r="L1230" s="10"/>
      <c r="M1230" s="14"/>
      <c r="N1230" s="17" t="str">
        <f aca="false">IF($B1230="","",IF($L1230="已完成",IF($M1230="","",$M1230-$B1230),IF(设置!$B$6&lt;$B1230,"",IF((设置!$B$6-$B1230)&gt;=设置!$B$5,"超期"&amp;(设置!$B$6-$B1230)&amp;"天","已等"&amp;(设置!$B$6-$B1230)&amp;"天"))))</f>
        <v/>
      </c>
      <c r="O1230" s="18" t="str">
        <f aca="false">IF(OR($D1230="",$E1230=""),"",COUNTIFS($D$7:$D1230,$D1230,$E$7:$E1230,$E1230))</f>
        <v/>
      </c>
      <c r="P1230" s="16"/>
      <c r="Q1230" s="19"/>
      <c r="R1230" s="10"/>
      <c r="S1230" s="16"/>
      <c r="T1230" s="0" t="str">
        <f aca="false">IF(OR($D1230="",单元查询!$B$3=""),"",IF($D1230&lt;&gt;单元查询!$B$3,"",IF(OR(单元查询!$D$3="",$E1230&amp;""=单元查询!$D$3&amp;""),IF(ISNUMBER($B1230),$B1230*10000,0)+ROW(),"")))</f>
        <v/>
      </c>
      <c r="U1230" s="0" t="str">
        <f aca="false">IF(OR($B1230="",$L1230="已完成"),"",IF(ISNUMBER($B1230),IF(设置!$B$6&lt;$B1230,"",(设置!$B$6-$B1230)*100000+ROW()),""))</f>
        <v/>
      </c>
      <c r="V1230" s="0" t="str">
        <f aca="false">IF(ISNUMBER($O1230),IF($O1230&gt;=2,IF(COUNTIFS($D1230:$D$2006,$D1230,$E1230:$E$2006,$E1230)=1,ROW(),""),""),"")</f>
        <v/>
      </c>
    </row>
    <row r="1231" customFormat="false" ht="15" hidden="false" customHeight="true" outlineLevel="0" collapsed="false">
      <c r="A1231" s="13" t="str">
        <f aca="false">IF(AND($B1231="",$D1231="",$E1231="",$F1231=""),"",IF(OR($B1231="",$D1231="",$E1231=""),"待补",IF($D1231="公共区域","公",IF($D1231="商铺","S",SUBSTITUTE($D1231,"栋","")))&amp;"-"&amp;$E1231&amp;"-"&amp;TEXT(MONTH($B1231),"00")&amp;TEXT(DAY($B1231),"00")&amp;IF(ISNUMBER($O1231),IF($O1231&gt;1,"-"&amp;TEXT($O1231,"00"),""),"")))</f>
        <v/>
      </c>
      <c r="B1231" s="14"/>
      <c r="C1231" s="10"/>
      <c r="D1231" s="10"/>
      <c r="E1231" s="10"/>
      <c r="F1231" s="16"/>
      <c r="G1231" s="10"/>
      <c r="H1231" s="10"/>
      <c r="I1231" s="10"/>
      <c r="J1231" s="10"/>
      <c r="K1231" s="10"/>
      <c r="L1231" s="10"/>
      <c r="M1231" s="14"/>
      <c r="N1231" s="17" t="str">
        <f aca="false">IF($B1231="","",IF($L1231="已完成",IF($M1231="","",$M1231-$B1231),IF(设置!$B$6&lt;$B1231,"",IF((设置!$B$6-$B1231)&gt;=设置!$B$5,"超期"&amp;(设置!$B$6-$B1231)&amp;"天","已等"&amp;(设置!$B$6-$B1231)&amp;"天"))))</f>
        <v/>
      </c>
      <c r="O1231" s="18" t="str">
        <f aca="false">IF(OR($D1231="",$E1231=""),"",COUNTIFS($D$7:$D1231,$D1231,$E$7:$E1231,$E1231))</f>
        <v/>
      </c>
      <c r="P1231" s="16"/>
      <c r="Q1231" s="19"/>
      <c r="R1231" s="10"/>
      <c r="S1231" s="16"/>
      <c r="T1231" s="0" t="str">
        <f aca="false">IF(OR($D1231="",单元查询!$B$3=""),"",IF($D1231&lt;&gt;单元查询!$B$3,"",IF(OR(单元查询!$D$3="",$E1231&amp;""=单元查询!$D$3&amp;""),IF(ISNUMBER($B1231),$B1231*10000,0)+ROW(),"")))</f>
        <v/>
      </c>
      <c r="U1231" s="0" t="str">
        <f aca="false">IF(OR($B1231="",$L1231="已完成"),"",IF(ISNUMBER($B1231),IF(设置!$B$6&lt;$B1231,"",(设置!$B$6-$B1231)*100000+ROW()),""))</f>
        <v/>
      </c>
      <c r="V1231" s="0" t="str">
        <f aca="false">IF(ISNUMBER($O1231),IF($O1231&gt;=2,IF(COUNTIFS($D1231:$D$2006,$D1231,$E1231:$E$2006,$E1231)=1,ROW(),""),""),"")</f>
        <v/>
      </c>
    </row>
    <row r="1232" customFormat="false" ht="15" hidden="false" customHeight="true" outlineLevel="0" collapsed="false">
      <c r="A1232" s="13" t="str">
        <f aca="false">IF(AND($B1232="",$D1232="",$E1232="",$F1232=""),"",IF(OR($B1232="",$D1232="",$E1232=""),"待补",IF($D1232="公共区域","公",IF($D1232="商铺","S",SUBSTITUTE($D1232,"栋","")))&amp;"-"&amp;$E1232&amp;"-"&amp;TEXT(MONTH($B1232),"00")&amp;TEXT(DAY($B1232),"00")&amp;IF(ISNUMBER($O1232),IF($O1232&gt;1,"-"&amp;TEXT($O1232,"00"),""),"")))</f>
        <v/>
      </c>
      <c r="B1232" s="14"/>
      <c r="C1232" s="10"/>
      <c r="D1232" s="10"/>
      <c r="E1232" s="10"/>
      <c r="F1232" s="16"/>
      <c r="G1232" s="10"/>
      <c r="H1232" s="10"/>
      <c r="I1232" s="10"/>
      <c r="J1232" s="10"/>
      <c r="K1232" s="10"/>
      <c r="L1232" s="10"/>
      <c r="M1232" s="14"/>
      <c r="N1232" s="17" t="str">
        <f aca="false">IF($B1232="","",IF($L1232="已完成",IF($M1232="","",$M1232-$B1232),IF(设置!$B$6&lt;$B1232,"",IF((设置!$B$6-$B1232)&gt;=设置!$B$5,"超期"&amp;(设置!$B$6-$B1232)&amp;"天","已等"&amp;(设置!$B$6-$B1232)&amp;"天"))))</f>
        <v/>
      </c>
      <c r="O1232" s="18" t="str">
        <f aca="false">IF(OR($D1232="",$E1232=""),"",COUNTIFS($D$7:$D1232,$D1232,$E$7:$E1232,$E1232))</f>
        <v/>
      </c>
      <c r="P1232" s="16"/>
      <c r="Q1232" s="19"/>
      <c r="R1232" s="10"/>
      <c r="S1232" s="16"/>
      <c r="T1232" s="0" t="str">
        <f aca="false">IF(OR($D1232="",单元查询!$B$3=""),"",IF($D1232&lt;&gt;单元查询!$B$3,"",IF(OR(单元查询!$D$3="",$E1232&amp;""=单元查询!$D$3&amp;""),IF(ISNUMBER($B1232),$B1232*10000,0)+ROW(),"")))</f>
        <v/>
      </c>
      <c r="U1232" s="0" t="str">
        <f aca="false">IF(OR($B1232="",$L1232="已完成"),"",IF(ISNUMBER($B1232),IF(设置!$B$6&lt;$B1232,"",(设置!$B$6-$B1232)*100000+ROW()),""))</f>
        <v/>
      </c>
      <c r="V1232" s="0" t="str">
        <f aca="false">IF(ISNUMBER($O1232),IF($O1232&gt;=2,IF(COUNTIFS($D1232:$D$2006,$D1232,$E1232:$E$2006,$E1232)=1,ROW(),""),""),"")</f>
        <v/>
      </c>
    </row>
    <row r="1233" customFormat="false" ht="15" hidden="false" customHeight="true" outlineLevel="0" collapsed="false">
      <c r="A1233" s="13" t="str">
        <f aca="false">IF(AND($B1233="",$D1233="",$E1233="",$F1233=""),"",IF(OR($B1233="",$D1233="",$E1233=""),"待补",IF($D1233="公共区域","公",IF($D1233="商铺","S",SUBSTITUTE($D1233,"栋","")))&amp;"-"&amp;$E1233&amp;"-"&amp;TEXT(MONTH($B1233),"00")&amp;TEXT(DAY($B1233),"00")&amp;IF(ISNUMBER($O1233),IF($O1233&gt;1,"-"&amp;TEXT($O1233,"00"),""),"")))</f>
        <v/>
      </c>
      <c r="B1233" s="14"/>
      <c r="C1233" s="10"/>
      <c r="D1233" s="10"/>
      <c r="E1233" s="10"/>
      <c r="F1233" s="16"/>
      <c r=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IF($B1233="","",IF($L1233="已完成",IF($M1233="","",$M1233-$B1233),IF(设置!$B$6&lt;$B1233,"",IF((设置!$B$6-$B1233)&gt;=设置!$B$5,"超期"&amp;(设置!$B$6-$B1233)&amp;"天","已等"&amp;(设置!$B$6-$B1233)&amp;"天"))))</f>
        <v/>
      </c>
      <c r="O1233" s="18" t="str">
        <f aca="false">IF(OR($D1233="",$E1233=""),"",COUNTIFS($D$7:$D1233,$D1233,$E$7:$E1233,$E1233))</f>
        <v/>
      </c>
      <c r="P1233" s="16"/>
      <c r="Q1233" s="19"/>
      <c r="R1233" s="10"/>
      <c r="S1233" s="16"/>
      <c r="T1233" s="0" t="str">
        <f aca="false">IF(OR($D1233="",单元查询!$B$3=""),"",IF($D1233&lt;&gt;单元查询!$B$3,"",IF(OR(单元查询!$D$3="",$E1233&amp;""=单元查询!$D$3&amp;""),IF(ISNUMBER($B1233),$B1233*10000,0)+ROW(),"")))</f>
        <v/>
      </c>
      <c r="U1233" s="0" t="str">
        <f aca="false">IF(OR($B1233="",$L1233="已完成"),"",IF(ISNUMBER($B1233),IF(设置!$B$6&lt;$B1233,"",(设置!$B$6-$B1233)*100000+ROW()),""))</f>
        <v/>
      </c>
      <c r="V1233" s="0" t="str">
        <f aca="false">IF(ISNUMBER($O1233),IF($O1233&gt;=2,IF(COUNTIFS($D1233:$D$2006,$D1233,$E1233:$E$2006,$E1233)=1,ROW(),""),""),"")</f>
        <v/>
      </c>
    </row>
    <row r="1234" customFormat="false" ht="15" hidden="false" customHeight="true" outlineLevel="0" collapsed="false">
      <c r="A1234" s="13" t="str">
        <f aca="false">IF(AND($B1234="",$D1234="",$E1234="",$F1234=""),"",IF(OR($B1234="",$D1234="",$E1234=""),"待补",IF($D1234="公共区域","公",IF($D1234="商铺","S",SUBSTITUTE($D1234,"栋","")))&amp;"-"&amp;$E1234&amp;"-"&amp;TEXT(MONTH($B1234),"00")&amp;TEXT(DAY($B1234),"00")&amp;IF(ISNUMBER($O1234),IF($O1234&gt;1,"-"&amp;TEXT($O1234,"00"),""),"")))</f>
        <v/>
      </c>
      <c r="B1234" s="14"/>
      <c r="C1234" s="10"/>
      <c r="D1234" s="10"/>
      <c r="E1234" s="10"/>
      <c r="F1234" s="16"/>
      <c r="G1234" s="10"/>
      <c r="H1234" s="10"/>
      <c r="I1234" s="10"/>
      <c r="J1234" s="10"/>
      <c r="K1234" s="10"/>
      <c r="L1234" s="10"/>
      <c r="M1234" s="14"/>
      <c r="N1234" s="17" t="str">
        <f aca="false">IF($B1234="","",IF($L1234="已完成",IF($M1234="","",$M1234-$B1234),IF(设置!$B$6&lt;$B1234,"",IF((设置!$B$6-$B1234)&gt;=设置!$B$5,"超期"&amp;(设置!$B$6-$B1234)&amp;"天","已等"&amp;(设置!$B$6-$B1234)&amp;"天"))))</f>
        <v/>
      </c>
      <c r="O1234" s="18" t="str">
        <f aca="false">IF(OR($D1234="",$E1234=""),"",COUNTIFS($D$7:$D1234,$D1234,$E$7:$E1234,$E1234))</f>
        <v/>
      </c>
      <c r="P1234" s="16"/>
      <c r="Q1234" s="19"/>
      <c r="R1234" s="10"/>
      <c r="S1234" s="16"/>
      <c r="T1234" s="0" t="str">
        <f aca="false">IF(OR($D1234="",单元查询!$B$3=""),"",IF($D1234&lt;&gt;单元查询!$B$3,"",IF(OR(单元查询!$D$3="",$E1234&amp;""=单元查询!$D$3&amp;""),IF(ISNUMBER($B1234),$B1234*10000,0)+ROW(),"")))</f>
        <v/>
      </c>
      <c r="U1234" s="0" t="str">
        <f aca="false">IF(OR($B1234="",$L1234="已完成"),"",IF(ISNUMBER($B1234),IF(设置!$B$6&lt;$B1234,"",(设置!$B$6-$B1234)*100000+ROW()),""))</f>
        <v/>
      </c>
      <c r="V1234" s="0" t="str">
        <f aca="false">IF(ISNUMBER($O1234),IF($O1234&gt;=2,IF(COUNTIFS($D1234:$D$2006,$D1234,$E1234:$E$2006,$E1234)=1,ROW(),""),""),"")</f>
        <v/>
      </c>
    </row>
    <row r="1235" customFormat="false" ht="15" hidden="false" customHeight="true" outlineLevel="0" collapsed="false">
      <c r="A1235" s="13" t="str">
        <f aca="false">IF(AND($B1235="",$D1235="",$E1235="",$F1235=""),"",IF(OR($B1235="",$D1235="",$E1235=""),"待补",IF($D1235="公共区域","公",IF($D1235="商铺","S",SUBSTITUTE($D1235,"栋","")))&amp;"-"&amp;$E1235&amp;"-"&amp;TEXT(MONTH($B1235),"00")&amp;TEXT(DAY($B1235),"00")&amp;IF(ISNUMBER($O1235),IF($O1235&gt;1,"-"&amp;TEXT($O1235,"00"),""),"")))</f>
        <v/>
      </c>
      <c r="B1235" s="14"/>
      <c r="C1235" s="10"/>
      <c r="D1235" s="10"/>
      <c r="E1235" s="10"/>
      <c r="F1235" s="16"/>
      <c r="G1235" s="10"/>
      <c r="H1235" s="10"/>
      <c r="I1235" s="10"/>
      <c r="J1235" s="10"/>
      <c r="K1235" s="10"/>
      <c r="L1235" s="10"/>
      <c r="M1235" s="14"/>
      <c r="N1235" s="17" t="str">
        <f aca="false">IF($B1235="","",IF($L1235="已完成",IF($M1235="","",$M1235-$B1235),IF(设置!$B$6&lt;$B1235,"",IF((设置!$B$6-$B1235)&gt;=设置!$B$5,"超期"&amp;(设置!$B$6-$B1235)&amp;"天","已等"&amp;(设置!$B$6-$B1235)&amp;"天"))))</f>
        <v/>
      </c>
      <c r="O1235" s="18" t="str">
        <f aca="false">IF(OR($D1235="",$E1235=""),"",COUNTIFS($D$7:$D1235,$D1235,$E$7:$E1235,$E1235))</f>
        <v/>
      </c>
      <c r="P1235" s="16"/>
      <c r="Q1235" s="19"/>
      <c r="R1235" s="10"/>
      <c r="S1235" s="16"/>
      <c r="T1235" s="0" t="str">
        <f aca="false">IF(OR($D1235="",单元查询!$B$3=""),"",IF($D1235&lt;&gt;单元查询!$B$3,"",IF(OR(单元查询!$D$3="",$E1235&amp;""=单元查询!$D$3&amp;""),IF(ISNUMBER($B1235),$B1235*10000,0)+ROW(),"")))</f>
        <v/>
      </c>
      <c r="U1235" s="0" t="str">
        <f aca="false">IF(OR($B1235="",$L1235="已完成"),"",IF(ISNUMBER($B1235),IF(设置!$B$6&lt;$B1235,"",(设置!$B$6-$B1235)*100000+ROW()),""))</f>
        <v/>
      </c>
      <c r="V1235" s="0" t="str">
        <f aca="false">IF(ISNUMBER($O1235),IF($O1235&gt;=2,IF(COUNTIFS($D1235:$D$2006,$D1235,$E1235:$E$2006,$E1235)=1,ROW(),""),""),"")</f>
        <v/>
      </c>
    </row>
    <row r="1236" customFormat="false" ht="15" hidden="false" customHeight="true" outlineLevel="0" collapsed="false">
      <c r="A1236" s="13" t="str">
        <f aca="false">IF(AND($B1236="",$D1236="",$E1236="",$F1236=""),"",IF(OR($B1236="",$D1236="",$E1236=""),"待补",IF($D1236="公共区域","公",IF($D1236="商铺","S",SUBSTITUTE($D1236,"栋","")))&amp;"-"&amp;$E1236&amp;"-"&amp;TEXT(MONTH($B1236),"00")&amp;TEXT(DAY($B1236),"00")&amp;IF(ISNUMBER($O1236),IF($O1236&gt;1,"-"&amp;TEXT($O1236,"00"),""),"")))</f>
        <v/>
      </c>
      <c r="B1236" s="14"/>
      <c r="C1236" s="10"/>
      <c r="D1236" s="10"/>
      <c r="E1236" s="10"/>
      <c r="F1236" s="16"/>
      <c r="G1236" s="10"/>
      <c r="H1236" s="10"/>
      <c r="I1236" s="10"/>
      <c r="J1236" s="10"/>
      <c r="K1236" s="10"/>
      <c r="L1236" s="10"/>
      <c r="M1236" s="14"/>
      <c r="N1236" s="17" t="str">
        <f aca="false">IF($B1236="","",IF($L1236="已完成",IF($M1236="","",$M1236-$B1236),IF(设置!$B$6&lt;$B1236,"",IF((设置!$B$6-$B1236)&gt;=设置!$B$5,"超期"&amp;(设置!$B$6-$B1236)&amp;"天","已等"&amp;(设置!$B$6-$B1236)&amp;"天"))))</f>
        <v/>
      </c>
      <c r="O1236" s="18" t="str">
        <f aca="false">IF(OR($D1236="",$E1236=""),"",COUNTIFS($D$7:$D1236,$D1236,$E$7:$E1236,$E1236))</f>
        <v/>
      </c>
      <c r="P1236" s="16"/>
      <c r="Q1236" s="19"/>
      <c r="R1236" s="10"/>
      <c r="S1236" s="16"/>
      <c r="T1236" s="0" t="str">
        <f aca="false">IF(OR($D1236="",单元查询!$B$3=""),"",IF($D1236&lt;&gt;单元查询!$B$3,"",IF(OR(单元查询!$D$3="",$E1236&amp;""=单元查询!$D$3&amp;""),IF(ISNUMBER($B1236),$B1236*10000,0)+ROW(),"")))</f>
        <v/>
      </c>
      <c r="U1236" s="0" t="str">
        <f aca="false">IF(OR($B1236="",$L1236="已完成"),"",IF(ISNUMBER($B1236),IF(设置!$B$6&lt;$B1236,"",(设置!$B$6-$B1236)*100000+ROW()),""))</f>
        <v/>
      </c>
      <c r="V1236" s="0" t="str">
        <f aca="false">IF(ISNUMBER($O1236),IF($O1236&gt;=2,IF(COUNTIFS($D1236:$D$2006,$D1236,$E1236:$E$2006,$E1236)=1,ROW(),""),""),"")</f>
        <v/>
      </c>
    </row>
    <row r="1237" customFormat="false" ht="15" hidden="false" customHeight="true" outlineLevel="0" collapsed="false">
      <c r="A1237" s="13" t="str">
        <f aca="false">IF(AND($B1237="",$D1237="",$E1237="",$F1237=""),"",IF(OR($B1237="",$D1237="",$E1237=""),"待补",IF($D1237="公共区域","公",IF($D1237="商铺","S",SUBSTITUTE($D1237,"栋","")))&amp;"-"&amp;$E1237&amp;"-"&amp;TEXT(MONTH($B1237),"00")&amp;TEXT(DAY($B1237),"00")&amp;IF(ISNUMBER($O1237),IF($O1237&gt;1,"-"&amp;TEXT($O1237,"00"),""),"")))</f>
        <v/>
      </c>
      <c r="B1237" s="14"/>
      <c r="C1237" s="10"/>
      <c r="D1237" s="10"/>
      <c r="E1237" s="10"/>
      <c r="F1237" s="16"/>
      <c r="G1237" s="10"/>
      <c r="H1237" s="10"/>
      <c r="I1237" s="10"/>
      <c r="J1237" s="10"/>
      <c r="K1237" s="10"/>
      <c r="L1237" s="10"/>
      <c r="M1237" s="14"/>
      <c r="N1237" s="17" t="str">
        <f aca="false">IF($B1237="","",IF($L1237="已完成",IF($M1237="","",$M1237-$B1237),IF(设置!$B$6&lt;$B1237,"",IF((设置!$B$6-$B1237)&gt;=设置!$B$5,"超期"&amp;(设置!$B$6-$B1237)&amp;"天","已等"&amp;(设置!$B$6-$B1237)&amp;"天"))))</f>
        <v/>
      </c>
      <c r="O1237" s="18" t="str">
        <f aca="false">IF(OR($D1237="",$E1237=""),"",COUNTIFS($D$7:$D1237,$D1237,$E$7:$E1237,$E1237))</f>
        <v/>
      </c>
      <c r="P1237" s="16"/>
      <c r="Q1237" s="19"/>
      <c r="R1237" s="10"/>
      <c r="S1237" s="16"/>
      <c r="T1237" s="0" t="str">
        <f aca="false">IF(OR($D1237="",单元查询!$B$3=""),"",IF($D1237&lt;&gt;单元查询!$B$3,"",IF(OR(单元查询!$D$3="",$E1237&amp;""=单元查询!$D$3&amp;""),IF(ISNUMBER($B1237),$B1237*10000,0)+ROW(),"")))</f>
        <v/>
      </c>
      <c r="U1237" s="0" t="str">
        <f aca="false">IF(OR($B1237="",$L1237="已完成"),"",IF(ISNUMBER($B1237),IF(设置!$B$6&lt;$B1237,"",(设置!$B$6-$B1237)*100000+ROW()),""))</f>
        <v/>
      </c>
      <c r="V1237" s="0" t="str">
        <f aca="false">IF(ISNUMBER($O1237),IF($O1237&gt;=2,IF(COUNTIFS($D1237:$D$2006,$D1237,$E1237:$E$2006,$E1237)=1,ROW(),""),""),"")</f>
        <v/>
      </c>
    </row>
    <row r="1238" customFormat="false" ht="15" hidden="false" customHeight="true" outlineLevel="0" collapsed="false">
      <c r="A1238" s="13" t="str">
        <f aca="false">IF(AND($B1238="",$D1238="",$E1238="",$F1238=""),"",IF(OR($B1238="",$D1238="",$E1238=""),"待补",IF($D1238="公共区域","公",IF($D1238="商铺","S",SUBSTITUTE($D1238,"栋","")))&amp;"-"&amp;$E1238&amp;"-"&amp;TEXT(MONTH($B1238),"00")&amp;TEXT(DAY($B1238),"00")&amp;IF(ISNUMBER($O1238),IF($O1238&gt;1,"-"&amp;TEXT($O1238,"00"),""),"")))</f>
        <v/>
      </c>
      <c r="B1238" s="14"/>
      <c r="C1238" s="10"/>
      <c r="D1238" s="10"/>
      <c r="E1238" s="10"/>
      <c r="F1238" s="16"/>
      <c r="G1238" s="10"/>
      <c r="H1238" s="10"/>
      <c r="I1238" s="10"/>
      <c r="J1238" s="10"/>
      <c r="K1238" s="10"/>
      <c r="L1238" s="10"/>
      <c r="M1238" s="14"/>
      <c r="N1238" s="17" t="str">
        <f aca="false">IF($B1238="","",IF($L1238="已完成",IF($M1238="","",$M1238-$B1238),IF(设置!$B$6&lt;$B1238,"",IF((设置!$B$6-$B1238)&gt;=设置!$B$5,"超期"&amp;(设置!$B$6-$B1238)&amp;"天","已等"&amp;(设置!$B$6-$B1238)&amp;"天"))))</f>
        <v/>
      </c>
      <c r="O1238" s="18" t="str">
        <f aca="false">IF(OR($D1238="",$E1238=""),"",COUNTIFS($D$7:$D1238,$D1238,$E$7:$E1238,$E1238))</f>
        <v/>
      </c>
      <c r="P1238" s="16"/>
      <c r="Q1238" s="19"/>
      <c r="R1238" s="10"/>
      <c r="S1238" s="16"/>
      <c r="T1238" s="0" t="str">
        <f aca="false">IF(OR($D1238="",单元查询!$B$3=""),"",IF($D1238&lt;&gt;单元查询!$B$3,"",IF(OR(单元查询!$D$3="",$E1238&amp;""=单元查询!$D$3&amp;""),IF(ISNUMBER($B1238),$B1238*10000,0)+ROW(),"")))</f>
        <v/>
      </c>
      <c r="U1238" s="0" t="str">
        <f aca="false">IF(OR($B1238="",$L1238="已完成"),"",IF(ISNUMBER($B1238),IF(设置!$B$6&lt;$B1238,"",(设置!$B$6-$B1238)*100000+ROW()),""))</f>
        <v/>
      </c>
      <c r="V1238" s="0" t="str">
        <f aca="false">IF(ISNUMBER($O1238),IF($O1238&gt;=2,IF(COUNTIFS($D1238:$D$2006,$D1238,$E1238:$E$2006,$E1238)=1,ROW(),""),""),"")</f>
        <v/>
      </c>
    </row>
    <row r="1239" customFormat="false" ht="15" hidden="false" customHeight="true" outlineLevel="0" collapsed="false">
      <c r="A1239" s="13" t="str">
        <f aca="false">IF(AND($B1239="",$D1239="",$E1239="",$F1239=""),"",IF(OR($B1239="",$D1239="",$E1239=""),"待补",IF($D1239="公共区域","公",IF($D1239="商铺","S",SUBSTITUTE($D1239,"栋","")))&amp;"-"&amp;$E1239&amp;"-"&amp;TEXT(MONTH($B1239),"00")&amp;TEXT(DAY($B1239),"00")&amp;IF(ISNUMBER($O1239),IF($O1239&gt;1,"-"&amp;TEXT($O1239,"00"),""),"")))</f>
        <v/>
      </c>
      <c r="B1239" s="14"/>
      <c r="C1239" s="10"/>
      <c r="D1239" s="10"/>
      <c r="E1239" s="10"/>
      <c r="F1239" s="16"/>
      <c r="G1239" s="10"/>
      <c r="H1239" s="10"/>
      <c r="I1239" s="10"/>
      <c r="J1239" s="10"/>
      <c r="K1239" s="10"/>
      <c r="L1239" s="10"/>
      <c r="M1239" s="14"/>
      <c r="N1239" s="17" t="str">
        <f aca="false">IF($B1239="","",IF($L1239="已完成",IF($M1239="","",$M1239-$B1239),IF(设置!$B$6&lt;$B1239,"",IF((设置!$B$6-$B1239)&gt;=设置!$B$5,"超期"&amp;(设置!$B$6-$B1239)&amp;"天","已等"&amp;(设置!$B$6-$B1239)&amp;"天"))))</f>
        <v/>
      </c>
      <c r="O1239" s="18" t="str">
        <f aca="false">IF(OR($D1239="",$E1239=""),"",COUNTIFS($D$7:$D1239,$D1239,$E$7:$E1239,$E1239))</f>
        <v/>
      </c>
      <c r="P1239" s="16"/>
      <c r="Q1239" s="19"/>
      <c r="R1239" s="10"/>
      <c r="S1239" s="16"/>
      <c r="T1239" s="0" t="str">
        <f aca="false">IF(OR($D1239="",单元查询!$B$3=""),"",IF($D1239&lt;&gt;单元查询!$B$3,"",IF(OR(单元查询!$D$3="",$E1239&amp;""=单元查询!$D$3&amp;""),IF(ISNUMBER($B1239),$B1239*10000,0)+ROW(),"")))</f>
        <v/>
      </c>
      <c r="U1239" s="0" t="str">
        <f aca="false">IF(OR($B1239="",$L1239="已完成"),"",IF(ISNUMBER($B1239),IF(设置!$B$6&lt;$B1239,"",(设置!$B$6-$B1239)*100000+ROW()),""))</f>
        <v/>
      </c>
      <c r="V1239" s="0" t="str">
        <f aca="false">IF(ISNUMBER($O1239),IF($O1239&gt;=2,IF(COUNTIFS($D1239:$D$2006,$D1239,$E1239:$E$2006,$E1239)=1,ROW(),""),""),"")</f>
        <v/>
      </c>
    </row>
    <row r="1240" customFormat="false" ht="15" hidden="false" customHeight="true" outlineLevel="0" collapsed="false">
      <c r="A1240" s="13" t="str">
        <f aca="false">IF(AND($B1240="",$D1240="",$E1240="",$F1240=""),"",IF(OR($B1240="",$D1240="",$E1240=""),"待补",IF($D1240="公共区域","公",IF($D1240="商铺","S",SUBSTITUTE($D1240,"栋","")))&amp;"-"&amp;$E1240&amp;"-"&amp;TEXT(MONTH($B1240),"00")&amp;TEXT(DAY($B1240),"00")&amp;IF(ISNUMBER($O1240),IF($O1240&gt;1,"-"&amp;TEXT($O1240,"00"),""),"")))</f>
        <v/>
      </c>
      <c r="B1240" s="14"/>
      <c r="C1240" s="10"/>
      <c r="D1240" s="10"/>
      <c r="E1240" s="10"/>
      <c r="F1240" s="16"/>
      <c r="G1240" s="10"/>
      <c r="H1240" s="10"/>
      <c r="I1240" s="10"/>
      <c r="J1240" s="10"/>
      <c r="K1240" s="10"/>
      <c r="L1240" s="10"/>
      <c r="M1240" s="14"/>
      <c r="N1240" s="17" t="str">
        <f aca="false">IF($B1240="","",IF($L1240="已完成",IF($M1240="","",$M1240-$B1240),IF(设置!$B$6&lt;$B1240,"",IF((设置!$B$6-$B1240)&gt;=设置!$B$5,"超期"&amp;(设置!$B$6-$B1240)&amp;"天","已等"&amp;(设置!$B$6-$B1240)&amp;"天"))))</f>
        <v/>
      </c>
      <c r="O1240" s="18" t="str">
        <f aca="false">IF(OR($D1240="",$E1240=""),"",COUNTIFS($D$7:$D1240,$D1240,$E$7:$E1240,$E1240))</f>
        <v/>
      </c>
      <c r="P1240" s="16"/>
      <c r="Q1240" s="19"/>
      <c r="R1240" s="10"/>
      <c r="S1240" s="16"/>
      <c r="T1240" s="0" t="str">
        <f aca="false">IF(OR($D1240="",单元查询!$B$3=""),"",IF($D1240&lt;&gt;单元查询!$B$3,"",IF(OR(单元查询!$D$3="",$E1240&amp;""=单元查询!$D$3&amp;""),IF(ISNUMBER($B1240),$B1240*10000,0)+ROW(),"")))</f>
        <v/>
      </c>
      <c r="U1240" s="0" t="str">
        <f aca="false">IF(OR($B1240="",$L1240="已完成"),"",IF(ISNUMBER($B1240),IF(设置!$B$6&lt;$B1240,"",(设置!$B$6-$B1240)*100000+ROW()),""))</f>
        <v/>
      </c>
      <c r="V1240" s="0" t="str">
        <f aca="false">IF(ISNUMBER($O1240),IF($O1240&gt;=2,IF(COUNTIFS($D1240:$D$2006,$D1240,$E1240:$E$2006,$E1240)=1,ROW(),""),""),"")</f>
        <v/>
      </c>
    </row>
    <row r="1241" customFormat="false" ht="15" hidden="false" customHeight="true" outlineLevel="0" collapsed="false">
      <c r="A1241" s="13" t="str">
        <f aca="false">IF(AND($B1241="",$D1241="",$E1241="",$F1241=""),"",IF(OR($B1241="",$D1241="",$E1241=""),"待补",IF($D1241="公共区域","公",IF($D1241="商铺","S",SUBSTITUTE($D1241,"栋","")))&amp;"-"&amp;$E1241&amp;"-"&amp;TEXT(MONTH($B1241),"00")&amp;TEXT(DAY($B1241),"00")&amp;IF(ISNUMBER($O1241),IF($O1241&gt;1,"-"&amp;TEXT($O1241,"00"),""),"")))</f>
        <v/>
      </c>
      <c r="B1241" s="14"/>
      <c r="C1241" s="10"/>
      <c r="D1241" s="10"/>
      <c r="E1241" s="10"/>
      <c r="F1241" s="16"/>
      <c r="G1241" s="10"/>
      <c r="H1241" s="10"/>
      <c r="I1241" s="10"/>
      <c r="J1241" s="10"/>
      <c r="K1241" s="10"/>
      <c r="L1241" s="10"/>
      <c r="M1241" s="14"/>
      <c r="N1241" s="17" t="str">
        <f aca="false">IF($B1241="","",IF($L1241="已完成",IF($M1241="","",$M1241-$B1241),IF(设置!$B$6&lt;$B1241,"",IF((设置!$B$6-$B1241)&gt;=设置!$B$5,"超期"&amp;(设置!$B$6-$B1241)&amp;"天","已等"&amp;(设置!$B$6-$B1241)&amp;"天"))))</f>
        <v/>
      </c>
      <c r="O1241" s="18" t="str">
        <f aca="false">IF(OR($D1241="",$E1241=""),"",COUNTIFS($D$7:$D1241,$D1241,$E$7:$E1241,$E1241))</f>
        <v/>
      </c>
      <c r="P1241" s="16"/>
      <c r="Q1241" s="19"/>
      <c r="R1241" s="10"/>
      <c r="S1241" s="16"/>
      <c r="T1241" s="0" t="str">
        <f aca="false">IF(OR($D1241="",单元查询!$B$3=""),"",IF($D1241&lt;&gt;单元查询!$B$3,"",IF(OR(单元查询!$D$3="",$E1241&amp;""=单元查询!$D$3&amp;""),IF(ISNUMBER($B1241),$B1241*10000,0)+ROW(),"")))</f>
        <v/>
      </c>
      <c r="U1241" s="0" t="str">
        <f aca="false">IF(OR($B1241="",$L1241="已完成"),"",IF(ISNUMBER($B1241),IF(设置!$B$6&lt;$B1241,"",(设置!$B$6-$B1241)*100000+ROW()),""))</f>
        <v/>
      </c>
      <c r="V1241" s="0" t="str">
        <f aca="false">IF(ISNUMBER($O1241),IF($O1241&gt;=2,IF(COUNTIFS($D1241:$D$2006,$D1241,$E1241:$E$2006,$E1241)=1,ROW(),""),""),"")</f>
        <v/>
      </c>
    </row>
    <row r="1242" customFormat="false" ht="15" hidden="false" customHeight="true" outlineLevel="0" collapsed="false">
      <c r="A1242" s="13" t="str">
        <f aca="false">IF(AND($B1242="",$D1242="",$E1242="",$F1242=""),"",IF(OR($B1242="",$D1242="",$E1242=""),"待补",IF($D1242="公共区域","公",IF($D1242="商铺","S",SUBSTITUTE($D1242,"栋","")))&amp;"-"&amp;$E1242&amp;"-"&amp;TEXT(MONTH($B1242),"00")&amp;TEXT(DAY($B1242),"00")&amp;IF(ISNUMBER($O1242),IF($O1242&gt;1,"-"&amp;TEXT($O1242,"00"),""),"")))</f>
        <v/>
      </c>
      <c r="B1242" s="14"/>
      <c r="C1242" s="10"/>
      <c r="D1242" s="10"/>
      <c r="E1242" s="10"/>
      <c r="F1242" s="16"/>
      <c r="G1242" s="10"/>
      <c r="H1242" s="10"/>
      <c r="I1242" s="10"/>
      <c r="J1242" s="10"/>
      <c r="K1242" s="10"/>
      <c r="L1242" s="10"/>
      <c r="M1242" s="14"/>
      <c r="N1242" s="17" t="str">
        <f aca="false">IF($B1242="","",IF($L1242="已完成",IF($M1242="","",$M1242-$B1242),IF(设置!$B$6&lt;$B1242,"",IF((设置!$B$6-$B1242)&gt;=设置!$B$5,"超期"&amp;(设置!$B$6-$B1242)&amp;"天","已等"&amp;(设置!$B$6-$B1242)&amp;"天"))))</f>
        <v/>
      </c>
      <c r="O1242" s="18" t="str">
        <f aca="false">IF(OR($D1242="",$E1242=""),"",COUNTIFS($D$7:$D1242,$D1242,$E$7:$E1242,$E1242))</f>
        <v/>
      </c>
      <c r="P1242" s="16"/>
      <c r="Q1242" s="19"/>
      <c r="R1242" s="10"/>
      <c r="S1242" s="16"/>
      <c r="T1242" s="0" t="str">
        <f aca="false">IF(OR($D1242="",单元查询!$B$3=""),"",IF($D1242&lt;&gt;单元查询!$B$3,"",IF(OR(单元查询!$D$3="",$E1242&amp;""=单元查询!$D$3&amp;""),IF(ISNUMBER($B1242),$B1242*10000,0)+ROW(),"")))</f>
        <v/>
      </c>
      <c r="U1242" s="0" t="str">
        <f aca="false">IF(OR($B1242="",$L1242="已完成"),"",IF(ISNUMBER($B1242),IF(设置!$B$6&lt;$B1242,"",(设置!$B$6-$B1242)*100000+ROW()),""))</f>
        <v/>
      </c>
      <c r="V1242" s="0" t="str">
        <f aca="false">IF(ISNUMBER($O1242),IF($O1242&gt;=2,IF(COUNTIFS($D1242:$D$2006,$D1242,$E1242:$E$2006,$E1242)=1,ROW(),""),""),"")</f>
        <v/>
      </c>
    </row>
    <row r="1243" customFormat="false" ht="15" hidden="false" customHeight="true" outlineLevel="0" collapsed="false">
      <c r="A1243" s="13" t="str">
        <f aca="false">IF(AND($B1243="",$D1243="",$E1243="",$F1243=""),"",IF(OR($B1243="",$D1243="",$E1243=""),"待补",IF($D1243="公共区域","公",IF($D1243="商铺","S",SUBSTITUTE($D1243,"栋","")))&amp;"-"&amp;$E1243&amp;"-"&amp;TEXT(MONTH($B1243),"00")&amp;TEXT(DAY($B1243),"00")&amp;IF(ISNUMBER($O1243),IF($O1243&gt;1,"-"&amp;TEXT($O1243,"00"),""),"")))</f>
        <v/>
      </c>
      <c r="B1243" s="14"/>
      <c r="C1243" s="10"/>
      <c r="D1243" s="10"/>
      <c r="E1243" s="10"/>
      <c r="F1243" s="16"/>
      <c r="G1243" s="10"/>
      <c r="H1243" s="10"/>
      <c r="I1243" s="10"/>
      <c r="J1243" s="10"/>
      <c r="K1243" s="10"/>
      <c r="L1243" s="10"/>
      <c r="M1243" s="14"/>
      <c r="N1243" s="17" t="str">
        <f aca="false">IF($B1243="","",IF($L1243="已完成",IF($M1243="","",$M1243-$B1243),IF(设置!$B$6&lt;$B1243,"",IF((设置!$B$6-$B1243)&gt;=设置!$B$5,"超期"&amp;(设置!$B$6-$B1243)&amp;"天","已等"&amp;(设置!$B$6-$B1243)&amp;"天"))))</f>
        <v/>
      </c>
      <c r="O1243" s="18" t="str">
        <f aca="false">IF(OR($D1243="",$E1243=""),"",COUNTIFS($D$7:$D1243,$D1243,$E$7:$E1243,$E1243))</f>
        <v/>
      </c>
      <c r="P1243" s="16"/>
      <c r="Q1243" s="19"/>
      <c r="R1243" s="10"/>
      <c r="S1243" s="16"/>
      <c r="T1243" s="0" t="str">
        <f aca="false">IF(OR($D1243="",单元查询!$B$3=""),"",IF($D1243&lt;&gt;单元查询!$B$3,"",IF(OR(单元查询!$D$3="",$E1243&amp;""=单元查询!$D$3&amp;""),IF(ISNUMBER($B1243),$B1243*10000,0)+ROW(),"")))</f>
        <v/>
      </c>
      <c r="U1243" s="0" t="str">
        <f aca="false">IF(OR($B1243="",$L1243="已完成"),"",IF(ISNUMBER($B1243),IF(设置!$B$6&lt;$B1243,"",(设置!$B$6-$B1243)*100000+ROW()),""))</f>
        <v/>
      </c>
      <c r="V1243" s="0" t="str">
        <f aca="false">IF(ISNUMBER($O1243),IF($O1243&gt;=2,IF(COUNTIFS($D1243:$D$2006,$D1243,$E1243:$E$2006,$E1243)=1,ROW(),""),""),"")</f>
        <v/>
      </c>
    </row>
    <row r="1244" customFormat="false" ht="15" hidden="false" customHeight="true" outlineLevel="0" collapsed="false">
      <c r="A1244" s="13" t="str">
        <f aca="false">IF(AND($B1244="",$D1244="",$E1244="",$F1244=""),"",IF(OR($B1244="",$D1244="",$E1244=""),"待补",IF($D1244="公共区域","公",IF($D1244="商铺","S",SUBSTITUTE($D1244,"栋","")))&amp;"-"&amp;$E1244&amp;"-"&amp;TEXT(MONTH($B1244),"00")&amp;TEXT(DAY($B1244),"00")&amp;IF(ISNUMBER($O1244),IF($O1244&gt;1,"-"&amp;TEXT($O1244,"00"),""),"")))</f>
        <v/>
      </c>
      <c r="B1244" s="14"/>
      <c r="C1244" s="10"/>
      <c r="D1244" s="10"/>
      <c r="E1244" s="10"/>
      <c r="F1244" s="16"/>
      <c r="G1244" s="10"/>
      <c r="H1244" s="10"/>
      <c r="I1244" s="10"/>
      <c r="J1244" s="10"/>
      <c r="K1244" s="10"/>
      <c r="L1244" s="10"/>
      <c r="M1244" s="14"/>
      <c r="N1244" s="17" t="str">
        <f aca="false">IF($B1244="","",IF($L1244="已完成",IF($M1244="","",$M1244-$B1244),IF(设置!$B$6&lt;$B1244,"",IF((设置!$B$6-$B1244)&gt;=设置!$B$5,"超期"&amp;(设置!$B$6-$B1244)&amp;"天","已等"&amp;(设置!$B$6-$B1244)&amp;"天"))))</f>
        <v/>
      </c>
      <c r="O1244" s="18" t="str">
        <f aca="false">IF(OR($D1244="",$E1244=""),"",COUNTIFS($D$7:$D1244,$D1244,$E$7:$E1244,$E1244))</f>
        <v/>
      </c>
      <c r="P1244" s="16"/>
      <c r="Q1244" s="19"/>
      <c r="R1244" s="10"/>
      <c r="S1244" s="16"/>
      <c r="T1244" s="0" t="str">
        <f aca="false">IF(OR($D1244="",单元查询!$B$3=""),"",IF($D1244&lt;&gt;单元查询!$B$3,"",IF(OR(单元查询!$D$3="",$E1244&amp;""=单元查询!$D$3&amp;""),IF(ISNUMBER($B1244),$B1244*10000,0)+ROW(),"")))</f>
        <v/>
      </c>
      <c r="U1244" s="0" t="str">
        <f aca="false">IF(OR($B1244="",$L1244="已完成"),"",IF(ISNUMBER($B1244),IF(设置!$B$6&lt;$B1244,"",(设置!$B$6-$B1244)*100000+ROW()),""))</f>
        <v/>
      </c>
      <c r="V1244" s="0" t="str">
        <f aca="false">IF(ISNUMBER($O1244),IF($O1244&gt;=2,IF(COUNTIFS($D1244:$D$2006,$D1244,$E1244:$E$2006,$E1244)=1,ROW(),""),""),"")</f>
        <v/>
      </c>
    </row>
    <row r="1245" customFormat="false" ht="15" hidden="false" customHeight="true" outlineLevel="0" collapsed="false">
      <c r="A1245" s="13" t="str">
        <f aca="false">IF(AND($B1245="",$D1245="",$E1245="",$F1245=""),"",IF(OR($B1245="",$D1245="",$E1245=""),"待补",IF($D1245="公共区域","公",IF($D1245="商铺","S",SUBSTITUTE($D1245,"栋","")))&amp;"-"&amp;$E1245&amp;"-"&amp;TEXT(MONTH($B1245),"00")&amp;TEXT(DAY($B1245),"00")&amp;IF(ISNUMBER($O1245),IF($O1245&gt;1,"-"&amp;TEXT($O1245,"00"),""),"")))</f>
        <v/>
      </c>
      <c r="B1245" s="14"/>
      <c r="C1245" s="10"/>
      <c r="D1245" s="10"/>
      <c r="E1245" s="10"/>
      <c r="F1245" s="16"/>
      <c r="G1245" s="10"/>
      <c r="H1245" s="10"/>
      <c r="I1245" s="10"/>
      <c r="J1245" s="10"/>
      <c r="K1245" s="10"/>
      <c r="L1245" s="10"/>
      <c r="M1245" s="14"/>
      <c r="N1245" s="17" t="str">
        <f aca="false">IF($B1245="","",IF($L1245="已完成",IF($M1245="","",$M1245-$B1245),IF(设置!$B$6&lt;$B1245,"",IF((设置!$B$6-$B1245)&gt;=设置!$B$5,"超期"&amp;(设置!$B$6-$B1245)&amp;"天","已等"&amp;(设置!$B$6-$B1245)&amp;"天"))))</f>
        <v/>
      </c>
      <c r="O1245" s="18" t="str">
        <f aca="false">IF(OR($D1245="",$E1245=""),"",COUNTIFS($D$7:$D1245,$D1245,$E$7:$E1245,$E1245))</f>
        <v/>
      </c>
      <c r="P1245" s="16"/>
      <c r="Q1245" s="19"/>
      <c r="R1245" s="10"/>
      <c r="S1245" s="16"/>
      <c r="T1245" s="0" t="str">
        <f aca="false">IF(OR($D1245="",单元查询!$B$3=""),"",IF($D1245&lt;&gt;单元查询!$B$3,"",IF(OR(单元查询!$D$3="",$E1245&amp;""=单元查询!$D$3&amp;""),IF(ISNUMBER($B1245),$B1245*10000,0)+ROW(),"")))</f>
        <v/>
      </c>
      <c r="U1245" s="0" t="str">
        <f aca="false">IF(OR($B1245="",$L1245="已完成"),"",IF(ISNUMBER($B1245),IF(设置!$B$6&lt;$B1245,"",(设置!$B$6-$B1245)*100000+ROW()),""))</f>
        <v/>
      </c>
      <c r="V1245" s="0" t="str">
        <f aca="false">IF(ISNUMBER($O1245),IF($O1245&gt;=2,IF(COUNTIFS($D1245:$D$2006,$D1245,$E1245:$E$2006,$E1245)=1,ROW(),""),""),"")</f>
        <v/>
      </c>
    </row>
    <row r="1246" customFormat="false" ht="15" hidden="false" customHeight="true" outlineLevel="0" collapsed="false">
      <c r="A1246" s="13" t="str">
        <f aca="false">IF(AND($B1246="",$D1246="",$E1246="",$F1246=""),"",IF(OR($B1246="",$D1246="",$E1246=""),"待补",IF($D1246="公共区域","公",IF($D1246="商铺","S",SUBSTITUTE($D1246,"栋","")))&amp;"-"&amp;$E1246&amp;"-"&amp;TEXT(MONTH($B1246),"00")&amp;TEXT(DAY($B1246),"00")&amp;IF(ISNUMBER($O1246),IF($O1246&gt;1,"-"&amp;TEXT($O1246,"00"),""),"")))</f>
        <v/>
      </c>
      <c r="B1246" s="14"/>
      <c r="C1246" s="10"/>
      <c r="D1246" s="10"/>
      <c r="E1246" s="10"/>
      <c r="F1246" s="16"/>
      <c r="G1246" s="10"/>
      <c r="H1246" s="10"/>
      <c r="I1246" s="10"/>
      <c r="J1246" s="10"/>
      <c r="K1246" s="10"/>
      <c r="L1246" s="10"/>
      <c r="M1246" s="14"/>
      <c r="N1246" s="17" t="str">
        <f aca="false">IF($B1246="","",IF($L1246="已完成",IF($M1246="","",$M1246-$B1246),IF(设置!$B$6&lt;$B1246,"",IF((设置!$B$6-$B1246)&gt;=设置!$B$5,"超期"&amp;(设置!$B$6-$B1246)&amp;"天","已等"&amp;(设置!$B$6-$B1246)&amp;"天"))))</f>
        <v/>
      </c>
      <c r="O1246" s="18" t="str">
        <f aca="false">IF(OR($D1246="",$E1246=""),"",COUNTIFS($D$7:$D1246,$D1246,$E$7:$E1246,$E1246))</f>
        <v/>
      </c>
      <c r="P1246" s="16"/>
      <c r="Q1246" s="19"/>
      <c r="R1246" s="10"/>
      <c r="S1246" s="16"/>
      <c r="T1246" s="0" t="str">
        <f aca="false">IF(OR($D1246="",单元查询!$B$3=""),"",IF($D1246&lt;&gt;单元查询!$B$3,"",IF(OR(单元查询!$D$3="",$E1246&amp;""=单元查询!$D$3&amp;""),IF(ISNUMBER($B1246),$B1246*10000,0)+ROW(),"")))</f>
        <v/>
      </c>
      <c r="U1246" s="0" t="str">
        <f aca="false">IF(OR($B1246="",$L1246="已完成"),"",IF(ISNUMBER($B1246),IF(设置!$B$6&lt;$B1246,"",(设置!$B$6-$B1246)*100000+ROW()),""))</f>
        <v/>
      </c>
      <c r="V1246" s="0" t="str">
        <f aca="false">IF(ISNUMBER($O1246),IF($O1246&gt;=2,IF(COUNTIFS($D1246:$D$2006,$D1246,$E1246:$E$2006,$E1246)=1,ROW(),""),""),"")</f>
        <v/>
      </c>
    </row>
    <row r="1247" customFormat="false" ht="15" hidden="false" customHeight="true" outlineLevel="0" collapsed="false">
      <c r="A1247" s="13" t="str">
        <f aca="false">IF(AND($B1247="",$D1247="",$E1247="",$F1247=""),"",IF(OR($B1247="",$D1247="",$E1247=""),"待补",IF($D1247="公共区域","公",IF($D1247="商铺","S",SUBSTITUTE($D1247,"栋","")))&amp;"-"&amp;$E1247&amp;"-"&amp;TEXT(MONTH($B1247),"00")&amp;TEXT(DAY($B1247),"00")&amp;IF(ISNUMBER($O1247),IF($O1247&gt;1,"-"&amp;TEXT($O1247,"00"),""),"")))</f>
        <v/>
      </c>
      <c r="B1247" s="14"/>
      <c r="C1247" s="10"/>
      <c r="D1247" s="10"/>
      <c r="E1247" s="10"/>
      <c r="F1247" s="16"/>
      <c r="G1247" s="10"/>
      <c r="H1247" s="10"/>
      <c r="I1247" s="10"/>
      <c r="J1247" s="10"/>
      <c r="K1247" s="10"/>
      <c r="L1247" s="10"/>
      <c r="M1247" s="14"/>
      <c r="N1247" s="17" t="str">
        <f aca="false">IF($B1247="","",IF($L1247="已完成",IF($M1247="","",$M1247-$B1247),IF(设置!$B$6&lt;$B1247,"",IF((设置!$B$6-$B1247)&gt;=设置!$B$5,"超期"&amp;(设置!$B$6-$B1247)&amp;"天","已等"&amp;(设置!$B$6-$B1247)&amp;"天"))))</f>
        <v/>
      </c>
      <c r="O1247" s="18" t="str">
        <f aca="false">IF(OR($D1247="",$E1247=""),"",COUNTIFS($D$7:$D1247,$D1247,$E$7:$E1247,$E1247))</f>
        <v/>
      </c>
      <c r="P1247" s="16"/>
      <c r="Q1247" s="19"/>
      <c r="R1247" s="10"/>
      <c r="S1247" s="16"/>
      <c r="T1247" s="0" t="str">
        <f aca="false">IF(OR($D1247="",单元查询!$B$3=""),"",IF($D1247&lt;&gt;单元查询!$B$3,"",IF(OR(单元查询!$D$3="",$E1247&amp;""=单元查询!$D$3&amp;""),IF(ISNUMBER($B1247),$B1247*10000,0)+ROW(),"")))</f>
        <v/>
      </c>
      <c r="U1247" s="0" t="str">
        <f aca="false">IF(OR($B1247="",$L1247="已完成"),"",IF(ISNUMBER($B1247),IF(设置!$B$6&lt;$B1247,"",(设置!$B$6-$B1247)*100000+ROW()),""))</f>
        <v/>
      </c>
      <c r="V1247" s="0" t="str">
        <f aca="false">IF(ISNUMBER($O1247),IF($O1247&gt;=2,IF(COUNTIFS($D1247:$D$2006,$D1247,$E1247:$E$2006,$E1247)=1,ROW(),""),""),"")</f>
        <v/>
      </c>
    </row>
    <row r="1248" customFormat="false" ht="15" hidden="false" customHeight="true" outlineLevel="0" collapsed="false">
      <c r="A1248" s="13" t="str">
        <f aca="false">IF(AND($B1248="",$D1248="",$E1248="",$F1248=""),"",IF(OR($B1248="",$D1248="",$E1248=""),"待补",IF($D1248="公共区域","公",IF($D1248="商铺","S",SUBSTITUTE($D1248,"栋","")))&amp;"-"&amp;$E1248&amp;"-"&amp;TEXT(MONTH($B1248),"00")&amp;TEXT(DAY($B1248),"00")&amp;IF(ISNUMBER($O1248),IF($O1248&gt;1,"-"&amp;TEXT($O1248,"00"),""),"")))</f>
        <v/>
      </c>
      <c r="B1248" s="14"/>
      <c r="C1248" s="10"/>
      <c r="D1248" s="10"/>
      <c r="E1248" s="10"/>
      <c r="F1248" s="16"/>
      <c r="G1248" s="10"/>
      <c r="H1248" s="10"/>
      <c r="I1248" s="10"/>
      <c r="J1248" s="10"/>
      <c r="K1248" s="10"/>
      <c r="L1248" s="10"/>
      <c r="M1248" s="14"/>
      <c r="N1248" s="17" t="str">
        <f aca="false">IF($B1248="","",IF($L1248="已完成",IF($M1248="","",$M1248-$B1248),IF(设置!$B$6&lt;$B1248,"",IF((设置!$B$6-$B1248)&gt;=设置!$B$5,"超期"&amp;(设置!$B$6-$B1248)&amp;"天","已等"&amp;(设置!$B$6-$B1248)&amp;"天"))))</f>
        <v/>
      </c>
      <c r="O1248" s="18" t="str">
        <f aca="false">IF(OR($D1248="",$E1248=""),"",COUNTIFS($D$7:$D1248,$D1248,$E$7:$E1248,$E1248))</f>
        <v/>
      </c>
      <c r="P1248" s="16"/>
      <c r="Q1248" s="19"/>
      <c r="R1248" s="10"/>
      <c r="S1248" s="16"/>
      <c r="T1248" s="0" t="str">
        <f aca="false">IF(OR($D1248="",单元查询!$B$3=""),"",IF($D1248&lt;&gt;单元查询!$B$3,"",IF(OR(单元查询!$D$3="",$E1248&amp;""=单元查询!$D$3&amp;""),IF(ISNUMBER($B1248),$B1248*10000,0)+ROW(),"")))</f>
        <v/>
      </c>
      <c r="U1248" s="0" t="str">
        <f aca="false">IF(OR($B1248="",$L1248="已完成"),"",IF(ISNUMBER($B1248),IF(设置!$B$6&lt;$B1248,"",(设置!$B$6-$B1248)*100000+ROW()),""))</f>
        <v/>
      </c>
      <c r="V1248" s="0" t="str">
        <f aca="false">IF(ISNUMBER($O1248),IF($O1248&gt;=2,IF(COUNTIFS($D1248:$D$2006,$D1248,$E1248:$E$2006,$E1248)=1,ROW(),""),""),"")</f>
        <v/>
      </c>
    </row>
    <row r="1249" customFormat="false" ht="15" hidden="false" customHeight="true" outlineLevel="0" collapsed="false">
      <c r="A1249" s="13" t="str">
        <f aca="false">IF(AND($B1249="",$D1249="",$E1249="",$F1249=""),"",IF(OR($B1249="",$D1249="",$E1249=""),"待补",IF($D1249="公共区域","公",IF($D1249="商铺","S",SUBSTITUTE($D1249,"栋","")))&amp;"-"&amp;$E1249&amp;"-"&amp;TEXT(MONTH($B1249),"00")&amp;TEXT(DAY($B1249),"00")&amp;IF(ISNUMBER($O1249),IF($O1249&gt;1,"-"&amp;TEXT($O1249,"00"),""),"")))</f>
        <v/>
      </c>
      <c r="B1249" s="14"/>
      <c r="C1249" s="10"/>
      <c r="D1249" s="10"/>
      <c r="E1249" s="10"/>
      <c r="F1249" s="16"/>
      <c r="G1249" s="10"/>
      <c r="H1249" s="10"/>
      <c r="I1249" s="10"/>
      <c r="J1249" s="10"/>
      <c r="K1249" s="10"/>
      <c r="L1249" s="10"/>
      <c r="M1249" s="14"/>
      <c r="N1249" s="17" t="str">
        <f aca="false">IF($B1249="","",IF($L1249="已完成",IF($M1249="","",$M1249-$B1249),IF(设置!$B$6&lt;$B1249,"",IF((设置!$B$6-$B1249)&gt;=设置!$B$5,"超期"&amp;(设置!$B$6-$B1249)&amp;"天","已等"&amp;(设置!$B$6-$B1249)&amp;"天"))))</f>
        <v/>
      </c>
      <c r="O1249" s="18" t="str">
        <f aca="false">IF(OR($D1249="",$E1249=""),"",COUNTIFS($D$7:$D1249,$D1249,$E$7:$E1249,$E1249))</f>
        <v/>
      </c>
      <c r="P1249" s="16"/>
      <c r="Q1249" s="19"/>
      <c r="R1249" s="10"/>
      <c r="S1249" s="16"/>
      <c r="T1249" s="0" t="str">
        <f aca="false">IF(OR($D1249="",单元查询!$B$3=""),"",IF($D1249&lt;&gt;单元查询!$B$3,"",IF(OR(单元查询!$D$3="",$E1249&amp;""=单元查询!$D$3&amp;""),IF(ISNUMBER($B1249),$B1249*10000,0)+ROW(),"")))</f>
        <v/>
      </c>
      <c r="U1249" s="0" t="str">
        <f aca="false">IF(OR($B1249="",$L1249="已完成"),"",IF(ISNUMBER($B1249),IF(设置!$B$6&lt;$B1249,"",(设置!$B$6-$B1249)*100000+ROW()),""))</f>
        <v/>
      </c>
      <c r="V1249" s="0" t="str">
        <f aca="false">IF(ISNUMBER($O1249),IF($O1249&gt;=2,IF(COUNTIFS($D1249:$D$2006,$D1249,$E1249:$E$2006,$E1249)=1,ROW(),""),""),"")</f>
        <v/>
      </c>
    </row>
    <row r="1250" customFormat="false" ht="15" hidden="false" customHeight="true" outlineLevel="0" collapsed="false">
      <c r="A1250" s="13" t="str">
        <f aca="false">IF(AND($B1250="",$D1250="",$E1250="",$F1250=""),"",IF(OR($B1250="",$D1250="",$E1250=""),"待补",IF($D1250="公共区域","公",IF($D1250="商铺","S",SUBSTITUTE($D1250,"栋","")))&amp;"-"&amp;$E1250&amp;"-"&amp;TEXT(MONTH($B1250),"00")&amp;TEXT(DAY($B1250),"00")&amp;IF(ISNUMBER($O1250),IF($O1250&gt;1,"-"&amp;TEXT($O1250,"00"),""),"")))</f>
        <v/>
      </c>
      <c r="B1250" s="14"/>
      <c r="C1250" s="10"/>
      <c r="D1250" s="10"/>
      <c r="E1250" s="10"/>
      <c r="F1250" s="16"/>
      <c r="G1250" s="10"/>
      <c r="H1250" s="10"/>
      <c r="I1250" s="10"/>
      <c r="J1250" s="10"/>
      <c r="K1250" s="10"/>
      <c r="L1250" s="10"/>
      <c r="M1250" s="14"/>
      <c r="N1250" s="17" t="str">
        <f aca="false">IF($B1250="","",IF($L1250="已完成",IF($M1250="","",$M1250-$B1250),IF(设置!$B$6&lt;$B1250,"",IF((设置!$B$6-$B1250)&gt;=设置!$B$5,"超期"&amp;(设置!$B$6-$B1250)&amp;"天","已等"&amp;(设置!$B$6-$B1250)&amp;"天"))))</f>
        <v/>
      </c>
      <c r="O1250" s="18" t="str">
        <f aca="false">IF(OR($D1250="",$E1250=""),"",COUNTIFS($D$7:$D1250,$D1250,$E$7:$E1250,$E1250))</f>
        <v/>
      </c>
      <c r="P1250" s="16"/>
      <c r="Q1250" s="19"/>
      <c r="R1250" s="10"/>
      <c r="S1250" s="16"/>
      <c r="T1250" s="0" t="str">
        <f aca="false">IF(OR($D1250="",单元查询!$B$3=""),"",IF($D1250&lt;&gt;单元查询!$B$3,"",IF(OR(单元查询!$D$3="",$E1250&amp;""=单元查询!$D$3&amp;""),IF(ISNUMBER($B1250),$B1250*10000,0)+ROW(),"")))</f>
        <v/>
      </c>
      <c r="U1250" s="0" t="str">
        <f aca="false">IF(OR($B1250="",$L1250="已完成"),"",IF(ISNUMBER($B1250),IF(设置!$B$6&lt;$B1250,"",(设置!$B$6-$B1250)*100000+ROW()),""))</f>
        <v/>
      </c>
      <c r="V1250" s="0" t="str">
        <f aca="false">IF(ISNUMBER($O1250),IF($O1250&gt;=2,IF(COUNTIFS($D1250:$D$2006,$D1250,$E1250:$E$2006,$E1250)=1,ROW(),""),""),"")</f>
        <v/>
      </c>
    </row>
    <row r="1251" customFormat="false" ht="15" hidden="false" customHeight="true" outlineLevel="0" collapsed="false">
      <c r="A1251" s="13" t="str">
        <f aca="false">IF(AND($B1251="",$D1251="",$E1251="",$F1251=""),"",IF(OR($B1251="",$D1251="",$E1251=""),"待补",IF($D1251="公共区域","公",IF($D1251="商铺","S",SUBSTITUTE($D1251,"栋","")))&amp;"-"&amp;$E1251&amp;"-"&amp;TEXT(MONTH($B1251),"00")&amp;TEXT(DAY($B1251),"00")&amp;IF(ISNUMBER($O1251),IF($O1251&gt;1,"-"&amp;TEXT($O1251,"00"),""),"")))</f>
        <v/>
      </c>
      <c r="B1251" s="14"/>
      <c r="C1251" s="10"/>
      <c r="D1251" s="10"/>
      <c r="E1251" s="10"/>
      <c r="F1251" s="16"/>
      <c r="G1251" s="10"/>
      <c r="H1251" s="10"/>
      <c r="I1251" s="10"/>
      <c r="J1251" s="10"/>
      <c r="K1251" s="10"/>
      <c r="L1251" s="10"/>
      <c r="M1251" s="14"/>
      <c r="N1251" s="17" t="str">
        <f aca="false">IF($B1251="","",IF($L1251="已完成",IF($M1251="","",$M1251-$B1251),IF(设置!$B$6&lt;$B1251,"",IF((设置!$B$6-$B1251)&gt;=设置!$B$5,"超期"&amp;(设置!$B$6-$B1251)&amp;"天","已等"&amp;(设置!$B$6-$B1251)&amp;"天"))))</f>
        <v/>
      </c>
      <c r="O1251" s="18" t="str">
        <f aca="false">IF(OR($D1251="",$E1251=""),"",COUNTIFS($D$7:$D1251,$D1251,$E$7:$E1251,$E1251))</f>
        <v/>
      </c>
      <c r="P1251" s="16"/>
      <c r="Q1251" s="19"/>
      <c r="R1251" s="10"/>
      <c r="S1251" s="16"/>
      <c r="T1251" s="0" t="str">
        <f aca="false">IF(OR($D1251="",单元查询!$B$3=""),"",IF($D1251&lt;&gt;单元查询!$B$3,"",IF(OR(单元查询!$D$3="",$E1251&amp;""=单元查询!$D$3&amp;""),IF(ISNUMBER($B1251),$B1251*10000,0)+ROW(),"")))</f>
        <v/>
      </c>
      <c r="U1251" s="0" t="str">
        <f aca="false">IF(OR($B1251="",$L1251="已完成"),"",IF(ISNUMBER($B1251),IF(设置!$B$6&lt;$B1251,"",(设置!$B$6-$B1251)*100000+ROW()),""))</f>
        <v/>
      </c>
      <c r="V1251" s="0" t="str">
        <f aca="false">IF(ISNUMBER($O1251),IF($O1251&gt;=2,IF(COUNTIFS($D1251:$D$2006,$D1251,$E1251:$E$2006,$E1251)=1,ROW(),""),""),"")</f>
        <v/>
      </c>
    </row>
    <row r="1252" customFormat="false" ht="15" hidden="false" customHeight="true" outlineLevel="0" collapsed="false">
      <c r="A1252" s="13" t="str">
        <f aca="false">IF(AND($B1252="",$D1252="",$E1252="",$F1252=""),"",IF(OR($B1252="",$D1252="",$E1252=""),"待补",IF($D1252="公共区域","公",IF($D1252="商铺","S",SUBSTITUTE($D1252,"栋","")))&amp;"-"&amp;$E1252&amp;"-"&amp;TEXT(MONTH($B1252),"00")&amp;TEXT(DAY($B1252),"00")&amp;IF(ISNUMBER($O1252),IF($O1252&gt;1,"-"&amp;TEXT($O1252,"00"),""),"")))</f>
        <v/>
      </c>
      <c r="B1252" s="14"/>
      <c r="C1252" s="10"/>
      <c r="D1252" s="10"/>
      <c r="E1252" s="10"/>
      <c r="F1252" s="16"/>
      <c r="G1252" s="10"/>
      <c r="H1252" s="10"/>
      <c r="I1252" s="10"/>
      <c r="J1252" s="10"/>
      <c r="K1252" s="10"/>
      <c r="L1252" s="10"/>
      <c r="M1252" s="14"/>
      <c r="N1252" s="17" t="str">
        <f aca="false">IF($B1252="","",IF($L1252="已完成",IF($M1252="","",$M1252-$B1252),IF(设置!$B$6&lt;$B1252,"",IF((设置!$B$6-$B1252)&gt;=设置!$B$5,"超期"&amp;(设置!$B$6-$B1252)&amp;"天","已等"&amp;(设置!$B$6-$B1252)&amp;"天"))))</f>
        <v/>
      </c>
      <c r="O1252" s="18" t="str">
        <f aca="false">IF(OR($D1252="",$E1252=""),"",COUNTIFS($D$7:$D1252,$D1252,$E$7:$E1252,$E1252))</f>
        <v/>
      </c>
      <c r="P1252" s="16"/>
      <c r="Q1252" s="19"/>
      <c r="R1252" s="10"/>
      <c r="S1252" s="16"/>
      <c r="T1252" s="0" t="str">
        <f aca="false">IF(OR($D1252="",单元查询!$B$3=""),"",IF($D1252&lt;&gt;单元查询!$B$3,"",IF(OR(单元查询!$D$3="",$E1252&amp;""=单元查询!$D$3&amp;""),IF(ISNUMBER($B1252),$B1252*10000,0)+ROW(),"")))</f>
        <v/>
      </c>
      <c r="U1252" s="0" t="str">
        <f aca="false">IF(OR($B1252="",$L1252="已完成"),"",IF(ISNUMBER($B1252),IF(设置!$B$6&lt;$B1252,"",(设置!$B$6-$B1252)*100000+ROW()),""))</f>
        <v/>
      </c>
      <c r="V1252" s="0" t="str">
        <f aca="false">IF(ISNUMBER($O1252),IF($O1252&gt;=2,IF(COUNTIFS($D1252:$D$2006,$D1252,$E1252:$E$2006,$E1252)=1,ROW(),""),""),"")</f>
        <v/>
      </c>
    </row>
    <row r="1253" customFormat="false" ht="15" hidden="false" customHeight="true" outlineLevel="0" collapsed="false">
      <c r="A1253" s="13" t="str">
        <f aca="false">IF(AND($B1253="",$D1253="",$E1253="",$F1253=""),"",IF(OR($B1253="",$D1253="",$E1253=""),"待补",IF($D1253="公共区域","公",IF($D1253="商铺","S",SUBSTITUTE($D1253,"栋","")))&amp;"-"&amp;$E1253&amp;"-"&amp;TEXT(MONTH($B1253),"00")&amp;TEXT(DAY($B1253),"00")&amp;IF(ISNUMBER($O1253),IF($O1253&gt;1,"-"&amp;TEXT($O1253,"00"),""),"")))</f>
        <v/>
      </c>
      <c r="B1253" s="14"/>
      <c r="C1253" s="10"/>
      <c r="D1253" s="10"/>
      <c r="E1253" s="10"/>
      <c r="F1253" s="16"/>
      <c r="G1253" s="10"/>
      <c r="H1253" s="10"/>
      <c r="I1253" s="10"/>
      <c r="J1253" s="10"/>
      <c r="K1253" s="10"/>
      <c r="L1253" s="10"/>
      <c r="M1253" s="14"/>
      <c r="N1253" s="17" t="str">
        <f aca="false">IF($B1253="","",IF($L1253="已完成",IF($M1253="","",$M1253-$B1253),IF(设置!$B$6&lt;$B1253,"",IF((设置!$B$6-$B1253)&gt;=设置!$B$5,"超期"&amp;(设置!$B$6-$B1253)&amp;"天","已等"&amp;(设置!$B$6-$B1253)&amp;"天"))))</f>
        <v/>
      </c>
      <c r="O1253" s="18" t="str">
        <f aca="false">IF(OR($D1253="",$E1253=""),"",COUNTIFS($D$7:$D1253,$D1253,$E$7:$E1253,$E1253))</f>
        <v/>
      </c>
      <c r="P1253" s="16"/>
      <c r="Q1253" s="19"/>
      <c r="R1253" s="10"/>
      <c r="S1253" s="16"/>
      <c r="T1253" s="0" t="str">
        <f aca="false">IF(OR($D1253="",单元查询!$B$3=""),"",IF($D1253&lt;&gt;单元查询!$B$3,"",IF(OR(单元查询!$D$3="",$E1253&amp;""=单元查询!$D$3&amp;""),IF(ISNUMBER($B1253),$B1253*10000,0)+ROW(),"")))</f>
        <v/>
      </c>
      <c r="U1253" s="0" t="str">
        <f aca="false">IF(OR($B1253="",$L1253="已完成"),"",IF(ISNUMBER($B1253),IF(设置!$B$6&lt;$B1253,"",(设置!$B$6-$B1253)*100000+ROW()),""))</f>
        <v/>
      </c>
      <c r="V1253" s="0" t="str">
        <f aca="false">IF(ISNUMBER($O1253),IF($O1253&gt;=2,IF(COUNTIFS($D1253:$D$2006,$D1253,$E1253:$E$2006,$E1253)=1,ROW(),""),""),"")</f>
        <v/>
      </c>
    </row>
    <row r="1254" customFormat="false" ht="15" hidden="false" customHeight="true" outlineLevel="0" collapsed="false">
      <c r="A1254" s="13" t="str">
        <f aca="false">IF(AND($B1254="",$D1254="",$E1254="",$F1254=""),"",IF(OR($B1254="",$D1254="",$E1254=""),"待补",IF($D1254="公共区域","公",IF($D1254="商铺","S",SUBSTITUTE($D1254,"栋","")))&amp;"-"&amp;$E1254&amp;"-"&amp;TEXT(MONTH($B1254),"00")&amp;TEXT(DAY($B1254),"00")&amp;IF(ISNUMBER($O1254),IF($O1254&gt;1,"-"&amp;TEXT($O1254,"00"),""),"")))</f>
        <v/>
      </c>
      <c r="B1254" s="14"/>
      <c r="C1254" s="10"/>
      <c r="D1254" s="10"/>
      <c r="E1254" s="10"/>
      <c r="F1254" s="16"/>
      <c r="G1254" s="10"/>
      <c r="H1254" s="10"/>
      <c r="I1254" s="10"/>
      <c r="J1254" s="10"/>
      <c r="K1254" s="10"/>
      <c r="L1254" s="10"/>
      <c r="M1254" s="14"/>
      <c r="N1254" s="17" t="str">
        <f aca="false">IF($B1254="","",IF($L1254="已完成",IF($M1254="","",$M1254-$B1254),IF(设置!$B$6&lt;$B1254,"",IF((设置!$B$6-$B1254)&gt;=设置!$B$5,"超期"&amp;(设置!$B$6-$B1254)&amp;"天","已等"&amp;(设置!$B$6-$B1254)&amp;"天"))))</f>
        <v/>
      </c>
      <c r="O1254" s="18" t="str">
        <f aca="false">IF(OR($D1254="",$E1254=""),"",COUNTIFS($D$7:$D1254,$D1254,$E$7:$E1254,$E1254))</f>
        <v/>
      </c>
      <c r="P1254" s="16"/>
      <c r="Q1254" s="19"/>
      <c r="R1254" s="10"/>
      <c r="S1254" s="16"/>
      <c r="T1254" s="0" t="str">
        <f aca="false">IF(OR($D1254="",单元查询!$B$3=""),"",IF($D1254&lt;&gt;单元查询!$B$3,"",IF(OR(单元查询!$D$3="",$E1254&amp;""=单元查询!$D$3&amp;""),IF(ISNUMBER($B1254),$B1254*10000,0)+ROW(),"")))</f>
        <v/>
      </c>
      <c r="U1254" s="0" t="str">
        <f aca="false">IF(OR($B1254="",$L1254="已完成"),"",IF(ISNUMBER($B1254),IF(设置!$B$6&lt;$B1254,"",(设置!$B$6-$B1254)*100000+ROW()),""))</f>
        <v/>
      </c>
      <c r="V1254" s="0" t="str">
        <f aca="false">IF(ISNUMBER($O1254),IF($O1254&gt;=2,IF(COUNTIFS($D1254:$D$2006,$D1254,$E1254:$E$2006,$E1254)=1,ROW(),""),""),"")</f>
        <v/>
      </c>
    </row>
    <row r="1255" customFormat="false" ht="15" hidden="false" customHeight="true" outlineLevel="0" collapsed="false">
      <c r="A1255" s="13" t="str">
        <f aca="false">IF(AND($B1255="",$D1255="",$E1255="",$F1255=""),"",IF(OR($B1255="",$D1255="",$E1255=""),"待补",IF($D1255="公共区域","公",IF($D1255="商铺","S",SUBSTITUTE($D1255,"栋","")))&amp;"-"&amp;$E1255&amp;"-"&amp;TEXT(MONTH($B1255),"00")&amp;TEXT(DAY($B1255),"00")&amp;IF(ISNUMBER($O1255),IF($O1255&gt;1,"-"&amp;TEXT($O1255,"00"),""),"")))</f>
        <v/>
      </c>
      <c r="B1255" s="14"/>
      <c r="C1255" s="10"/>
      <c r="D1255" s="10"/>
      <c r="E1255" s="10"/>
      <c r="F1255" s="16"/>
      <c r="G1255" s="10"/>
      <c r="H1255" s="10"/>
      <c r="I1255" s="10"/>
      <c r="J1255" s="10"/>
      <c r="K1255" s="10"/>
      <c r="L1255" s="10"/>
      <c r="M1255" s="14"/>
      <c r="N1255" s="17" t="str">
        <f aca="false">IF($B1255="","",IF($L1255="已完成",IF($M1255="","",$M1255-$B1255),IF(设置!$B$6&lt;$B1255,"",IF((设置!$B$6-$B1255)&gt;=设置!$B$5,"超期"&amp;(设置!$B$6-$B1255)&amp;"天","已等"&amp;(设置!$B$6-$B1255)&amp;"天"))))</f>
        <v/>
      </c>
      <c r="O1255" s="18" t="str">
        <f aca="false">IF(OR($D1255="",$E1255=""),"",COUNTIFS($D$7:$D1255,$D1255,$E$7:$E1255,$E1255))</f>
        <v/>
      </c>
      <c r="P1255" s="16"/>
      <c r="Q1255" s="19"/>
      <c r="R1255" s="10"/>
      <c r="S1255" s="16"/>
      <c r="T1255" s="0" t="str">
        <f aca="false">IF(OR($D1255="",单元查询!$B$3=""),"",IF($D1255&lt;&gt;单元查询!$B$3,"",IF(OR(单元查询!$D$3="",$E1255&amp;""=单元查询!$D$3&amp;""),IF(ISNUMBER($B1255),$B1255*10000,0)+ROW(),"")))</f>
        <v/>
      </c>
      <c r="U1255" s="0" t="str">
        <f aca="false">IF(OR($B1255="",$L1255="已完成"),"",IF(ISNUMBER($B1255),IF(设置!$B$6&lt;$B1255,"",(设置!$B$6-$B1255)*100000+ROW()),""))</f>
        <v/>
      </c>
      <c r="V1255" s="0" t="str">
        <f aca="false">IF(ISNUMBER($O1255),IF($O1255&gt;=2,IF(COUNTIFS($D1255:$D$2006,$D1255,$E1255:$E$2006,$E1255)=1,ROW(),""),""),"")</f>
        <v/>
      </c>
    </row>
    <row r="1256" customFormat="false" ht="15" hidden="false" customHeight="true" outlineLevel="0" collapsed="false">
      <c r="A1256" s="13" t="str">
        <f aca="false">IF(AND($B1256="",$D1256="",$E1256="",$F1256=""),"",IF(OR($B1256="",$D1256="",$E1256=""),"待补",IF($D1256="公共区域","公",IF($D1256="商铺","S",SUBSTITUTE($D1256,"栋","")))&amp;"-"&amp;$E1256&amp;"-"&amp;TEXT(MONTH($B1256),"00")&amp;TEXT(DAY($B1256),"00")&amp;IF(ISNUMBER($O1256),IF($O1256&gt;1,"-"&amp;TEXT($O1256,"00"),""),"")))</f>
        <v/>
      </c>
      <c r="B1256" s="14"/>
      <c r="C1256" s="10"/>
      <c r="D1256" s="10"/>
      <c r="E1256" s="10"/>
      <c r="F1256" s="16"/>
      <c r="G1256" s="10"/>
      <c r="H1256" s="10"/>
      <c r="I1256" s="10"/>
      <c r="J1256" s="10"/>
      <c r="K1256" s="10"/>
      <c r="L1256" s="10"/>
      <c r="M1256" s="14"/>
      <c r="N1256" s="17" t="str">
        <f aca="false">IF($B1256="","",IF($L1256="已完成",IF($M1256="","",$M1256-$B1256),IF(设置!$B$6&lt;$B1256,"",IF((设置!$B$6-$B1256)&gt;=设置!$B$5,"超期"&amp;(设置!$B$6-$B1256)&amp;"天","已等"&amp;(设置!$B$6-$B1256)&amp;"天"))))</f>
        <v/>
      </c>
      <c r="O1256" s="18" t="str">
        <f aca="false">IF(OR($D1256="",$E1256=""),"",COUNTIFS($D$7:$D1256,$D1256,$E$7:$E1256,$E1256))</f>
        <v/>
      </c>
      <c r="P1256" s="16"/>
      <c r="Q1256" s="19"/>
      <c r="R1256" s="10"/>
      <c r="S1256" s="16"/>
      <c r="T1256" s="0" t="str">
        <f aca="false">IF(OR($D1256="",单元查询!$B$3=""),"",IF($D1256&lt;&gt;单元查询!$B$3,"",IF(OR(单元查询!$D$3="",$E1256&amp;""=单元查询!$D$3&amp;""),IF(ISNUMBER($B1256),$B1256*10000,0)+ROW(),"")))</f>
        <v/>
      </c>
      <c r="U1256" s="0" t="str">
        <f aca="false">IF(OR($B1256="",$L1256="已完成"),"",IF(ISNUMBER($B1256),IF(设置!$B$6&lt;$B1256,"",(设置!$B$6-$B1256)*100000+ROW()),""))</f>
        <v/>
      </c>
      <c r="V1256" s="0" t="str">
        <f aca="false">IF(ISNUMBER($O1256),IF($O1256&gt;=2,IF(COUNTIFS($D1256:$D$2006,$D1256,$E1256:$E$2006,$E1256)=1,ROW(),""),""),"")</f>
        <v/>
      </c>
    </row>
    <row r="1257" customFormat="false" ht="15" hidden="false" customHeight="true" outlineLevel="0" collapsed="false">
      <c r="A1257" s="13" t="str">
        <f aca="false">IF(AND($B1257="",$D1257="",$E1257="",$F1257=""),"",IF(OR($B1257="",$D1257="",$E1257=""),"待补",IF($D1257="公共区域","公",IF($D1257="商铺","S",SUBSTITUTE($D1257,"栋","")))&amp;"-"&amp;$E1257&amp;"-"&amp;TEXT(MONTH($B1257),"00")&amp;TEXT(DAY($B1257),"00")&amp;IF(ISNUMBER($O1257),IF($O1257&gt;1,"-"&amp;TEXT($O1257,"00"),""),"")))</f>
        <v/>
      </c>
      <c r="B1257" s="14"/>
      <c r="C1257" s="10"/>
      <c r="D1257" s="10"/>
      <c r="E1257" s="10"/>
      <c r="F1257" s="16"/>
      <c r="G1257" s="10"/>
      <c r="H1257" s="10"/>
      <c r="I1257" s="10"/>
      <c r="J1257" s="10"/>
      <c r="K1257" s="10"/>
      <c r="L1257" s="10"/>
      <c r="M1257" s="14"/>
      <c r="N1257" s="17" t="str">
        <f aca="false">IF($B1257="","",IF($L1257="已完成",IF($M1257="","",$M1257-$B1257),IF(设置!$B$6&lt;$B1257,"",IF((设置!$B$6-$B1257)&gt;=设置!$B$5,"超期"&amp;(设置!$B$6-$B1257)&amp;"天","已等"&amp;(设置!$B$6-$B1257)&amp;"天"))))</f>
        <v/>
      </c>
      <c r="O1257" s="18" t="str">
        <f aca="false">IF(OR($D1257="",$E1257=""),"",COUNTIFS($D$7:$D1257,$D1257,$E$7:$E1257,$E1257))</f>
        <v/>
      </c>
      <c r="P1257" s="16"/>
      <c r="Q1257" s="19"/>
      <c r="R1257" s="10"/>
      <c r="S1257" s="16"/>
      <c r="T1257" s="0" t="str">
        <f aca="false">IF(OR($D1257="",单元查询!$B$3=""),"",IF($D1257&lt;&gt;单元查询!$B$3,"",IF(OR(单元查询!$D$3="",$E1257&amp;""=单元查询!$D$3&amp;""),IF(ISNUMBER($B1257),$B1257*10000,0)+ROW(),"")))</f>
        <v/>
      </c>
      <c r="U1257" s="0" t="str">
        <f aca="false">IF(OR($B1257="",$L1257="已完成"),"",IF(ISNUMBER($B1257),IF(设置!$B$6&lt;$B1257,"",(设置!$B$6-$B1257)*100000+ROW()),""))</f>
        <v/>
      </c>
      <c r="V1257" s="0" t="str">
        <f aca="false">IF(ISNUMBER($O1257),IF($O1257&gt;=2,IF(COUNTIFS($D1257:$D$2006,$D1257,$E1257:$E$2006,$E1257)=1,ROW(),""),""),"")</f>
        <v/>
      </c>
    </row>
    <row r="1258" customFormat="false" ht="15" hidden="false" customHeight="true" outlineLevel="0" collapsed="false">
      <c r="A1258" s="13" t="str">
        <f aca="false">IF(AND($B1258="",$D1258="",$E1258="",$F1258=""),"",IF(OR($B1258="",$D1258="",$E1258=""),"待补",IF($D1258="公共区域","公",IF($D1258="商铺","S",SUBSTITUTE($D1258,"栋","")))&amp;"-"&amp;$E1258&amp;"-"&amp;TEXT(MONTH($B1258),"00")&amp;TEXT(DAY($B1258),"00")&amp;IF(ISNUMBER($O1258),IF($O1258&gt;1,"-"&amp;TEXT($O1258,"00"),""),"")))</f>
        <v/>
      </c>
      <c r="B1258" s="14"/>
      <c r="C1258" s="10"/>
      <c r="D1258" s="10"/>
      <c r="E1258" s="10"/>
      <c r="F1258" s="16"/>
      <c r="G1258" s="10"/>
      <c r="H1258" s="10"/>
      <c r="I1258" s="10"/>
      <c r="J1258" s="10"/>
      <c r="K1258" s="10"/>
      <c r="L1258" s="10"/>
      <c r="M1258" s="14"/>
      <c r="N1258" s="17" t="str">
        <f aca="false">IF($B1258="","",IF($L1258="已完成",IF($M1258="","",$M1258-$B1258),IF(设置!$B$6&lt;$B1258,"",IF((设置!$B$6-$B1258)&gt;=设置!$B$5,"超期"&amp;(设置!$B$6-$B1258)&amp;"天","已等"&amp;(设置!$B$6-$B1258)&amp;"天"))))</f>
        <v/>
      </c>
      <c r="O1258" s="18" t="str">
        <f aca="false">IF(OR($D1258="",$E1258=""),"",COUNTIFS($D$7:$D1258,$D1258,$E$7:$E1258,$E1258))</f>
        <v/>
      </c>
      <c r="P1258" s="16"/>
      <c r="Q1258" s="19"/>
      <c r="R1258" s="10"/>
      <c r="S1258" s="16"/>
      <c r="T1258" s="0" t="str">
        <f aca="false">IF(OR($D1258="",单元查询!$B$3=""),"",IF($D1258&lt;&gt;单元查询!$B$3,"",IF(OR(单元查询!$D$3="",$E1258&amp;""=单元查询!$D$3&amp;""),IF(ISNUMBER($B1258),$B1258*10000,0)+ROW(),"")))</f>
        <v/>
      </c>
      <c r="U1258" s="0" t="str">
        <f aca="false">IF(OR($B1258="",$L1258="已完成"),"",IF(ISNUMBER($B1258),IF(设置!$B$6&lt;$B1258,"",(设置!$B$6-$B1258)*100000+ROW()),""))</f>
        <v/>
      </c>
      <c r="V1258" s="0" t="str">
        <f aca="false">IF(ISNUMBER($O1258),IF($O1258&gt;=2,IF(COUNTIFS($D1258:$D$2006,$D1258,$E1258:$E$2006,$E1258)=1,ROW(),""),""),"")</f>
        <v/>
      </c>
    </row>
    <row r="1259" customFormat="false" ht="15" hidden="false" customHeight="true" outlineLevel="0" collapsed="false">
      <c r="A1259" s="13" t="str">
        <f aca="false">IF(AND($B1259="",$D1259="",$E1259="",$F1259=""),"",IF(OR($B1259="",$D1259="",$E1259=""),"待补",IF($D1259="公共区域","公",IF($D1259="商铺","S",SUBSTITUTE($D1259,"栋","")))&amp;"-"&amp;$E1259&amp;"-"&amp;TEXT(MONTH($B1259),"00")&amp;TEXT(DAY($B1259),"00")&amp;IF(ISNUMBER($O1259),IF($O1259&gt;1,"-"&amp;TEXT($O1259,"00"),""),"")))</f>
        <v/>
      </c>
      <c r="B1259" s="14"/>
      <c r="C1259" s="10"/>
      <c r="D1259" s="10"/>
      <c r="E1259" s="10"/>
      <c r="F1259" s="16"/>
      <c r="G1259" s="10"/>
      <c r="H1259" s="10"/>
      <c r="I1259" s="10"/>
      <c r="J1259" s="10"/>
      <c r="K1259" s="10"/>
      <c r="L1259" s="10"/>
      <c r="M1259" s="14"/>
      <c r="N1259" s="17" t="str">
        <f aca="false">IF($B1259="","",IF($L1259="已完成",IF($M1259="","",$M1259-$B1259),IF(设置!$B$6&lt;$B1259,"",IF((设置!$B$6-$B1259)&gt;=设置!$B$5,"超期"&amp;(设置!$B$6-$B1259)&amp;"天","已等"&amp;(设置!$B$6-$B1259)&amp;"天"))))</f>
        <v/>
      </c>
      <c r="O1259" s="18" t="str">
        <f aca="false">IF(OR($D1259="",$E1259=""),"",COUNTIFS($D$7:$D1259,$D1259,$E$7:$E1259,$E1259))</f>
        <v/>
      </c>
      <c r="P1259" s="16"/>
      <c r="Q1259" s="19"/>
      <c r="R1259" s="10"/>
      <c r="S1259" s="16"/>
      <c r="T1259" s="0" t="str">
        <f aca="false">IF(OR($D1259="",单元查询!$B$3=""),"",IF($D1259&lt;&gt;单元查询!$B$3,"",IF(OR(单元查询!$D$3="",$E1259&amp;""=单元查询!$D$3&amp;""),IF(ISNUMBER($B1259),$B1259*10000,0)+ROW(),"")))</f>
        <v/>
      </c>
      <c r="U1259" s="0" t="str">
        <f aca="false">IF(OR($B1259="",$L1259="已完成"),"",IF(ISNUMBER($B1259),IF(设置!$B$6&lt;$B1259,"",(设置!$B$6-$B1259)*100000+ROW()),""))</f>
        <v/>
      </c>
      <c r="V1259" s="0" t="str">
        <f aca="false">IF(ISNUMBER($O1259),IF($O1259&gt;=2,IF(COUNTIFS($D1259:$D$2006,$D1259,$E1259:$E$2006,$E1259)=1,ROW(),""),""),"")</f>
        <v/>
      </c>
    </row>
    <row r="1260" customFormat="false" ht="15" hidden="false" customHeight="true" outlineLevel="0" collapsed="false">
      <c r="A1260" s="13" t="str">
        <f aca="false">IF(AND($B1260="",$D1260="",$E1260="",$F1260=""),"",IF(OR($B1260="",$D1260="",$E1260=""),"待补",IF($D1260="公共区域","公",IF($D1260="商铺","S",SUBSTITUTE($D1260,"栋","")))&amp;"-"&amp;$E1260&amp;"-"&amp;TEXT(MONTH($B1260),"00")&amp;TEXT(DAY($B1260),"00")&amp;IF(ISNUMBER($O1260),IF($O1260&gt;1,"-"&amp;TEXT($O1260,"00"),""),"")))</f>
        <v/>
      </c>
      <c r="B1260" s="14"/>
      <c r="C1260" s="10"/>
      <c r="D1260" s="10"/>
      <c r="E1260" s="10"/>
      <c r="F1260" s="16"/>
      <c r="G1260" s="10"/>
      <c r="H1260" s="10"/>
      <c r="I1260" s="10"/>
      <c r="J1260" s="10"/>
      <c r="K1260" s="10"/>
      <c r="L1260" s="10"/>
      <c r="M1260" s="14"/>
      <c r="N1260" s="17" t="str">
        <f aca="false">IF($B1260="","",IF($L1260="已完成",IF($M1260="","",$M1260-$B1260),IF(设置!$B$6&lt;$B1260,"",IF((设置!$B$6-$B1260)&gt;=设置!$B$5,"超期"&amp;(设置!$B$6-$B1260)&amp;"天","已等"&amp;(设置!$B$6-$B1260)&amp;"天"))))</f>
        <v/>
      </c>
      <c r="O1260" s="18" t="str">
        <f aca="false">IF(OR($D1260="",$E1260=""),"",COUNTIFS($D$7:$D1260,$D1260,$E$7:$E1260,$E1260))</f>
        <v/>
      </c>
      <c r="P1260" s="16"/>
      <c r="Q1260" s="19"/>
      <c r="R1260" s="10"/>
      <c r="S1260" s="16"/>
      <c r="T1260" s="0" t="str">
        <f aca="false">IF(OR($D1260="",单元查询!$B$3=""),"",IF($D1260&lt;&gt;单元查询!$B$3,"",IF(OR(单元查询!$D$3="",$E1260&amp;""=单元查询!$D$3&amp;""),IF(ISNUMBER($B1260),$B1260*10000,0)+ROW(),"")))</f>
        <v/>
      </c>
      <c r="U1260" s="0" t="str">
        <f aca="false">IF(OR($B1260="",$L1260="已完成"),"",IF(ISNUMBER($B1260),IF(设置!$B$6&lt;$B1260,"",(设置!$B$6-$B1260)*100000+ROW()),""))</f>
        <v/>
      </c>
      <c r="V1260" s="0" t="str">
        <f aca="false">IF(ISNUMBER($O1260),IF($O1260&gt;=2,IF(COUNTIFS($D1260:$D$2006,$D1260,$E1260:$E$2006,$E1260)=1,ROW(),""),""),"")</f>
        <v/>
      </c>
    </row>
    <row r="1261" customFormat="false" ht="15" hidden="false" customHeight="true" outlineLevel="0" collapsed="false">
      <c r="A1261" s="13" t="str">
        <f aca="false">IF(AND($B1261="",$D1261="",$E1261="",$F1261=""),"",IF(OR($B1261="",$D1261="",$E1261=""),"待补",IF($D1261="公共区域","公",IF($D1261="商铺","S",SUBSTITUTE($D1261,"栋","")))&amp;"-"&amp;$E1261&amp;"-"&amp;TEXT(MONTH($B1261),"00")&amp;TEXT(DAY($B1261),"00")&amp;IF(ISNUMBER($O1261),IF($O1261&gt;1,"-"&amp;TEXT($O1261,"00"),""),"")))</f>
        <v/>
      </c>
      <c r="B1261" s="14"/>
      <c r="C1261" s="10"/>
      <c r="D1261" s="10"/>
      <c r="E1261" s="10"/>
      <c r="F1261" s="16"/>
      <c r="G1261" s="10"/>
      <c r="H1261" s="10"/>
      <c r="I1261" s="10"/>
      <c r="J1261" s="10"/>
      <c r="K1261" s="10"/>
      <c r="L1261" s="10"/>
      <c r="M1261" s="14"/>
      <c r="N1261" s="17" t="str">
        <f aca="false">IF($B1261="","",IF($L1261="已完成",IF($M1261="","",$M1261-$B1261),IF(设置!$B$6&lt;$B1261,"",IF((设置!$B$6-$B1261)&gt;=设置!$B$5,"超期"&amp;(设置!$B$6-$B1261)&amp;"天","已等"&amp;(设置!$B$6-$B1261)&amp;"天"))))</f>
        <v/>
      </c>
      <c r="O1261" s="18" t="str">
        <f aca="false">IF(OR($D1261="",$E1261=""),"",COUNTIFS($D$7:$D1261,$D1261,$E$7:$E1261,$E1261))</f>
        <v/>
      </c>
      <c r="P1261" s="16"/>
      <c r="Q1261" s="19"/>
      <c r="R1261" s="10"/>
      <c r="S1261" s="16"/>
      <c r="T1261" s="0" t="str">
        <f aca="false">IF(OR($D1261="",单元查询!$B$3=""),"",IF($D1261&lt;&gt;单元查询!$B$3,"",IF(OR(单元查询!$D$3="",$E1261&amp;""=单元查询!$D$3&amp;""),IF(ISNUMBER($B1261),$B1261*10000,0)+ROW(),"")))</f>
        <v/>
      </c>
      <c r="U1261" s="0" t="str">
        <f aca="false">IF(OR($B1261="",$L1261="已完成"),"",IF(ISNUMBER($B1261),IF(设置!$B$6&lt;$B1261,"",(设置!$B$6-$B1261)*100000+ROW()),""))</f>
        <v/>
      </c>
      <c r="V1261" s="0" t="str">
        <f aca="false">IF(ISNUMBER($O1261),IF($O1261&gt;=2,IF(COUNTIFS($D1261:$D$2006,$D1261,$E1261:$E$2006,$E1261)=1,ROW(),""),""),"")</f>
        <v/>
      </c>
    </row>
    <row r="1262" customFormat="false" ht="15" hidden="false" customHeight="true" outlineLevel="0" collapsed="false">
      <c r="A1262" s="13" t="str">
        <f aca="false">IF(AND($B1262="",$D1262="",$E1262="",$F1262=""),"",IF(OR($B1262="",$D1262="",$E1262=""),"待补",IF($D1262="公共区域","公",IF($D1262="商铺","S",SUBSTITUTE($D1262,"栋","")))&amp;"-"&amp;$E1262&amp;"-"&amp;TEXT(MONTH($B1262),"00")&amp;TEXT(DAY($B1262),"00")&amp;IF(ISNUMBER($O1262),IF($O1262&gt;1,"-"&amp;TEXT($O1262,"00"),""),"")))</f>
        <v/>
      </c>
      <c r="B1262" s="14"/>
      <c r="C1262" s="10"/>
      <c r="D1262" s="10"/>
      <c r="E1262" s="10"/>
      <c r="F1262" s="16"/>
      <c r="G1262" s="10"/>
      <c r="H1262" s="10"/>
      <c r="I1262" s="10"/>
      <c r="J1262" s="10"/>
      <c r="K1262" s="10"/>
      <c r="L1262" s="10"/>
      <c r="M1262" s="14"/>
      <c r="N1262" s="17" t="str">
        <f aca="false">IF($B1262="","",IF($L1262="已完成",IF($M1262="","",$M1262-$B1262),IF(设置!$B$6&lt;$B1262,"",IF((设置!$B$6-$B1262)&gt;=设置!$B$5,"超期"&amp;(设置!$B$6-$B1262)&amp;"天","已等"&amp;(设置!$B$6-$B1262)&amp;"天"))))</f>
        <v/>
      </c>
      <c r="O1262" s="18" t="str">
        <f aca="false">IF(OR($D1262="",$E1262=""),"",COUNTIFS($D$7:$D1262,$D1262,$E$7:$E1262,$E1262))</f>
        <v/>
      </c>
      <c r="P1262" s="16"/>
      <c r="Q1262" s="19"/>
      <c r="R1262" s="10"/>
      <c r="S1262" s="16"/>
      <c r="T1262" s="0" t="str">
        <f aca="false">IF(OR($D1262="",单元查询!$B$3=""),"",IF($D1262&lt;&gt;单元查询!$B$3,"",IF(OR(单元查询!$D$3="",$E1262&amp;""=单元查询!$D$3&amp;""),IF(ISNUMBER($B1262),$B1262*10000,0)+ROW(),"")))</f>
        <v/>
      </c>
      <c r="U1262" s="0" t="str">
        <f aca="false">IF(OR($B1262="",$L1262="已完成"),"",IF(ISNUMBER($B1262),IF(设置!$B$6&lt;$B1262,"",(设置!$B$6-$B1262)*100000+ROW()),""))</f>
        <v/>
      </c>
      <c r="V1262" s="0" t="str">
        <f aca="false">IF(ISNUMBER($O1262),IF($O1262&gt;=2,IF(COUNTIFS($D1262:$D$2006,$D1262,$E1262:$E$2006,$E1262)=1,ROW(),""),""),"")</f>
        <v/>
      </c>
    </row>
    <row r="1263" customFormat="false" ht="15" hidden="false" customHeight="true" outlineLevel="0" collapsed="false">
      <c r="A1263" s="13" t="str">
        <f aca="false">IF(AND($B1263="",$D1263="",$E1263="",$F1263=""),"",IF(OR($B1263="",$D1263="",$E1263=""),"待补",IF($D1263="公共区域","公",IF($D1263="商铺","S",SUBSTITUTE($D1263,"栋","")))&amp;"-"&amp;$E1263&amp;"-"&amp;TEXT(MONTH($B1263),"00")&amp;TEXT(DAY($B1263),"00")&amp;IF(ISNUMBER($O1263),IF($O1263&gt;1,"-"&amp;TEXT($O1263,"00"),""),"")))</f>
        <v/>
      </c>
      <c r="B1263" s="14"/>
      <c r="C1263" s="10"/>
      <c r="D1263" s="10"/>
      <c r="E1263" s="10"/>
      <c r="F1263" s="16"/>
      <c r="G1263" s="10"/>
      <c r="H1263" s="10"/>
      <c r="I1263" s="10"/>
      <c r="J1263" s="10"/>
      <c r="K1263" s="10"/>
      <c r="L1263" s="10"/>
      <c r="M1263" s="14"/>
      <c r="N1263" s="17" t="str">
        <f aca="false">IF($B1263="","",IF($L1263="已完成",IF($M1263="","",$M1263-$B1263),IF(设置!$B$6&lt;$B1263,"",IF((设置!$B$6-$B1263)&gt;=设置!$B$5,"超期"&amp;(设置!$B$6-$B1263)&amp;"天","已等"&amp;(设置!$B$6-$B1263)&amp;"天"))))</f>
        <v/>
      </c>
      <c r="O1263" s="18" t="str">
        <f aca="false">IF(OR($D1263="",$E1263=""),"",COUNTIFS($D$7:$D1263,$D1263,$E$7:$E1263,$E1263))</f>
        <v/>
      </c>
      <c r="P1263" s="16"/>
      <c r="Q1263" s="19"/>
      <c r="R1263" s="10"/>
      <c r="S1263" s="16"/>
      <c r="T1263" s="0" t="str">
        <f aca="false">IF(OR($D1263="",单元查询!$B$3=""),"",IF($D1263&lt;&gt;单元查询!$B$3,"",IF(OR(单元查询!$D$3="",$E1263&amp;""=单元查询!$D$3&amp;""),IF(ISNUMBER($B1263),$B1263*10000,0)+ROW(),"")))</f>
        <v/>
      </c>
      <c r="U1263" s="0" t="str">
        <f aca="false">IF(OR($B1263="",$L1263="已完成"),"",IF(ISNUMBER($B1263),IF(设置!$B$6&lt;$B1263,"",(设置!$B$6-$B1263)*100000+ROW()),""))</f>
        <v/>
      </c>
      <c r="V1263" s="0" t="str">
        <f aca="false">IF(ISNUMBER($O1263),IF($O1263&gt;=2,IF(COUNTIFS($D1263:$D$2006,$D1263,$E1263:$E$2006,$E1263)=1,ROW(),""),""),"")</f>
        <v/>
      </c>
    </row>
    <row r="1264" customFormat="false" ht="15" hidden="false" customHeight="true" outlineLevel="0" collapsed="false">
      <c r="A1264" s="13" t="str">
        <f aca="false">IF(AND($B1264="",$D1264="",$E1264="",$F1264=""),"",IF(OR($B1264="",$D1264="",$E1264=""),"待补",IF($D1264="公共区域","公",IF($D1264="商铺","S",SUBSTITUTE($D1264,"栋","")))&amp;"-"&amp;$E1264&amp;"-"&amp;TEXT(MONTH($B1264),"00")&amp;TEXT(DAY($B1264),"00")&amp;IF(ISNUMBER($O1264),IF($O1264&gt;1,"-"&amp;TEXT($O1264,"00"),""),"")))</f>
        <v/>
      </c>
      <c r="B1264" s="14"/>
      <c r="C1264" s="10"/>
      <c r="D1264" s="10"/>
      <c r="E1264" s="10"/>
      <c r="F1264" s="16"/>
      <c r="G1264" s="10"/>
      <c r="H1264" s="10"/>
      <c r="I1264" s="10"/>
      <c r="J1264" s="10"/>
      <c r="K1264" s="10"/>
      <c r="L1264" s="10"/>
      <c r="M1264" s="14"/>
      <c r="N1264" s="17" t="str">
        <f aca="false">IF($B1264="","",IF($L1264="已完成",IF($M1264="","",$M1264-$B1264),IF(设置!$B$6&lt;$B1264,"",IF((设置!$B$6-$B1264)&gt;=设置!$B$5,"超期"&amp;(设置!$B$6-$B1264)&amp;"天","已等"&amp;(设置!$B$6-$B1264)&amp;"天"))))</f>
        <v/>
      </c>
      <c r="O1264" s="18" t="str">
        <f aca="false">IF(OR($D1264="",$E1264=""),"",COUNTIFS($D$7:$D1264,$D1264,$E$7:$E1264,$E1264))</f>
        <v/>
      </c>
      <c r="P1264" s="16"/>
      <c r="Q1264" s="19"/>
      <c r="R1264" s="10"/>
      <c r="S1264" s="16"/>
      <c r="T1264" s="0" t="str">
        <f aca="false">IF(OR($D1264="",单元查询!$B$3=""),"",IF($D1264&lt;&gt;单元查询!$B$3,"",IF(OR(单元查询!$D$3="",$E1264&amp;""=单元查询!$D$3&amp;""),IF(ISNUMBER($B1264),$B1264*10000,0)+ROW(),"")))</f>
        <v/>
      </c>
      <c r="U1264" s="0" t="str">
        <f aca="false">IF(OR($B1264="",$L1264="已完成"),"",IF(ISNUMBER($B1264),IF(设置!$B$6&lt;$B1264,"",(设置!$B$6-$B1264)*100000+ROW()),""))</f>
        <v/>
      </c>
      <c r="V1264" s="0" t="str">
        <f aca="false">IF(ISNUMBER($O1264),IF($O1264&gt;=2,IF(COUNTIFS($D1264:$D$2006,$D1264,$E1264:$E$2006,$E1264)=1,ROW(),""),""),"")</f>
        <v/>
      </c>
    </row>
    <row r="1265" customFormat="false" ht="15" hidden="false" customHeight="true" outlineLevel="0" collapsed="false">
      <c r="A1265" s="13" t="str">
        <f aca="false">IF(AND($B1265="",$D1265="",$E1265="",$F1265=""),"",IF(OR($B1265="",$D1265="",$E1265=""),"待补",IF($D1265="公共区域","公",IF($D1265="商铺","S",SUBSTITUTE($D1265,"栋","")))&amp;"-"&amp;$E1265&amp;"-"&amp;TEXT(MONTH($B1265),"00")&amp;TEXT(DAY($B1265),"00")&amp;IF(ISNUMBER($O1265),IF($O1265&gt;1,"-"&amp;TEXT($O1265,"00"),""),"")))</f>
        <v/>
      </c>
      <c r="B1265" s="14"/>
      <c r="C1265" s="10"/>
      <c r="D1265" s="10"/>
      <c r="E1265" s="10"/>
      <c r="F1265" s="16"/>
      <c r="G1265" s="10"/>
      <c r="H1265" s="10"/>
      <c r="I1265" s="10"/>
      <c r="J1265" s="10"/>
      <c r="K1265" s="10"/>
      <c r="L1265" s="10"/>
      <c r="M1265" s="14"/>
      <c r="N1265" s="17" t="str">
        <f aca="false">IF($B1265="","",IF($L1265="已完成",IF($M1265="","",$M1265-$B1265),IF(设置!$B$6&lt;$B1265,"",IF((设置!$B$6-$B1265)&gt;=设置!$B$5,"超期"&amp;(设置!$B$6-$B1265)&amp;"天","已等"&amp;(设置!$B$6-$B1265)&amp;"天"))))</f>
        <v/>
      </c>
      <c r="O1265" s="18" t="str">
        <f aca="false">IF(OR($D1265="",$E1265=""),"",COUNTIFS($D$7:$D1265,$D1265,$E$7:$E1265,$E1265))</f>
        <v/>
      </c>
      <c r="P1265" s="16"/>
      <c r="Q1265" s="19"/>
      <c r="R1265" s="10"/>
      <c r="S1265" s="16"/>
      <c r="T1265" s="0" t="str">
        <f aca="false">IF(OR($D1265="",单元查询!$B$3=""),"",IF($D1265&lt;&gt;单元查询!$B$3,"",IF(OR(单元查询!$D$3="",$E1265&amp;""=单元查询!$D$3&amp;""),IF(ISNUMBER($B1265),$B1265*10000,0)+ROW(),"")))</f>
        <v/>
      </c>
      <c r="U1265" s="0" t="str">
        <f aca="false">IF(OR($B1265="",$L1265="已完成"),"",IF(ISNUMBER($B1265),IF(设置!$B$6&lt;$B1265,"",(设置!$B$6-$B1265)*100000+ROW()),""))</f>
        <v/>
      </c>
      <c r="V1265" s="0" t="str">
        <f aca="false">IF(ISNUMBER($O1265),IF($O1265&gt;=2,IF(COUNTIFS($D1265:$D$2006,$D1265,$E1265:$E$2006,$E1265)=1,ROW(),""),""),"")</f>
        <v/>
      </c>
    </row>
    <row r="1266" customFormat="false" ht="15" hidden="false" customHeight="true" outlineLevel="0" collapsed="false">
      <c r="A1266" s="13" t="str">
        <f aca="false">IF(AND($B1266="",$D1266="",$E1266="",$F1266=""),"",IF(OR($B1266="",$D1266="",$E1266=""),"待补",IF($D1266="公共区域","公",IF($D1266="商铺","S",SUBSTITUTE($D1266,"栋","")))&amp;"-"&amp;$E1266&amp;"-"&amp;TEXT(MONTH($B1266),"00")&amp;TEXT(DAY($B1266),"00")&amp;IF(ISNUMBER($O1266),IF($O1266&gt;1,"-"&amp;TEXT($O1266,"00"),""),"")))</f>
        <v/>
      </c>
      <c r="B1266" s="14"/>
      <c r="C1266" s="10"/>
      <c r="D1266" s="10"/>
      <c r="E1266" s="10"/>
      <c r="F1266" s="16"/>
      <c r="G1266" s="10"/>
      <c r="H1266" s="10"/>
      <c r="I1266" s="10"/>
      <c r="J1266" s="10"/>
      <c r="K1266" s="10"/>
      <c r="L1266" s="10"/>
      <c r="M1266" s="14"/>
      <c r="N1266" s="17" t="str">
        <f aca="false">IF($B1266="","",IF($L1266="已完成",IF($M1266="","",$M1266-$B1266),IF(设置!$B$6&lt;$B1266,"",IF((设置!$B$6-$B1266)&gt;=设置!$B$5,"超期"&amp;(设置!$B$6-$B1266)&amp;"天","已等"&amp;(设置!$B$6-$B1266)&amp;"天"))))</f>
        <v/>
      </c>
      <c r="O1266" s="18" t="str">
        <f aca="false">IF(OR($D1266="",$E1266=""),"",COUNTIFS($D$7:$D1266,$D1266,$E$7:$E1266,$E1266))</f>
        <v/>
      </c>
      <c r="P1266" s="16"/>
      <c r="Q1266" s="19"/>
      <c r="R1266" s="10"/>
      <c r="S1266" s="16"/>
      <c r="T1266" s="0" t="str">
        <f aca="false">IF(OR($D1266="",单元查询!$B$3=""),"",IF($D1266&lt;&gt;单元查询!$B$3,"",IF(OR(单元查询!$D$3="",$E1266&amp;""=单元查询!$D$3&amp;""),IF(ISNUMBER($B1266),$B1266*10000,0)+ROW(),"")))</f>
        <v/>
      </c>
      <c r="U1266" s="0" t="str">
        <f aca="false">IF(OR($B1266="",$L1266="已完成"),"",IF(ISNUMBER($B1266),IF(设置!$B$6&lt;$B1266,"",(设置!$B$6-$B1266)*100000+ROW()),""))</f>
        <v/>
      </c>
      <c r="V1266" s="0" t="str">
        <f aca="false">IF(ISNUMBER($O1266),IF($O1266&gt;=2,IF(COUNTIFS($D1266:$D$2006,$D1266,$E1266:$E$2006,$E1266)=1,ROW(),""),""),"")</f>
        <v/>
      </c>
    </row>
    <row r="1267" customFormat="false" ht="15" hidden="false" customHeight="true" outlineLevel="0" collapsed="false">
      <c r="A1267" s="13" t="str">
        <f aca="false">IF(AND($B1267="",$D1267="",$E1267="",$F1267=""),"",IF(OR($B1267="",$D1267="",$E1267=""),"待补",IF($D1267="公共区域","公",IF($D1267="商铺","S",SUBSTITUTE($D1267,"栋","")))&amp;"-"&amp;$E1267&amp;"-"&amp;TEXT(MONTH($B1267),"00")&amp;TEXT(DAY($B1267),"00")&amp;IF(ISNUMBER($O1267),IF($O1267&gt;1,"-"&amp;TEXT($O1267,"00"),""),"")))</f>
        <v/>
      </c>
      <c r="B1267" s="14"/>
      <c r="C1267" s="10"/>
      <c r="D1267" s="10"/>
      <c r="E1267" s="10"/>
      <c r="F1267" s="16"/>
      <c r="G1267" s="10"/>
      <c r="H1267" s="10"/>
      <c r="I1267" s="10"/>
      <c r="J1267" s="10"/>
      <c r="K1267" s="10"/>
      <c r="L1267" s="10"/>
      <c r="M1267" s="14"/>
      <c r="N1267" s="17" t="str">
        <f aca="false">IF($B1267="","",IF($L1267="已完成",IF($M1267="","",$M1267-$B1267),IF(设置!$B$6&lt;$B1267,"",IF((设置!$B$6-$B1267)&gt;=设置!$B$5,"超期"&amp;(设置!$B$6-$B1267)&amp;"天","已等"&amp;(设置!$B$6-$B1267)&amp;"天"))))</f>
        <v/>
      </c>
      <c r="O1267" s="18" t="str">
        <f aca="false">IF(OR($D1267="",$E1267=""),"",COUNTIFS($D$7:$D1267,$D1267,$E$7:$E1267,$E1267))</f>
        <v/>
      </c>
      <c r="P1267" s="16"/>
      <c r="Q1267" s="19"/>
      <c r="R1267" s="10"/>
      <c r="S1267" s="16"/>
      <c r="T1267" s="0" t="str">
        <f aca="false">IF(OR($D1267="",单元查询!$B$3=""),"",IF($D1267&lt;&gt;单元查询!$B$3,"",IF(OR(单元查询!$D$3="",$E1267&amp;""=单元查询!$D$3&amp;""),IF(ISNUMBER($B1267),$B1267*10000,0)+ROW(),"")))</f>
        <v/>
      </c>
      <c r="U1267" s="0" t="str">
        <f aca="false">IF(OR($B1267="",$L1267="已完成"),"",IF(ISNUMBER($B1267),IF(设置!$B$6&lt;$B1267,"",(设置!$B$6-$B1267)*100000+ROW()),""))</f>
        <v/>
      </c>
      <c r="V1267" s="0" t="str">
        <f aca="false">IF(ISNUMBER($O1267),IF($O1267&gt;=2,IF(COUNTIFS($D1267:$D$2006,$D1267,$E1267:$E$2006,$E1267)=1,ROW(),""),""),"")</f>
        <v/>
      </c>
    </row>
    <row r="1268" customFormat="false" ht="15" hidden="false" customHeight="true" outlineLevel="0" collapsed="false">
      <c r="A1268" s="13" t="str">
        <f aca="false">IF(AND($B1268="",$D1268="",$E1268="",$F1268=""),"",IF(OR($B1268="",$D1268="",$E1268=""),"待补",IF($D1268="公共区域","公",IF($D1268="商铺","S",SUBSTITUTE($D1268,"栋","")))&amp;"-"&amp;$E1268&amp;"-"&amp;TEXT(MONTH($B1268),"00")&amp;TEXT(DAY($B1268),"00")&amp;IF(ISNUMBER($O1268),IF($O1268&gt;1,"-"&amp;TEXT($O1268,"00"),""),"")))</f>
        <v/>
      </c>
      <c r="B1268" s="14"/>
      <c r="C1268" s="10"/>
      <c r="D1268" s="10"/>
      <c r="E1268" s="10"/>
      <c r="F1268" s="16"/>
      <c r="G1268" s="10"/>
      <c r="H1268" s="10"/>
      <c r="I1268" s="10"/>
      <c r="J1268" s="10"/>
      <c r="K1268" s="10"/>
      <c r="L1268" s="10"/>
      <c r="M1268" s="14"/>
      <c r="N1268" s="17" t="str">
        <f aca="false">IF($B1268="","",IF($L1268="已完成",IF($M1268="","",$M1268-$B1268),IF(设置!$B$6&lt;$B1268,"",IF((设置!$B$6-$B1268)&gt;=设置!$B$5,"超期"&amp;(设置!$B$6-$B1268)&amp;"天","已等"&amp;(设置!$B$6-$B1268)&amp;"天"))))</f>
        <v/>
      </c>
      <c r="O1268" s="18" t="str">
        <f aca="false">IF(OR($D1268="",$E1268=""),"",COUNTIFS($D$7:$D1268,$D1268,$E$7:$E1268,$E1268))</f>
        <v/>
      </c>
      <c r="P1268" s="16"/>
      <c r="Q1268" s="19"/>
      <c r="R1268" s="10"/>
      <c r="S1268" s="16"/>
      <c r="T1268" s="0" t="str">
        <f aca="false">IF(OR($D1268="",单元查询!$B$3=""),"",IF($D1268&lt;&gt;单元查询!$B$3,"",IF(OR(单元查询!$D$3="",$E1268&amp;""=单元查询!$D$3&amp;""),IF(ISNUMBER($B1268),$B1268*10000,0)+ROW(),"")))</f>
        <v/>
      </c>
      <c r="U1268" s="0" t="str">
        <f aca="false">IF(OR($B1268="",$L1268="已完成"),"",IF(ISNUMBER($B1268),IF(设置!$B$6&lt;$B1268,"",(设置!$B$6-$B1268)*100000+ROW()),""))</f>
        <v/>
      </c>
      <c r="V1268" s="0" t="str">
        <f aca="false">IF(ISNUMBER($O1268),IF($O1268&gt;=2,IF(COUNTIFS($D1268:$D$2006,$D1268,$E1268:$E$2006,$E1268)=1,ROW(),""),""),"")</f>
        <v/>
      </c>
    </row>
    <row r="1269" customFormat="false" ht="15" hidden="false" customHeight="true" outlineLevel="0" collapsed="false">
      <c r="A1269" s="13" t="str">
        <f aca="false">IF(AND($B1269="",$D1269="",$E1269="",$F1269=""),"",IF(OR($B1269="",$D1269="",$E1269=""),"待补",IF($D1269="公共区域","公",IF($D1269="商铺","S",SUBSTITUTE($D1269,"栋","")))&amp;"-"&amp;$E1269&amp;"-"&amp;TEXT(MONTH($B1269),"00")&amp;TEXT(DAY($B1269),"00")&amp;IF(ISNUMBER($O1269),IF($O1269&gt;1,"-"&amp;TEXT($O1269,"00"),""),"")))</f>
        <v/>
      </c>
      <c r="B1269" s="14"/>
      <c r="C1269" s="10"/>
      <c r="D1269" s="10"/>
      <c r="E1269" s="10"/>
      <c r="F1269" s="16"/>
      <c r="G1269" s="10"/>
      <c r="H1269" s="10"/>
      <c r="I1269" s="10"/>
      <c r="J1269" s="10"/>
      <c r="K1269" s="10"/>
      <c r="L1269" s="10"/>
      <c r="M1269" s="14"/>
      <c r="N1269" s="17" t="str">
        <f aca="false">IF($B1269="","",IF($L1269="已完成",IF($M1269="","",$M1269-$B1269),IF(设置!$B$6&lt;$B1269,"",IF((设置!$B$6-$B1269)&gt;=设置!$B$5,"超期"&amp;(设置!$B$6-$B1269)&amp;"天","已等"&amp;(设置!$B$6-$B1269)&amp;"天"))))</f>
        <v/>
      </c>
      <c r="O1269" s="18" t="str">
        <f aca="false">IF(OR($D1269="",$E1269=""),"",COUNTIFS($D$7:$D1269,$D1269,$E$7:$E1269,$E1269))</f>
        <v/>
      </c>
      <c r="P1269" s="16"/>
      <c r="Q1269" s="19"/>
      <c r="R1269" s="10"/>
      <c r="S1269" s="16"/>
      <c r="T1269" s="0" t="str">
        <f aca="false">IF(OR($D1269="",单元查询!$B$3=""),"",IF($D1269&lt;&gt;单元查询!$B$3,"",IF(OR(单元查询!$D$3="",$E1269&amp;""=单元查询!$D$3&amp;""),IF(ISNUMBER($B1269),$B1269*10000,0)+ROW(),"")))</f>
        <v/>
      </c>
      <c r="U1269" s="0" t="str">
        <f aca="false">IF(OR($B1269="",$L1269="已完成"),"",IF(ISNUMBER($B1269),IF(设置!$B$6&lt;$B1269,"",(设置!$B$6-$B1269)*100000+ROW()),""))</f>
        <v/>
      </c>
      <c r="V1269" s="0" t="str">
        <f aca="false">IF(ISNUMBER($O1269),IF($O1269&gt;=2,IF(COUNTIFS($D1269:$D$2006,$D1269,$E1269:$E$2006,$E1269)=1,ROW(),""),""),"")</f>
        <v/>
      </c>
    </row>
    <row r="1270" customFormat="false" ht="15" hidden="false" customHeight="true" outlineLevel="0" collapsed="false">
      <c r="A1270" s="13" t="str">
        <f aca="false">IF(AND($B1270="",$D1270="",$E1270="",$F1270=""),"",IF(OR($B1270="",$D1270="",$E1270=""),"待补",IF($D1270="公共区域","公",IF($D1270="商铺","S",SUBSTITUTE($D1270,"栋","")))&amp;"-"&amp;$E1270&amp;"-"&amp;TEXT(MONTH($B1270),"00")&amp;TEXT(DAY($B1270),"00")&amp;IF(ISNUMBER($O1270),IF($O1270&gt;1,"-"&amp;TEXT($O1270,"00"),""),"")))</f>
        <v/>
      </c>
      <c r="B1270" s="14"/>
      <c r="C1270" s="10"/>
      <c r="D1270" s="10"/>
      <c r="E1270" s="10"/>
      <c r="F1270" s="16"/>
      <c r="G1270" s="10"/>
      <c r="H1270" s="10"/>
      <c r="I1270" s="10"/>
      <c r="J1270" s="10"/>
      <c r="K1270" s="10"/>
      <c r="L1270" s="10"/>
      <c r="M1270" s="14"/>
      <c r="N1270" s="17" t="str">
        <f aca="false">IF($B1270="","",IF($L1270="已完成",IF($M1270="","",$M1270-$B1270),IF(设置!$B$6&lt;$B1270,"",IF((设置!$B$6-$B1270)&gt;=设置!$B$5,"超期"&amp;(设置!$B$6-$B1270)&amp;"天","已等"&amp;(设置!$B$6-$B1270)&amp;"天"))))</f>
        <v/>
      </c>
      <c r="O1270" s="18" t="str">
        <f aca="false">IF(OR($D1270="",$E1270=""),"",COUNTIFS($D$7:$D1270,$D1270,$E$7:$E1270,$E1270))</f>
        <v/>
      </c>
      <c r="P1270" s="16"/>
      <c r="Q1270" s="19"/>
      <c r="R1270" s="10"/>
      <c r="S1270" s="16"/>
      <c r="T1270" s="0" t="str">
        <f aca="false">IF(OR($D1270="",单元查询!$B$3=""),"",IF($D1270&lt;&gt;单元查询!$B$3,"",IF(OR(单元查询!$D$3="",$E1270&amp;""=单元查询!$D$3&amp;""),IF(ISNUMBER($B1270),$B1270*10000,0)+ROW(),"")))</f>
        <v/>
      </c>
      <c r="U1270" s="0" t="str">
        <f aca="false">IF(OR($B1270="",$L1270="已完成"),"",IF(ISNUMBER($B1270),IF(设置!$B$6&lt;$B1270,"",(设置!$B$6-$B1270)*100000+ROW()),""))</f>
        <v/>
      </c>
      <c r="V1270" s="0" t="str">
        <f aca="false">IF(ISNUMBER($O1270),IF($O1270&gt;=2,IF(COUNTIFS($D1270:$D$2006,$D1270,$E1270:$E$2006,$E1270)=1,ROW(),""),""),"")</f>
        <v/>
      </c>
    </row>
    <row r="1271" customFormat="false" ht="15" hidden="false" customHeight="true" outlineLevel="0" collapsed="false">
      <c r="A1271" s="13" t="str">
        <f aca="false">IF(AND($B1271="",$D1271="",$E1271="",$F1271=""),"",IF(OR($B1271="",$D1271="",$E1271=""),"待补",IF($D1271="公共区域","公",IF($D1271="商铺","S",SUBSTITUTE($D1271,"栋","")))&amp;"-"&amp;$E1271&amp;"-"&amp;TEXT(MONTH($B1271),"00")&amp;TEXT(DAY($B1271),"00")&amp;IF(ISNUMBER($O1271),IF($O1271&gt;1,"-"&amp;TEXT($O1271,"00"),""),"")))</f>
        <v/>
      </c>
      <c r="B1271" s="14"/>
      <c r="C1271" s="10"/>
      <c r="D1271" s="10"/>
      <c r="E1271" s="10"/>
      <c r="F1271" s="16"/>
      <c r="G1271" s="10"/>
      <c r="H1271" s="10"/>
      <c r="I1271" s="10"/>
      <c r="J1271" s="10"/>
      <c r="K1271" s="10"/>
      <c r="L1271" s="10"/>
      <c r="M1271" s="14"/>
      <c r="N1271" s="17" t="str">
        <f aca="false">IF($B1271="","",IF($L1271="已完成",IF($M1271="","",$M1271-$B1271),IF(设置!$B$6&lt;$B1271,"",IF((设置!$B$6-$B1271)&gt;=设置!$B$5,"超期"&amp;(设置!$B$6-$B1271)&amp;"天","已等"&amp;(设置!$B$6-$B1271)&amp;"天"))))</f>
        <v/>
      </c>
      <c r="O1271" s="18" t="str">
        <f aca="false">IF(OR($D1271="",$E1271=""),"",COUNTIFS($D$7:$D1271,$D1271,$E$7:$E1271,$E1271))</f>
        <v/>
      </c>
      <c r="P1271" s="16"/>
      <c r="Q1271" s="19"/>
      <c r="R1271" s="10"/>
      <c r="S1271" s="16"/>
      <c r="T1271" s="0" t="str">
        <f aca="false">IF(OR($D1271="",单元查询!$B$3=""),"",IF($D1271&lt;&gt;单元查询!$B$3,"",IF(OR(单元查询!$D$3="",$E1271&amp;""=单元查询!$D$3&amp;""),IF(ISNUMBER($B1271),$B1271*10000,0)+ROW(),"")))</f>
        <v/>
      </c>
      <c r="U1271" s="0" t="str">
        <f aca="false">IF(OR($B1271="",$L1271="已完成"),"",IF(ISNUMBER($B1271),IF(设置!$B$6&lt;$B1271,"",(设置!$B$6-$B1271)*100000+ROW()),""))</f>
        <v/>
      </c>
      <c r="V1271" s="0" t="str">
        <f aca="false">IF(ISNUMBER($O1271),IF($O1271&gt;=2,IF(COUNTIFS($D1271:$D$2006,$D1271,$E1271:$E$2006,$E1271)=1,ROW(),""),""),"")</f>
        <v/>
      </c>
    </row>
    <row r="1272" customFormat="false" ht="15" hidden="false" customHeight="true" outlineLevel="0" collapsed="false">
      <c r="A1272" s="13" t="str">
        <f aca="false">IF(AND($B1272="",$D1272="",$E1272="",$F1272=""),"",IF(OR($B1272="",$D1272="",$E1272=""),"待补",IF($D1272="公共区域","公",IF($D1272="商铺","S",SUBSTITUTE($D1272,"栋","")))&amp;"-"&amp;$E1272&amp;"-"&amp;TEXT(MONTH($B1272),"00")&amp;TEXT(DAY($B1272),"00")&amp;IF(ISNUMBER($O1272),IF($O1272&gt;1,"-"&amp;TEXT($O1272,"00"),""),"")))</f>
        <v/>
      </c>
      <c r="B1272" s="14"/>
      <c r="C1272" s="10"/>
      <c r="D1272" s="10"/>
      <c r="E1272" s="10"/>
      <c r="F1272" s="16"/>
      <c r="G1272" s="10"/>
      <c r="H1272" s="10"/>
      <c r="I1272" s="10"/>
      <c r="J1272" s="10"/>
      <c r="K1272" s="10"/>
      <c r="L1272" s="10"/>
      <c r="M1272" s="14"/>
      <c r="N1272" s="17" t="str">
        <f aca="false">IF($B1272="","",IF($L1272="已完成",IF($M1272="","",$M1272-$B1272),IF(设置!$B$6&lt;$B1272,"",IF((设置!$B$6-$B1272)&gt;=设置!$B$5,"超期"&amp;(设置!$B$6-$B1272)&amp;"天","已等"&amp;(设置!$B$6-$B1272)&amp;"天"))))</f>
        <v/>
      </c>
      <c r="O1272" s="18" t="str">
        <f aca="false">IF(OR($D1272="",$E1272=""),"",COUNTIFS($D$7:$D1272,$D1272,$E$7:$E1272,$E1272))</f>
        <v/>
      </c>
      <c r="P1272" s="16"/>
      <c r="Q1272" s="19"/>
      <c r="R1272" s="10"/>
      <c r="S1272" s="16"/>
      <c r="T1272" s="0" t="str">
        <f aca="false">IF(OR($D1272="",单元查询!$B$3=""),"",IF($D1272&lt;&gt;单元查询!$B$3,"",IF(OR(单元查询!$D$3="",$E1272&amp;""=单元查询!$D$3&amp;""),IF(ISNUMBER($B1272),$B1272*10000,0)+ROW(),"")))</f>
        <v/>
      </c>
      <c r="U1272" s="0" t="str">
        <f aca="false">IF(OR($B1272="",$L1272="已完成"),"",IF(ISNUMBER($B1272),IF(设置!$B$6&lt;$B1272,"",(设置!$B$6-$B1272)*100000+ROW()),""))</f>
        <v/>
      </c>
      <c r="V1272" s="0" t="str">
        <f aca="false">IF(ISNUMBER($O1272),IF($O1272&gt;=2,IF(COUNTIFS($D1272:$D$2006,$D1272,$E1272:$E$2006,$E1272)=1,ROW(),""),""),"")</f>
        <v/>
      </c>
    </row>
    <row r="1273" customFormat="false" ht="15" hidden="false" customHeight="true" outlineLevel="0" collapsed="false">
      <c r="A1273" s="13" t="str">
        <f aca="false">IF(AND($B1273="",$D1273="",$E1273="",$F1273=""),"",IF(OR($B1273="",$D1273="",$E1273=""),"待补",IF($D1273="公共区域","公",IF($D1273="商铺","S",SUBSTITUTE($D1273,"栋","")))&amp;"-"&amp;$E1273&amp;"-"&amp;TEXT(MONTH($B1273),"00")&amp;TEXT(DAY($B1273),"00")&amp;IF(ISNUMBER($O1273),IF($O1273&gt;1,"-"&amp;TEXT($O1273,"00"),""),"")))</f>
        <v/>
      </c>
      <c r="B1273" s="14"/>
      <c r="C1273" s="10"/>
      <c r="D1273" s="10"/>
      <c r="E1273" s="10"/>
      <c r="F1273" s="16"/>
      <c r="G1273" s="10"/>
      <c r="H1273" s="10"/>
      <c r="I1273" s="10"/>
      <c r="J1273" s="10"/>
      <c r="K1273" s="10"/>
      <c r="L1273" s="10"/>
      <c r="M1273" s="14"/>
      <c r="N1273" s="17" t="str">
        <f aca="false">IF($B1273="","",IF($L1273="已完成",IF($M1273="","",$M1273-$B1273),IF(设置!$B$6&lt;$B1273,"",IF((设置!$B$6-$B1273)&gt;=设置!$B$5,"超期"&amp;(设置!$B$6-$B1273)&amp;"天","已等"&amp;(设置!$B$6-$B1273)&amp;"天"))))</f>
        <v/>
      </c>
      <c r="O1273" s="18" t="str">
        <f aca="false">IF(OR($D1273="",$E1273=""),"",COUNTIFS($D$7:$D1273,$D1273,$E$7:$E1273,$E1273))</f>
        <v/>
      </c>
      <c r="P1273" s="16"/>
      <c r="Q1273" s="19"/>
      <c r="R1273" s="10"/>
      <c r="S1273" s="16"/>
      <c r="T1273" s="0" t="str">
        <f aca="false">IF(OR($D1273="",单元查询!$B$3=""),"",IF($D1273&lt;&gt;单元查询!$B$3,"",IF(OR(单元查询!$D$3="",$E1273&amp;""=单元查询!$D$3&amp;""),IF(ISNUMBER($B1273),$B1273*10000,0)+ROW(),"")))</f>
        <v/>
      </c>
      <c r="U1273" s="0" t="str">
        <f aca="false">IF(OR($B1273="",$L1273="已完成"),"",IF(ISNUMBER($B1273),IF(设置!$B$6&lt;$B1273,"",(设置!$B$6-$B1273)*100000+ROW()),""))</f>
        <v/>
      </c>
      <c r="V1273" s="0" t="str">
        <f aca="false">IF(ISNUMBER($O1273),IF($O1273&gt;=2,IF(COUNTIFS($D1273:$D$2006,$D1273,$E1273:$E$2006,$E1273)=1,ROW(),""),""),"")</f>
        <v/>
      </c>
    </row>
    <row r="1274" customFormat="false" ht="15" hidden="false" customHeight="true" outlineLevel="0" collapsed="false">
      <c r="A1274" s="13" t="str">
        <f aca="false">IF(AND($B1274="",$D1274="",$E1274="",$F1274=""),"",IF(OR($B1274="",$D1274="",$E1274=""),"待补",IF($D1274="公共区域","公",IF($D1274="商铺","S",SUBSTITUTE($D1274,"栋","")))&amp;"-"&amp;$E1274&amp;"-"&amp;TEXT(MONTH($B1274),"00")&amp;TEXT(DAY($B1274),"00")&amp;IF(ISNUMBER($O1274),IF($O1274&gt;1,"-"&amp;TEXT($O1274,"00"),""),"")))</f>
        <v/>
      </c>
      <c r="B1274" s="14"/>
      <c r="C1274" s="10"/>
      <c r="D1274" s="10"/>
      <c r="E1274" s="10"/>
      <c r="F1274" s="16"/>
      <c r="G1274" s="10"/>
      <c r="H1274" s="10"/>
      <c r="I1274" s="10"/>
      <c r="J1274" s="10"/>
      <c r="K1274" s="10"/>
      <c r="L1274" s="10"/>
      <c r="M1274" s="14"/>
      <c r="N1274" s="17" t="str">
        <f aca="false">IF($B1274="","",IF($L1274="已完成",IF($M1274="","",$M1274-$B1274),IF(设置!$B$6&lt;$B1274,"",IF((设置!$B$6-$B1274)&gt;=设置!$B$5,"超期"&amp;(设置!$B$6-$B1274)&amp;"天","已等"&amp;(设置!$B$6-$B1274)&amp;"天"))))</f>
        <v/>
      </c>
      <c r="O1274" s="18" t="str">
        <f aca="false">IF(OR($D1274="",$E1274=""),"",COUNTIFS($D$7:$D1274,$D1274,$E$7:$E1274,$E1274))</f>
        <v/>
      </c>
      <c r="P1274" s="16"/>
      <c r="Q1274" s="19"/>
      <c r="R1274" s="10"/>
      <c r="S1274" s="16"/>
      <c r="T1274" s="0" t="str">
        <f aca="false">IF(OR($D1274="",单元查询!$B$3=""),"",IF($D1274&lt;&gt;单元查询!$B$3,"",IF(OR(单元查询!$D$3="",$E1274&amp;""=单元查询!$D$3&amp;""),IF(ISNUMBER($B1274),$B1274*10000,0)+ROW(),"")))</f>
        <v/>
      </c>
      <c r="U1274" s="0" t="str">
        <f aca="false">IF(OR($B1274="",$L1274="已完成"),"",IF(ISNUMBER($B1274),IF(设置!$B$6&lt;$B1274,"",(设置!$B$6-$B1274)*100000+ROW()),""))</f>
        <v/>
      </c>
      <c r="V1274" s="0" t="str">
        <f aca="false">IF(ISNUMBER($O1274),IF($O1274&gt;=2,IF(COUNTIFS($D1274:$D$2006,$D1274,$E1274:$E$2006,$E1274)=1,ROW(),""),""),"")</f>
        <v/>
      </c>
    </row>
    <row r="1275" customFormat="false" ht="15" hidden="false" customHeight="true" outlineLevel="0" collapsed="false">
      <c r="A1275" s="13" t="str">
        <f aca="false">IF(AND($B1275="",$D1275="",$E1275="",$F1275=""),"",IF(OR($B1275="",$D1275="",$E1275=""),"待补",IF($D1275="公共区域","公",IF($D1275="商铺","S",SUBSTITUTE($D1275,"栋","")))&amp;"-"&amp;$E1275&amp;"-"&amp;TEXT(MONTH($B1275),"00")&amp;TEXT(DAY($B1275),"00")&amp;IF(ISNUMBER($O1275),IF($O1275&gt;1,"-"&amp;TEXT($O1275,"00"),""),"")))</f>
        <v/>
      </c>
      <c r="B1275" s="14"/>
      <c r="C1275" s="10"/>
      <c r="D1275" s="10"/>
      <c r="E1275" s="10"/>
      <c r="F1275" s="16"/>
      <c r="G1275" s="10"/>
      <c r="H1275" s="10"/>
      <c r="I1275" s="10"/>
      <c r="J1275" s="10"/>
      <c r="K1275" s="10"/>
      <c r="L1275" s="10"/>
      <c r="M1275" s="14"/>
      <c r="N1275" s="17" t="str">
        <f aca="false">IF($B1275="","",IF($L1275="已完成",IF($M1275="","",$M1275-$B1275),IF(设置!$B$6&lt;$B1275,"",IF((设置!$B$6-$B1275)&gt;=设置!$B$5,"超期"&amp;(设置!$B$6-$B1275)&amp;"天","已等"&amp;(设置!$B$6-$B1275)&amp;"天"))))</f>
        <v/>
      </c>
      <c r="O1275" s="18" t="str">
        <f aca="false">IF(OR($D1275="",$E1275=""),"",COUNTIFS($D$7:$D1275,$D1275,$E$7:$E1275,$E1275))</f>
        <v/>
      </c>
      <c r="P1275" s="16"/>
      <c r="Q1275" s="19"/>
      <c r="R1275" s="10"/>
      <c r="S1275" s="16"/>
      <c r="T1275" s="0" t="str">
        <f aca="false">IF(OR($D1275="",单元查询!$B$3=""),"",IF($D1275&lt;&gt;单元查询!$B$3,"",IF(OR(单元查询!$D$3="",$E1275&amp;""=单元查询!$D$3&amp;""),IF(ISNUMBER($B1275),$B1275*10000,0)+ROW(),"")))</f>
        <v/>
      </c>
      <c r="U1275" s="0" t="str">
        <f aca="false">IF(OR($B1275="",$L1275="已完成"),"",IF(ISNUMBER($B1275),IF(设置!$B$6&lt;$B1275,"",(设置!$B$6-$B1275)*100000+ROW()),""))</f>
        <v/>
      </c>
      <c r="V1275" s="0" t="str">
        <f aca="false">IF(ISNUMBER($O1275),IF($O1275&gt;=2,IF(COUNTIFS($D1275:$D$2006,$D1275,$E1275:$E$2006,$E1275)=1,ROW(),""),""),"")</f>
        <v/>
      </c>
    </row>
    <row r="1276" customFormat="false" ht="15" hidden="false" customHeight="true" outlineLevel="0" collapsed="false">
      <c r="A1276" s="13" t="str">
        <f aca="false">IF(AND($B1276="",$D1276="",$E1276="",$F1276=""),"",IF(OR($B1276="",$D1276="",$E1276=""),"待补",IF($D1276="公共区域","公",IF($D1276="商铺","S",SUBSTITUTE($D1276,"栋","")))&amp;"-"&amp;$E1276&amp;"-"&amp;TEXT(MONTH($B1276),"00")&amp;TEXT(DAY($B1276),"00")&amp;IF(ISNUMBER($O1276),IF($O1276&gt;1,"-"&amp;TEXT($O1276,"00"),""),"")))</f>
        <v/>
      </c>
      <c r="B1276" s="14"/>
      <c r="C1276" s="10"/>
      <c r="D1276" s="10"/>
      <c r="E1276" s="10"/>
      <c r="F1276" s="16"/>
      <c r="G1276" s="10"/>
      <c r="H1276" s="10"/>
      <c r="I1276" s="10"/>
      <c r="J1276" s="10"/>
      <c r="K1276" s="10"/>
      <c r="L1276" s="10"/>
      <c r="M1276" s="14"/>
      <c r="N1276" s="17" t="str">
        <f aca="false">IF($B1276="","",IF($L1276="已完成",IF($M1276="","",$M1276-$B1276),IF(设置!$B$6&lt;$B1276,"",IF((设置!$B$6-$B1276)&gt;=设置!$B$5,"超期"&amp;(设置!$B$6-$B1276)&amp;"天","已等"&amp;(设置!$B$6-$B1276)&amp;"天"))))</f>
        <v/>
      </c>
      <c r="O1276" s="18" t="str">
        <f aca="false">IF(OR($D1276="",$E1276=""),"",COUNTIFS($D$7:$D1276,$D1276,$E$7:$E1276,$E1276))</f>
        <v/>
      </c>
      <c r="P1276" s="16"/>
      <c r="Q1276" s="19"/>
      <c r="R1276" s="10"/>
      <c r="S1276" s="16"/>
      <c r="T1276" s="0" t="str">
        <f aca="false">IF(OR($D1276="",单元查询!$B$3=""),"",IF($D1276&lt;&gt;单元查询!$B$3,"",IF(OR(单元查询!$D$3="",$E1276&amp;""=单元查询!$D$3&amp;""),IF(ISNUMBER($B1276),$B1276*10000,0)+ROW(),"")))</f>
        <v/>
      </c>
      <c r="U1276" s="0" t="str">
        <f aca="false">IF(OR($B1276="",$L1276="已完成"),"",IF(ISNUMBER($B1276),IF(设置!$B$6&lt;$B1276,"",(设置!$B$6-$B1276)*100000+ROW()),""))</f>
        <v/>
      </c>
      <c r="V1276" s="0" t="str">
        <f aca="false">IF(ISNUMBER($O1276),IF($O1276&gt;=2,IF(COUNTIFS($D1276:$D$2006,$D1276,$E1276:$E$2006,$E1276)=1,ROW(),""),""),"")</f>
        <v/>
      </c>
    </row>
    <row r="1277" customFormat="false" ht="15" hidden="false" customHeight="true" outlineLevel="0" collapsed="false">
      <c r="A1277" s="13" t="str">
        <f aca="false">IF(AND($B1277="",$D1277="",$E1277="",$F1277=""),"",IF(OR($B1277="",$D1277="",$E1277=""),"待补",IF($D1277="公共区域","公",IF($D1277="商铺","S",SUBSTITUTE($D1277,"栋","")))&amp;"-"&amp;$E1277&amp;"-"&amp;TEXT(MONTH($B1277),"00")&amp;TEXT(DAY($B1277),"00")&amp;IF(ISNUMBER($O1277),IF($O1277&gt;1,"-"&amp;TEXT($O1277,"00"),""),"")))</f>
        <v/>
      </c>
      <c r="B1277" s="14"/>
      <c r="C1277" s="10"/>
      <c r="D1277" s="10"/>
      <c r="E1277" s="10"/>
      <c r="F1277" s="16"/>
      <c r="G1277" s="10"/>
      <c r="H1277" s="10"/>
      <c r="I1277" s="10"/>
      <c r="J1277" s="10"/>
      <c r="K1277" s="10"/>
      <c r="L1277" s="10"/>
      <c r="M1277" s="14"/>
      <c r="N1277" s="17" t="str">
        <f aca="false">IF($B1277="","",IF($L1277="已完成",IF($M1277="","",$M1277-$B1277),IF(设置!$B$6&lt;$B1277,"",IF((设置!$B$6-$B1277)&gt;=设置!$B$5,"超期"&amp;(设置!$B$6-$B1277)&amp;"天","已等"&amp;(设置!$B$6-$B1277)&amp;"天"))))</f>
        <v/>
      </c>
      <c r="O1277" s="18" t="str">
        <f aca="false">IF(OR($D1277="",$E1277=""),"",COUNTIFS($D$7:$D1277,$D1277,$E$7:$E1277,$E1277))</f>
        <v/>
      </c>
      <c r="P1277" s="16"/>
      <c r="Q1277" s="19"/>
      <c r="R1277" s="10"/>
      <c r="S1277" s="16"/>
      <c r="T1277" s="0" t="str">
        <f aca="false">IF(OR($D1277="",单元查询!$B$3=""),"",IF($D1277&lt;&gt;单元查询!$B$3,"",IF(OR(单元查询!$D$3="",$E1277&amp;""=单元查询!$D$3&amp;""),IF(ISNUMBER($B1277),$B1277*10000,0)+ROW(),"")))</f>
        <v/>
      </c>
      <c r="U1277" s="0" t="str">
        <f aca="false">IF(OR($B1277="",$L1277="已完成"),"",IF(ISNUMBER($B1277),IF(设置!$B$6&lt;$B1277,"",(设置!$B$6-$B1277)*100000+ROW()),""))</f>
        <v/>
      </c>
      <c r="V1277" s="0" t="str">
        <f aca="false">IF(ISNUMBER($O1277),IF($O1277&gt;=2,IF(COUNTIFS($D1277:$D$2006,$D1277,$E1277:$E$2006,$E1277)=1,ROW(),""),""),"")</f>
        <v/>
      </c>
    </row>
    <row r="1278" customFormat="false" ht="15" hidden="false" customHeight="true" outlineLevel="0" collapsed="false">
      <c r="A1278" s="13" t="str">
        <f aca="false">IF(AND($B1278="",$D1278="",$E1278="",$F1278=""),"",IF(OR($B1278="",$D1278="",$E1278=""),"待补",IF($D1278="公共区域","公",IF($D1278="商铺","S",SUBSTITUTE($D1278,"栋","")))&amp;"-"&amp;$E1278&amp;"-"&amp;TEXT(MONTH($B1278),"00")&amp;TEXT(DAY($B1278),"00")&amp;IF(ISNUMBER($O1278),IF($O1278&gt;1,"-"&amp;TEXT($O1278,"00"),""),"")))</f>
        <v/>
      </c>
      <c r="B1278" s="14"/>
      <c r="C1278" s="10"/>
      <c r="D1278" s="10"/>
      <c r="E1278" s="10"/>
      <c r="F1278" s="16"/>
      <c r="G1278" s="10"/>
      <c r="H1278" s="10"/>
      <c r="I1278" s="10"/>
      <c r="J1278" s="10"/>
      <c r="K1278" s="10"/>
      <c r="L1278" s="10"/>
      <c r="M1278" s="14"/>
      <c r="N1278" s="17" t="str">
        <f aca="false">IF($B1278="","",IF($L1278="已完成",IF($M1278="","",$M1278-$B1278),IF(设置!$B$6&lt;$B1278,"",IF((设置!$B$6-$B1278)&gt;=设置!$B$5,"超期"&amp;(设置!$B$6-$B1278)&amp;"天","已等"&amp;(设置!$B$6-$B1278)&amp;"天"))))</f>
        <v/>
      </c>
      <c r="O1278" s="18" t="str">
        <f aca="false">IF(OR($D1278="",$E1278=""),"",COUNTIFS($D$7:$D1278,$D1278,$E$7:$E1278,$E1278))</f>
        <v/>
      </c>
      <c r="P1278" s="16"/>
      <c r="Q1278" s="19"/>
      <c r="R1278" s="10"/>
      <c r="S1278" s="16"/>
      <c r="T1278" s="0" t="str">
        <f aca="false">IF(OR($D1278="",单元查询!$B$3=""),"",IF($D1278&lt;&gt;单元查询!$B$3,"",IF(OR(单元查询!$D$3="",$E1278&amp;""=单元查询!$D$3&amp;""),IF(ISNUMBER($B1278),$B1278*10000,0)+ROW(),"")))</f>
        <v/>
      </c>
      <c r="U1278" s="0" t="str">
        <f aca="false">IF(OR($B1278="",$L1278="已完成"),"",IF(ISNUMBER($B1278),IF(设置!$B$6&lt;$B1278,"",(设置!$B$6-$B1278)*100000+ROW()),""))</f>
        <v/>
      </c>
      <c r="V1278" s="0" t="str">
        <f aca="false">IF(ISNUMBER($O1278),IF($O1278&gt;=2,IF(COUNTIFS($D1278:$D$2006,$D1278,$E1278:$E$2006,$E1278)=1,ROW(),""),""),"")</f>
        <v/>
      </c>
    </row>
    <row r="1279" customFormat="false" ht="15" hidden="false" customHeight="true" outlineLevel="0" collapsed="false">
      <c r="A1279" s="13" t="str">
        <f aca="false">IF(AND($B1279="",$D1279="",$E1279="",$F1279=""),"",IF(OR($B1279="",$D1279="",$E1279=""),"待补",IF($D1279="公共区域","公",IF($D1279="商铺","S",SUBSTITUTE($D1279,"栋","")))&amp;"-"&amp;$E1279&amp;"-"&amp;TEXT(MONTH($B1279),"00")&amp;TEXT(DAY($B1279),"00")&amp;IF(ISNUMBER($O1279),IF($O1279&gt;1,"-"&amp;TEXT($O1279,"00"),""),"")))</f>
        <v/>
      </c>
      <c r="B1279" s="14"/>
      <c r="C1279" s="10"/>
      <c r="D1279" s="10"/>
      <c r="E1279" s="10"/>
      <c r="F1279" s="16"/>
      <c r="G1279" s="10"/>
      <c r="H1279" s="10"/>
      <c r="I1279" s="10"/>
      <c r="J1279" s="10"/>
      <c r="K1279" s="10"/>
      <c r="L1279" s="10"/>
      <c r="M1279" s="14"/>
      <c r="N1279" s="17" t="str">
        <f aca="false">IF($B1279="","",IF($L1279="已完成",IF($M1279="","",$M1279-$B1279),IF(设置!$B$6&lt;$B1279,"",IF((设置!$B$6-$B1279)&gt;=设置!$B$5,"超期"&amp;(设置!$B$6-$B1279)&amp;"天","已等"&amp;(设置!$B$6-$B1279)&amp;"天"))))</f>
        <v/>
      </c>
      <c r="O1279" s="18" t="str">
        <f aca="false">IF(OR($D1279="",$E1279=""),"",COUNTIFS($D$7:$D1279,$D1279,$E$7:$E1279,$E1279))</f>
        <v/>
      </c>
      <c r="P1279" s="16"/>
      <c r="Q1279" s="19"/>
      <c r="R1279" s="10"/>
      <c r="S1279" s="16"/>
      <c r="T1279" s="0" t="str">
        <f aca="false">IF(OR($D1279="",单元查询!$B$3=""),"",IF($D1279&lt;&gt;单元查询!$B$3,"",IF(OR(单元查询!$D$3="",$E1279&amp;""=单元查询!$D$3&amp;""),IF(ISNUMBER($B1279),$B1279*10000,0)+ROW(),"")))</f>
        <v/>
      </c>
      <c r="U1279" s="0" t="str">
        <f aca="false">IF(OR($B1279="",$L1279="已完成"),"",IF(ISNUMBER($B1279),IF(设置!$B$6&lt;$B1279,"",(设置!$B$6-$B1279)*100000+ROW()),""))</f>
        <v/>
      </c>
      <c r="V1279" s="0" t="str">
        <f aca="false">IF(ISNUMBER($O1279),IF($O1279&gt;=2,IF(COUNTIFS($D1279:$D$2006,$D1279,$E1279:$E$2006,$E1279)=1,ROW(),""),""),"")</f>
        <v/>
      </c>
    </row>
    <row r="1280" customFormat="false" ht="15" hidden="false" customHeight="true" outlineLevel="0" collapsed="false">
      <c r="A1280" s="13" t="str">
        <f aca="false">IF(AND($B1280="",$D1280="",$E1280="",$F1280=""),"",IF(OR($B1280="",$D1280="",$E1280=""),"待补",IF($D1280="公共区域","公",IF($D1280="商铺","S",SUBSTITUTE($D1280,"栋","")))&amp;"-"&amp;$E1280&amp;"-"&amp;TEXT(MONTH($B1280),"00")&amp;TEXT(DAY($B1280),"00")&amp;IF(ISNUMBER($O1280),IF($O1280&gt;1,"-"&amp;TEXT($O1280,"00"),""),"")))</f>
        <v/>
      </c>
      <c r="B1280" s="14"/>
      <c r="C1280" s="10"/>
      <c r="D1280" s="10"/>
      <c r="E1280" s="10"/>
      <c r="F1280" s="16"/>
      <c r="G1280" s="10"/>
      <c r="H1280" s="10"/>
      <c r="I1280" s="10"/>
      <c r="J1280" s="10"/>
      <c r="K1280" s="10"/>
      <c r="L1280" s="10"/>
      <c r="M1280" s="14"/>
      <c r="N1280" s="17" t="str">
        <f aca="false">IF($B1280="","",IF($L1280="已完成",IF($M1280="","",$M1280-$B1280),IF(设置!$B$6&lt;$B1280,"",IF((设置!$B$6-$B1280)&gt;=设置!$B$5,"超期"&amp;(设置!$B$6-$B1280)&amp;"天","已等"&amp;(设置!$B$6-$B1280)&amp;"天"))))</f>
        <v/>
      </c>
      <c r="O1280" s="18" t="str">
        <f aca="false">IF(OR($D1280="",$E1280=""),"",COUNTIFS($D$7:$D1280,$D1280,$E$7:$E1280,$E1280))</f>
        <v/>
      </c>
      <c r="P1280" s="16"/>
      <c r="Q1280" s="19"/>
      <c r="R1280" s="10"/>
      <c r="S1280" s="16"/>
      <c r="T1280" s="0" t="str">
        <f aca="false">IF(OR($D1280="",单元查询!$B$3=""),"",IF($D1280&lt;&gt;单元查询!$B$3,"",IF(OR(单元查询!$D$3="",$E1280&amp;""=单元查询!$D$3&amp;""),IF(ISNUMBER($B1280),$B1280*10000,0)+ROW(),"")))</f>
        <v/>
      </c>
      <c r="U1280" s="0" t="str">
        <f aca="false">IF(OR($B1280="",$L1280="已完成"),"",IF(ISNUMBER($B1280),IF(设置!$B$6&lt;$B1280,"",(设置!$B$6-$B1280)*100000+ROW()),""))</f>
        <v/>
      </c>
      <c r="V1280" s="0" t="str">
        <f aca="false">IF(ISNUMBER($O1280),IF($O1280&gt;=2,IF(COUNTIFS($D1280:$D$2006,$D1280,$E1280:$E$2006,$E1280)=1,ROW(),""),""),"")</f>
        <v/>
      </c>
    </row>
    <row r="1281" customFormat="false" ht="15" hidden="false" customHeight="true" outlineLevel="0" collapsed="false">
      <c r="A1281" s="13" t="str">
        <f aca="false">IF(AND($B1281="",$D1281="",$E1281="",$F1281=""),"",IF(OR($B1281="",$D1281="",$E1281=""),"待补",IF($D1281="公共区域","公",IF($D1281="商铺","S",SUBSTITUTE($D1281,"栋","")))&amp;"-"&amp;$E1281&amp;"-"&amp;TEXT(MONTH($B1281),"00")&amp;TEXT(DAY($B1281),"00")&amp;IF(ISNUMBER($O1281),IF($O1281&gt;1,"-"&amp;TEXT($O1281,"00"),""),"")))</f>
        <v/>
      </c>
      <c r="B1281" s="14"/>
      <c r="C1281" s="10"/>
      <c r="D1281" s="10"/>
      <c r="E1281" s="10"/>
      <c r="F1281" s="16"/>
      <c r="G1281" s="10"/>
      <c r="H1281" s="10"/>
      <c r="I1281" s="10"/>
      <c r="J1281" s="10"/>
      <c r="K1281" s="10"/>
      <c r="L1281" s="10"/>
      <c r="M1281" s="14"/>
      <c r="N1281" s="17" t="str">
        <f aca="false">IF($B1281="","",IF($L1281="已完成",IF($M1281="","",$M1281-$B1281),IF(设置!$B$6&lt;$B1281,"",IF((设置!$B$6-$B1281)&gt;=设置!$B$5,"超期"&amp;(设置!$B$6-$B1281)&amp;"天","已等"&amp;(设置!$B$6-$B1281)&amp;"天"))))</f>
        <v/>
      </c>
      <c r="O1281" s="18" t="str">
        <f aca="false">IF(OR($D1281="",$E1281=""),"",COUNTIFS($D$7:$D1281,$D1281,$E$7:$E1281,$E1281))</f>
        <v/>
      </c>
      <c r="P1281" s="16"/>
      <c r="Q1281" s="19"/>
      <c r="R1281" s="10"/>
      <c r="S1281" s="16"/>
      <c r="T1281" s="0" t="str">
        <f aca="false">IF(OR($D1281="",单元查询!$B$3=""),"",IF($D1281&lt;&gt;单元查询!$B$3,"",IF(OR(单元查询!$D$3="",$E1281&amp;""=单元查询!$D$3&amp;""),IF(ISNUMBER($B1281),$B1281*10000,0)+ROW(),"")))</f>
        <v/>
      </c>
      <c r="U1281" s="0" t="str">
        <f aca="false">IF(OR($B1281="",$L1281="已完成"),"",IF(ISNUMBER($B1281),IF(设置!$B$6&lt;$B1281,"",(设置!$B$6-$B1281)*100000+ROW()),""))</f>
        <v/>
      </c>
      <c r="V1281" s="0" t="str">
        <f aca="false">IF(ISNUMBER($O1281),IF($O1281&gt;=2,IF(COUNTIFS($D1281:$D$2006,$D1281,$E1281:$E$2006,$E1281)=1,ROW(),""),""),"")</f>
        <v/>
      </c>
    </row>
    <row r="1282" customFormat="false" ht="15" hidden="false" customHeight="true" outlineLevel="0" collapsed="false">
      <c r="A1282" s="13" t="str">
        <f aca="false">IF(AND($B1282="",$D1282="",$E1282="",$F1282=""),"",IF(OR($B1282="",$D1282="",$E1282=""),"待补",IF($D1282="公共区域","公",IF($D1282="商铺","S",SUBSTITUTE($D1282,"栋","")))&amp;"-"&amp;$E1282&amp;"-"&amp;TEXT(MONTH($B1282),"00")&amp;TEXT(DAY($B1282),"00")&amp;IF(ISNUMBER($O1282),IF($O1282&gt;1,"-"&amp;TEXT($O1282,"00"),""),"")))</f>
        <v/>
      </c>
      <c r="B1282" s="14"/>
      <c r="C1282" s="10"/>
      <c r="D1282" s="10"/>
      <c r="E1282" s="10"/>
      <c r="F1282" s="16"/>
      <c r="G1282" s="10"/>
      <c r="H1282" s="10"/>
      <c r="I1282" s="10"/>
      <c r="J1282" s="10"/>
      <c r="K1282" s="10"/>
      <c r="L1282" s="10"/>
      <c r="M1282" s="14"/>
      <c r="N1282" s="17" t="str">
        <f aca="false">IF($B1282="","",IF($L1282="已完成",IF($M1282="","",$M1282-$B1282),IF(设置!$B$6&lt;$B1282,"",IF((设置!$B$6-$B1282)&gt;=设置!$B$5,"超期"&amp;(设置!$B$6-$B1282)&amp;"天","已等"&amp;(设置!$B$6-$B1282)&amp;"天"))))</f>
        <v/>
      </c>
      <c r="O1282" s="18" t="str">
        <f aca="false">IF(OR($D1282="",$E1282=""),"",COUNTIFS($D$7:$D1282,$D1282,$E$7:$E1282,$E1282))</f>
        <v/>
      </c>
      <c r="P1282" s="16"/>
      <c r="Q1282" s="19"/>
      <c r="R1282" s="10"/>
      <c r="S1282" s="16"/>
      <c r="T1282" s="0" t="str">
        <f aca="false">IF(OR($D1282="",单元查询!$B$3=""),"",IF($D1282&lt;&gt;单元查询!$B$3,"",IF(OR(单元查询!$D$3="",$E1282&amp;""=单元查询!$D$3&amp;""),IF(ISNUMBER($B1282),$B1282*10000,0)+ROW(),"")))</f>
        <v/>
      </c>
      <c r="U1282" s="0" t="str">
        <f aca="false">IF(OR($B1282="",$L1282="已完成"),"",IF(ISNUMBER($B1282),IF(设置!$B$6&lt;$B1282,"",(设置!$B$6-$B1282)*100000+ROW()),""))</f>
        <v/>
      </c>
      <c r="V1282" s="0" t="str">
        <f aca="false">IF(ISNUMBER($O1282),IF($O1282&gt;=2,IF(COUNTIFS($D1282:$D$2006,$D1282,$E1282:$E$2006,$E1282)=1,ROW(),""),""),"")</f>
        <v/>
      </c>
    </row>
    <row r="1283" customFormat="false" ht="15" hidden="false" customHeight="true" outlineLevel="0" collapsed="false">
      <c r="A1283" s="13" t="str">
        <f aca="false">IF(AND($B1283="",$D1283="",$E1283="",$F1283=""),"",IF(OR($B1283="",$D1283="",$E1283=""),"待补",IF($D1283="公共区域","公",IF($D1283="商铺","S",SUBSTITUTE($D1283,"栋","")))&amp;"-"&amp;$E1283&amp;"-"&amp;TEXT(MONTH($B1283),"00")&amp;TEXT(DAY($B1283),"00")&amp;IF(ISNUMBER($O1283),IF($O1283&gt;1,"-"&amp;TEXT($O1283,"00"),""),"")))</f>
        <v/>
      </c>
      <c r="B1283" s="14"/>
      <c r="C1283" s="10"/>
      <c r="D1283" s="10"/>
      <c r="E1283" s="10"/>
      <c r="F1283" s="16"/>
      <c r="G1283" s="10"/>
      <c r="H1283" s="10"/>
      <c r="I1283" s="10"/>
      <c r="J1283" s="10"/>
      <c r="K1283" s="10"/>
      <c r="L1283" s="10"/>
      <c r="M1283" s="14"/>
      <c r="N1283" s="17" t="str">
        <f aca="false">IF($B1283="","",IF($L1283="已完成",IF($M1283="","",$M1283-$B1283),IF(设置!$B$6&lt;$B1283,"",IF((设置!$B$6-$B1283)&gt;=设置!$B$5,"超期"&amp;(设置!$B$6-$B1283)&amp;"天","已等"&amp;(设置!$B$6-$B1283)&amp;"天"))))</f>
        <v/>
      </c>
      <c r="O1283" s="18" t="str">
        <f aca="false">IF(OR($D1283="",$E1283=""),"",COUNTIFS($D$7:$D1283,$D1283,$E$7:$E1283,$E1283))</f>
        <v/>
      </c>
      <c r="P1283" s="16"/>
      <c r="Q1283" s="19"/>
      <c r="R1283" s="10"/>
      <c r="S1283" s="16"/>
      <c r="T1283" s="0" t="str">
        <f aca="false">IF(OR($D1283="",单元查询!$B$3=""),"",IF($D1283&lt;&gt;单元查询!$B$3,"",IF(OR(单元查询!$D$3="",$E1283&amp;""=单元查询!$D$3&amp;""),IF(ISNUMBER($B1283),$B1283*10000,0)+ROW(),"")))</f>
        <v/>
      </c>
      <c r="U1283" s="0" t="str">
        <f aca="false">IF(OR($B1283="",$L1283="已完成"),"",IF(ISNUMBER($B1283),IF(设置!$B$6&lt;$B1283,"",(设置!$B$6-$B1283)*100000+ROW()),""))</f>
        <v/>
      </c>
      <c r="V1283" s="0" t="str">
        <f aca="false">IF(ISNUMBER($O1283),IF($O1283&gt;=2,IF(COUNTIFS($D1283:$D$2006,$D1283,$E1283:$E$2006,$E1283)=1,ROW(),""),""),"")</f>
        <v/>
      </c>
    </row>
    <row r="1284" customFormat="false" ht="15" hidden="false" customHeight="true" outlineLevel="0" collapsed="false">
      <c r="A1284" s="13" t="str">
        <f aca="false">IF(AND($B1284="",$D1284="",$E1284="",$F1284=""),"",IF(OR($B1284="",$D1284="",$E1284=""),"待补",IF($D1284="公共区域","公",IF($D1284="商铺","S",SUBSTITUTE($D1284,"栋","")))&amp;"-"&amp;$E1284&amp;"-"&amp;TEXT(MONTH($B1284),"00")&amp;TEXT(DAY($B1284),"00")&amp;IF(ISNUMBER($O1284),IF($O1284&gt;1,"-"&amp;TEXT($O1284,"00"),""),"")))</f>
        <v/>
      </c>
      <c r="B1284" s="14"/>
      <c r="C1284" s="10"/>
      <c r="D1284" s="10"/>
      <c r="E1284" s="10"/>
      <c r="F1284" s="16"/>
      <c r="G1284" s="10"/>
      <c r="H1284" s="10"/>
      <c r="I1284" s="10"/>
      <c r="J1284" s="10"/>
      <c r="K1284" s="10"/>
      <c r="L1284" s="10"/>
      <c r="M1284" s="14"/>
      <c r="N1284" s="17" t="str">
        <f aca="false">IF($B1284="","",IF($L1284="已完成",IF($M1284="","",$M1284-$B1284),IF(设置!$B$6&lt;$B1284,"",IF((设置!$B$6-$B1284)&gt;=设置!$B$5,"超期"&amp;(设置!$B$6-$B1284)&amp;"天","已等"&amp;(设置!$B$6-$B1284)&amp;"天"))))</f>
        <v/>
      </c>
      <c r="O1284" s="18" t="str">
        <f aca="false">IF(OR($D1284="",$E1284=""),"",COUNTIFS($D$7:$D1284,$D1284,$E$7:$E1284,$E1284))</f>
        <v/>
      </c>
      <c r="P1284" s="16"/>
      <c r="Q1284" s="19"/>
      <c r="R1284" s="10"/>
      <c r="S1284" s="16"/>
      <c r="T1284" s="0" t="str">
        <f aca="false">IF(OR($D1284="",单元查询!$B$3=""),"",IF($D1284&lt;&gt;单元查询!$B$3,"",IF(OR(单元查询!$D$3="",$E1284&amp;""=单元查询!$D$3&amp;""),IF(ISNUMBER($B1284),$B1284*10000,0)+ROW(),"")))</f>
        <v/>
      </c>
      <c r="U1284" s="0" t="str">
        <f aca="false">IF(OR($B1284="",$L1284="已完成"),"",IF(ISNUMBER($B1284),IF(设置!$B$6&lt;$B1284,"",(设置!$B$6-$B1284)*100000+ROW()),""))</f>
        <v/>
      </c>
      <c r="V1284" s="0" t="str">
        <f aca="false">IF(ISNUMBER($O1284),IF($O1284&gt;=2,IF(COUNTIFS($D1284:$D$2006,$D1284,$E1284:$E$2006,$E1284)=1,ROW(),""),""),"")</f>
        <v/>
      </c>
    </row>
    <row r="1285" customFormat="false" ht="15" hidden="false" customHeight="true" outlineLevel="0" collapsed="false">
      <c r="A1285" s="13" t="str">
        <f aca="false">IF(AND($B1285="",$D1285="",$E1285="",$F1285=""),"",IF(OR($B1285="",$D1285="",$E1285=""),"待补",IF($D1285="公共区域","公",IF($D1285="商铺","S",SUBSTITUTE($D1285,"栋","")))&amp;"-"&amp;$E1285&amp;"-"&amp;TEXT(MONTH($B1285),"00")&amp;TEXT(DAY($B1285),"00")&amp;IF(ISNUMBER($O1285),IF($O1285&gt;1,"-"&amp;TEXT($O1285,"00"),""),"")))</f>
        <v/>
      </c>
      <c r="B1285" s="14"/>
      <c r="C1285" s="10"/>
      <c r="D1285" s="10"/>
      <c r="E1285" s="10"/>
      <c r="F1285" s="16"/>
      <c r="G1285" s="10"/>
      <c r="H1285" s="10"/>
      <c r="I1285" s="10"/>
      <c r="J1285" s="10"/>
      <c r="K1285" s="10"/>
      <c r="L1285" s="10"/>
      <c r="M1285" s="14"/>
      <c r="N1285" s="17" t="str">
        <f aca="false">IF($B1285="","",IF($L1285="已完成",IF($M1285="","",$M1285-$B1285),IF(设置!$B$6&lt;$B1285,"",IF((设置!$B$6-$B1285)&gt;=设置!$B$5,"超期"&amp;(设置!$B$6-$B1285)&amp;"天","已等"&amp;(设置!$B$6-$B1285)&amp;"天"))))</f>
        <v/>
      </c>
      <c r="O1285" s="18" t="str">
        <f aca="false">IF(OR($D1285="",$E1285=""),"",COUNTIFS($D$7:$D1285,$D1285,$E$7:$E1285,$E1285))</f>
        <v/>
      </c>
      <c r="P1285" s="16"/>
      <c r="Q1285" s="19"/>
      <c r="R1285" s="10"/>
      <c r="S1285" s="16"/>
      <c r="T1285" s="0" t="str">
        <f aca="false">IF(OR($D1285="",单元查询!$B$3=""),"",IF($D1285&lt;&gt;单元查询!$B$3,"",IF(OR(单元查询!$D$3="",$E1285&amp;""=单元查询!$D$3&amp;""),IF(ISNUMBER($B1285),$B1285*10000,0)+ROW(),"")))</f>
        <v/>
      </c>
      <c r="U1285" s="0" t="str">
        <f aca="false">IF(OR($B1285="",$L1285="已完成"),"",IF(ISNUMBER($B1285),IF(设置!$B$6&lt;$B1285,"",(设置!$B$6-$B1285)*100000+ROW()),""))</f>
        <v/>
      </c>
      <c r="V1285" s="0" t="str">
        <f aca="false">IF(ISNUMBER($O1285),IF($O1285&gt;=2,IF(COUNTIFS($D1285:$D$2006,$D1285,$E1285:$E$2006,$E1285)=1,ROW(),""),""),"")</f>
        <v/>
      </c>
    </row>
    <row r="1286" customFormat="false" ht="15" hidden="false" customHeight="true" outlineLevel="0" collapsed="false">
      <c r="A1286" s="13" t="str">
        <f aca="false">IF(AND($B1286="",$D1286="",$E1286="",$F1286=""),"",IF(OR($B1286="",$D1286="",$E1286=""),"待补",IF($D1286="公共区域","公",IF($D1286="商铺","S",SUBSTITUTE($D1286,"栋","")))&amp;"-"&amp;$E1286&amp;"-"&amp;TEXT(MONTH($B1286),"00")&amp;TEXT(DAY($B1286),"00")&amp;IF(ISNUMBER($O1286),IF($O1286&gt;1,"-"&amp;TEXT($O1286,"00"),""),"")))</f>
        <v/>
      </c>
      <c r="B1286" s="14"/>
      <c r="C1286" s="10"/>
      <c r="D1286" s="10"/>
      <c r="E1286" s="10"/>
      <c r="F1286" s="16"/>
      <c r="G1286" s="10"/>
      <c r="H1286" s="10"/>
      <c r="I1286" s="10"/>
      <c r="J1286" s="10"/>
      <c r="K1286" s="10"/>
      <c r="L1286" s="10"/>
      <c r="M1286" s="14"/>
      <c r="N1286" s="17" t="str">
        <f aca="false">IF($B1286="","",IF($L1286="已完成",IF($M1286="","",$M1286-$B1286),IF(设置!$B$6&lt;$B1286,"",IF((设置!$B$6-$B1286)&gt;=设置!$B$5,"超期"&amp;(设置!$B$6-$B1286)&amp;"天","已等"&amp;(设置!$B$6-$B1286)&amp;"天"))))</f>
        <v/>
      </c>
      <c r="O1286" s="18" t="str">
        <f aca="false">IF(OR($D1286="",$E1286=""),"",COUNTIFS($D$7:$D1286,$D1286,$E$7:$E1286,$E1286))</f>
        <v/>
      </c>
      <c r="P1286" s="16"/>
      <c r="Q1286" s="19"/>
      <c r="R1286" s="10"/>
      <c r="S1286" s="16"/>
      <c r="T1286" s="0" t="str">
        <f aca="false">IF(OR($D1286="",单元查询!$B$3=""),"",IF($D1286&lt;&gt;单元查询!$B$3,"",IF(OR(单元查询!$D$3="",$E1286&amp;""=单元查询!$D$3&amp;""),IF(ISNUMBER($B1286),$B1286*10000,0)+ROW(),"")))</f>
        <v/>
      </c>
      <c r="U1286" s="0" t="str">
        <f aca="false">IF(OR($B1286="",$L1286="已完成"),"",IF(ISNUMBER($B1286),IF(设置!$B$6&lt;$B1286,"",(设置!$B$6-$B1286)*100000+ROW()),""))</f>
        <v/>
      </c>
      <c r="V1286" s="0" t="str">
        <f aca="false">IF(ISNUMBER($O1286),IF($O1286&gt;=2,IF(COUNTIFS($D1286:$D$2006,$D1286,$E1286:$E$2006,$E1286)=1,ROW(),""),""),"")</f>
        <v/>
      </c>
    </row>
    <row r="1287" customFormat="false" ht="15" hidden="false" customHeight="true" outlineLevel="0" collapsed="false">
      <c r="A1287" s="13" t="str">
        <f aca="false">IF(AND($B1287="",$D1287="",$E1287="",$F1287=""),"",IF(OR($B1287="",$D1287="",$E1287=""),"待补",IF($D1287="公共区域","公",IF($D1287="商铺","S",SUBSTITUTE($D1287,"栋","")))&amp;"-"&amp;$E1287&amp;"-"&amp;TEXT(MONTH($B1287),"00")&amp;TEXT(DAY($B1287),"00")&amp;IF(ISNUMBER($O1287),IF($O1287&gt;1,"-"&amp;TEXT($O1287,"00"),""),"")))</f>
        <v/>
      </c>
      <c r="B1287" s="14"/>
      <c r="C1287" s="10"/>
      <c r="D1287" s="10"/>
      <c r="E1287" s="10"/>
      <c r="F1287" s="16"/>
      <c r="G1287" s="10"/>
      <c r="H1287" s="10"/>
      <c r="I1287" s="10"/>
      <c r="J1287" s="10"/>
      <c r="K1287" s="10"/>
      <c r="L1287" s="10"/>
      <c r="M1287" s="14"/>
      <c r="N1287" s="17" t="str">
        <f aca="false">IF($B1287="","",IF($L1287="已完成",IF($M1287="","",$M1287-$B1287),IF(设置!$B$6&lt;$B1287,"",IF((设置!$B$6-$B1287)&gt;=设置!$B$5,"超期"&amp;(设置!$B$6-$B1287)&amp;"天","已等"&amp;(设置!$B$6-$B1287)&amp;"天"))))</f>
        <v/>
      </c>
      <c r="O1287" s="18" t="str">
        <f aca="false">IF(OR($D1287="",$E1287=""),"",COUNTIFS($D$7:$D1287,$D1287,$E$7:$E1287,$E1287))</f>
        <v/>
      </c>
      <c r="P1287" s="16"/>
      <c r="Q1287" s="19"/>
      <c r="R1287" s="10"/>
      <c r="S1287" s="16"/>
      <c r="T1287" s="0" t="str">
        <f aca="false">IF(OR($D1287="",单元查询!$B$3=""),"",IF($D1287&lt;&gt;单元查询!$B$3,"",IF(OR(单元查询!$D$3="",$E1287&amp;""=单元查询!$D$3&amp;""),IF(ISNUMBER($B1287),$B1287*10000,0)+ROW(),"")))</f>
        <v/>
      </c>
      <c r="U1287" s="0" t="str">
        <f aca="false">IF(OR($B1287="",$L1287="已完成"),"",IF(ISNUMBER($B1287),IF(设置!$B$6&lt;$B1287,"",(设置!$B$6-$B1287)*100000+ROW()),""))</f>
        <v/>
      </c>
      <c r="V1287" s="0" t="str">
        <f aca="false">IF(ISNUMBER($O1287),IF($O1287&gt;=2,IF(COUNTIFS($D1287:$D$2006,$D1287,$E1287:$E$2006,$E1287)=1,ROW(),""),""),"")</f>
        <v/>
      </c>
    </row>
    <row r="1288" customFormat="false" ht="15" hidden="false" customHeight="true" outlineLevel="0" collapsed="false">
      <c r="A1288" s="13" t="str">
        <f aca="false">IF(AND($B1288="",$D1288="",$E1288="",$F1288=""),"",IF(OR($B1288="",$D1288="",$E1288=""),"待补",IF($D1288="公共区域","公",IF($D1288="商铺","S",SUBSTITUTE($D1288,"栋","")))&amp;"-"&amp;$E1288&amp;"-"&amp;TEXT(MONTH($B1288),"00")&amp;TEXT(DAY($B1288),"00")&amp;IF(ISNUMBER($O1288),IF($O1288&gt;1,"-"&amp;TEXT($O1288,"00"),""),"")))</f>
        <v/>
      </c>
      <c r="B1288" s="14"/>
      <c r="C1288" s="10"/>
      <c r="D1288" s="10"/>
      <c r="E1288" s="10"/>
      <c r="F1288" s="16"/>
      <c r="G1288" s="10"/>
      <c r="H1288" s="10"/>
      <c r="I1288" s="10"/>
      <c r="J1288" s="10"/>
      <c r="K1288" s="10"/>
      <c r="L1288" s="10"/>
      <c r="M1288" s="14"/>
      <c r="N1288" s="17" t="str">
        <f aca="false">IF($B1288="","",IF($L1288="已完成",IF($M1288="","",$M1288-$B1288),IF(设置!$B$6&lt;$B1288,"",IF((设置!$B$6-$B1288)&gt;=设置!$B$5,"超期"&amp;(设置!$B$6-$B1288)&amp;"天","已等"&amp;(设置!$B$6-$B1288)&amp;"天"))))</f>
        <v/>
      </c>
      <c r="O1288" s="18" t="str">
        <f aca="false">IF(OR($D1288="",$E1288=""),"",COUNTIFS($D$7:$D1288,$D1288,$E$7:$E1288,$E1288))</f>
        <v/>
      </c>
      <c r="P1288" s="16"/>
      <c r="Q1288" s="19"/>
      <c r="R1288" s="10"/>
      <c r="S1288" s="16"/>
      <c r="T1288" s="0" t="str">
        <f aca="false">IF(OR($D1288="",单元查询!$B$3=""),"",IF($D1288&lt;&gt;单元查询!$B$3,"",IF(OR(单元查询!$D$3="",$E1288&amp;""=单元查询!$D$3&amp;""),IF(ISNUMBER($B1288),$B1288*10000,0)+ROW(),"")))</f>
        <v/>
      </c>
      <c r="U1288" s="0" t="str">
        <f aca="false">IF(OR($B1288="",$L1288="已完成"),"",IF(ISNUMBER($B1288),IF(设置!$B$6&lt;$B1288,"",(设置!$B$6-$B1288)*100000+ROW()),""))</f>
        <v/>
      </c>
      <c r="V1288" s="0" t="str">
        <f aca="false">IF(ISNUMBER($O1288),IF($O1288&gt;=2,IF(COUNTIFS($D1288:$D$2006,$D1288,$E1288:$E$2006,$E1288)=1,ROW(),""),""),"")</f>
        <v/>
      </c>
    </row>
    <row r="1289" customFormat="false" ht="15" hidden="false" customHeight="true" outlineLevel="0" collapsed="false">
      <c r="A1289" s="13" t="str">
        <f aca="false">IF(AND($B1289="",$D1289="",$E1289="",$F1289=""),"",IF(OR($B1289="",$D1289="",$E1289=""),"待补",IF($D1289="公共区域","公",IF($D1289="商铺","S",SUBSTITUTE($D1289,"栋","")))&amp;"-"&amp;$E1289&amp;"-"&amp;TEXT(MONTH($B1289),"00")&amp;TEXT(DAY($B1289),"00")&amp;IF(ISNUMBER($O1289),IF($O1289&gt;1,"-"&amp;TEXT($O1289,"00"),""),"")))</f>
        <v/>
      </c>
      <c r="B1289" s="14"/>
      <c r="C1289" s="10"/>
      <c r="D1289" s="10"/>
      <c r="E1289" s="10"/>
      <c r="F1289" s="16"/>
      <c r="G1289" s="10"/>
      <c r="H1289" s="10"/>
      <c r="I1289" s="10"/>
      <c r="J1289" s="10"/>
      <c r="K1289" s="10"/>
      <c r="L1289" s="10"/>
      <c r="M1289" s="14"/>
      <c r="N1289" s="17" t="str">
        <f aca="false">IF($B1289="","",IF($L1289="已完成",IF($M1289="","",$M1289-$B1289),IF(设置!$B$6&lt;$B1289,"",IF((设置!$B$6-$B1289)&gt;=设置!$B$5,"超期"&amp;(设置!$B$6-$B1289)&amp;"天","已等"&amp;(设置!$B$6-$B1289)&amp;"天"))))</f>
        <v/>
      </c>
      <c r="O1289" s="18" t="str">
        <f aca="false">IF(OR($D1289="",$E1289=""),"",COUNTIFS($D$7:$D1289,$D1289,$E$7:$E1289,$E1289))</f>
        <v/>
      </c>
      <c r="P1289" s="16"/>
      <c r="Q1289" s="19"/>
      <c r="R1289" s="10"/>
      <c r="S1289" s="16"/>
      <c r="T1289" s="0" t="str">
        <f aca="false">IF(OR($D1289="",单元查询!$B$3=""),"",IF($D1289&lt;&gt;单元查询!$B$3,"",IF(OR(单元查询!$D$3="",$E1289&amp;""=单元查询!$D$3&amp;""),IF(ISNUMBER($B1289),$B1289*10000,0)+ROW(),"")))</f>
        <v/>
      </c>
      <c r="U1289" s="0" t="str">
        <f aca="false">IF(OR($B1289="",$L1289="已完成"),"",IF(ISNUMBER($B1289),IF(设置!$B$6&lt;$B1289,"",(设置!$B$6-$B1289)*100000+ROW()),""))</f>
        <v/>
      </c>
      <c r="V1289" s="0" t="str">
        <f aca="false">IF(ISNUMBER($O1289),IF($O1289&gt;=2,IF(COUNTIFS($D1289:$D$2006,$D1289,$E1289:$E$2006,$E1289)=1,ROW(),""),""),"")</f>
        <v/>
      </c>
    </row>
    <row r="1290" customFormat="false" ht="15" hidden="false" customHeight="true" outlineLevel="0" collapsed="false">
      <c r="A1290" s="13" t="str">
        <f aca="false">IF(AND($B1290="",$D1290="",$E1290="",$F1290=""),"",IF(OR($B1290="",$D1290="",$E1290=""),"待补",IF($D1290="公共区域","公",IF($D1290="商铺","S",SUBSTITUTE($D1290,"栋","")))&amp;"-"&amp;$E1290&amp;"-"&amp;TEXT(MONTH($B1290),"00")&amp;TEXT(DAY($B1290),"00")&amp;IF(ISNUMBER($O1290),IF($O1290&gt;1,"-"&amp;TEXT($O1290,"00"),""),"")))</f>
        <v/>
      </c>
      <c r="B1290" s="14"/>
      <c r="C1290" s="10"/>
      <c r="D1290" s="10"/>
      <c r="E1290" s="10"/>
      <c r="F1290" s="16"/>
      <c r="G1290" s="10"/>
      <c r="H1290" s="10"/>
      <c r="I1290" s="10"/>
      <c r="J1290" s="10"/>
      <c r="K1290" s="10"/>
      <c r="L1290" s="10"/>
      <c r="M1290" s="14"/>
      <c r="N1290" s="17" t="str">
        <f aca="false">IF($B1290="","",IF($L1290="已完成",IF($M1290="","",$M1290-$B1290),IF(设置!$B$6&lt;$B1290,"",IF((设置!$B$6-$B1290)&gt;=设置!$B$5,"超期"&amp;(设置!$B$6-$B1290)&amp;"天","已等"&amp;(设置!$B$6-$B1290)&amp;"天"))))</f>
        <v/>
      </c>
      <c r="O1290" s="18" t="str">
        <f aca="false">IF(OR($D1290="",$E1290=""),"",COUNTIFS($D$7:$D1290,$D1290,$E$7:$E1290,$E1290))</f>
        <v/>
      </c>
      <c r="P1290" s="16"/>
      <c r="Q1290" s="19"/>
      <c r="R1290" s="10"/>
      <c r="S1290" s="16"/>
      <c r="T1290" s="0" t="str">
        <f aca="false">IF(OR($D1290="",单元查询!$B$3=""),"",IF($D1290&lt;&gt;单元查询!$B$3,"",IF(OR(单元查询!$D$3="",$E1290&amp;""=单元查询!$D$3&amp;""),IF(ISNUMBER($B1290),$B1290*10000,0)+ROW(),"")))</f>
        <v/>
      </c>
      <c r="U1290" s="0" t="str">
        <f aca="false">IF(OR($B1290="",$L1290="已完成"),"",IF(ISNUMBER($B1290),IF(设置!$B$6&lt;$B1290,"",(设置!$B$6-$B1290)*100000+ROW()),""))</f>
        <v/>
      </c>
      <c r="V1290" s="0" t="str">
        <f aca="false">IF(ISNUMBER($O1290),IF($O1290&gt;=2,IF(COUNTIFS($D1290:$D$2006,$D1290,$E1290:$E$2006,$E1290)=1,ROW(),""),""),"")</f>
        <v/>
      </c>
    </row>
    <row r="1291" customFormat="false" ht="15" hidden="false" customHeight="true" outlineLevel="0" collapsed="false">
      <c r="A1291" s="13" t="str">
        <f aca="false">IF(AND($B1291="",$D1291="",$E1291="",$F1291=""),"",IF(OR($B1291="",$D1291="",$E1291=""),"待补",IF($D1291="公共区域","公",IF($D1291="商铺","S",SUBSTITUTE($D1291,"栋","")))&amp;"-"&amp;$E1291&amp;"-"&amp;TEXT(MONTH($B1291),"00")&amp;TEXT(DAY($B1291),"00")&amp;IF(ISNUMBER($O1291),IF($O1291&gt;1,"-"&amp;TEXT($O1291,"00"),""),"")))</f>
        <v/>
      </c>
      <c r="B1291" s="14"/>
      <c r="C1291" s="10"/>
      <c r="D1291" s="10"/>
      <c r="E1291" s="10"/>
      <c r="F1291" s="16"/>
      <c r="G1291" s="10"/>
      <c r="H1291" s="10"/>
      <c r="I1291" s="10"/>
      <c r="J1291" s="10"/>
      <c r="K1291" s="10"/>
      <c r="L1291" s="10"/>
      <c r="M1291" s="14"/>
      <c r="N1291" s="17" t="str">
        <f aca="false">IF($B1291="","",IF($L1291="已完成",IF($M1291="","",$M1291-$B1291),IF(设置!$B$6&lt;$B1291,"",IF((设置!$B$6-$B1291)&gt;=设置!$B$5,"超期"&amp;(设置!$B$6-$B1291)&amp;"天","已等"&amp;(设置!$B$6-$B1291)&amp;"天"))))</f>
        <v/>
      </c>
      <c r="O1291" s="18" t="str">
        <f aca="false">IF(OR($D1291="",$E1291=""),"",COUNTIFS($D$7:$D1291,$D1291,$E$7:$E1291,$E1291))</f>
        <v/>
      </c>
      <c r="P1291" s="16"/>
      <c r="Q1291" s="19"/>
      <c r="R1291" s="10"/>
      <c r="S1291" s="16"/>
      <c r="T1291" s="0" t="str">
        <f aca="false">IF(OR($D1291="",单元查询!$B$3=""),"",IF($D1291&lt;&gt;单元查询!$B$3,"",IF(OR(单元查询!$D$3="",$E1291&amp;""=单元查询!$D$3&amp;""),IF(ISNUMBER($B1291),$B1291*10000,0)+ROW(),"")))</f>
        <v/>
      </c>
      <c r="U1291" s="0" t="str">
        <f aca="false">IF(OR($B1291="",$L1291="已完成"),"",IF(ISNUMBER($B1291),IF(设置!$B$6&lt;$B1291,"",(设置!$B$6-$B1291)*100000+ROW()),""))</f>
        <v/>
      </c>
      <c r="V1291" s="0" t="str">
        <f aca="false">IF(ISNUMBER($O1291),IF($O1291&gt;=2,IF(COUNTIFS($D1291:$D$2006,$D1291,$E1291:$E$2006,$E1291)=1,ROW(),""),""),"")</f>
        <v/>
      </c>
    </row>
    <row r="1292" customFormat="false" ht="15" hidden="false" customHeight="true" outlineLevel="0" collapsed="false">
      <c r="A1292" s="13" t="str">
        <f aca="false">IF(AND($B1292="",$D1292="",$E1292="",$F1292=""),"",IF(OR($B1292="",$D1292="",$E1292=""),"待补",IF($D1292="公共区域","公",IF($D1292="商铺","S",SUBSTITUTE($D1292,"栋","")))&amp;"-"&amp;$E1292&amp;"-"&amp;TEXT(MONTH($B1292),"00")&amp;TEXT(DAY($B1292),"00")&amp;IF(ISNUMBER($O1292),IF($O1292&gt;1,"-"&amp;TEXT($O1292,"00"),""),"")))</f>
        <v/>
      </c>
      <c r="B1292" s="14"/>
      <c r="C1292" s="10"/>
      <c r="D1292" s="10"/>
      <c r="E1292" s="10"/>
      <c r="F1292" s="16"/>
      <c r="G1292" s="10"/>
      <c r="H1292" s="10"/>
      <c r="I1292" s="10"/>
      <c r="J1292" s="10"/>
      <c r="K1292" s="10"/>
      <c r="L1292" s="10"/>
      <c r="M1292" s="14"/>
      <c r="N1292" s="17" t="str">
        <f aca="false">IF($B1292="","",IF($L1292="已完成",IF($M1292="","",$M1292-$B1292),IF(设置!$B$6&lt;$B1292,"",IF((设置!$B$6-$B1292)&gt;=设置!$B$5,"超期"&amp;(设置!$B$6-$B1292)&amp;"天","已等"&amp;(设置!$B$6-$B1292)&amp;"天"))))</f>
        <v/>
      </c>
      <c r="O1292" s="18" t="str">
        <f aca="false">IF(OR($D1292="",$E1292=""),"",COUNTIFS($D$7:$D1292,$D1292,$E$7:$E1292,$E1292))</f>
        <v/>
      </c>
      <c r="P1292" s="16"/>
      <c r="Q1292" s="19"/>
      <c r="R1292" s="10"/>
      <c r="S1292" s="16"/>
      <c r="T1292" s="0" t="str">
        <f aca="false">IF(OR($D1292="",单元查询!$B$3=""),"",IF($D1292&lt;&gt;单元查询!$B$3,"",IF(OR(单元查询!$D$3="",$E1292&amp;""=单元查询!$D$3&amp;""),IF(ISNUMBER($B1292),$B1292*10000,0)+ROW(),"")))</f>
        <v/>
      </c>
      <c r="U1292" s="0" t="str">
        <f aca="false">IF(OR($B1292="",$L1292="已完成"),"",IF(ISNUMBER($B1292),IF(设置!$B$6&lt;$B1292,"",(设置!$B$6-$B1292)*100000+ROW()),""))</f>
        <v/>
      </c>
      <c r="V1292" s="0" t="str">
        <f aca="false">IF(ISNUMBER($O1292),IF($O1292&gt;=2,IF(COUNTIFS($D1292:$D$2006,$D1292,$E1292:$E$2006,$E1292)=1,ROW(),""),""),"")</f>
        <v/>
      </c>
    </row>
    <row r="1293" customFormat="false" ht="15" hidden="false" customHeight="true" outlineLevel="0" collapsed="false">
      <c r="A1293" s="13" t="str">
        <f aca="false">IF(AND($B1293="",$D1293="",$E1293="",$F1293=""),"",IF(OR($B1293="",$D1293="",$E1293=""),"待补",IF($D1293="公共区域","公",IF($D1293="商铺","S",SUBSTITUTE($D1293,"栋","")))&amp;"-"&amp;$E1293&amp;"-"&amp;TEXT(MONTH($B1293),"00")&amp;TEXT(DAY($B1293),"00")&amp;IF(ISNUMBER($O1293),IF($O1293&gt;1,"-"&amp;TEXT($O1293,"00"),""),"")))</f>
        <v/>
      </c>
      <c r="B1293" s="14"/>
      <c r="C1293" s="10"/>
      <c r="D1293" s="10"/>
      <c r="E1293" s="10"/>
      <c r="F1293" s="16"/>
      <c r="G1293" s="10"/>
      <c r="H1293" s="10"/>
      <c r="I1293" s="10"/>
      <c r="J1293" s="10"/>
      <c r="K1293" s="10"/>
      <c r="L1293" s="10"/>
      <c r="M1293" s="14"/>
      <c r="N1293" s="17" t="str">
        <f aca="false">IF($B1293="","",IF($L1293="已完成",IF($M1293="","",$M1293-$B1293),IF(设置!$B$6&lt;$B1293,"",IF((设置!$B$6-$B1293)&gt;=设置!$B$5,"超期"&amp;(设置!$B$6-$B1293)&amp;"天","已等"&amp;(设置!$B$6-$B1293)&amp;"天"))))</f>
        <v/>
      </c>
      <c r="O1293" s="18" t="str">
        <f aca="false">IF(OR($D1293="",$E1293=""),"",COUNTIFS($D$7:$D1293,$D1293,$E$7:$E1293,$E1293))</f>
        <v/>
      </c>
      <c r="P1293" s="16"/>
      <c r="Q1293" s="19"/>
      <c r="R1293" s="10"/>
      <c r="S1293" s="16"/>
      <c r="T1293" s="0" t="str">
        <f aca="false">IF(OR($D1293="",单元查询!$B$3=""),"",IF($D1293&lt;&gt;单元查询!$B$3,"",IF(OR(单元查询!$D$3="",$E1293&amp;""=单元查询!$D$3&amp;""),IF(ISNUMBER($B1293),$B1293*10000,0)+ROW(),"")))</f>
        <v/>
      </c>
      <c r="U1293" s="0" t="str">
        <f aca="false">IF(OR($B1293="",$L1293="已完成"),"",IF(ISNUMBER($B1293),IF(设置!$B$6&lt;$B1293,"",(设置!$B$6-$B1293)*100000+ROW()),""))</f>
        <v/>
      </c>
      <c r="V1293" s="0" t="str">
        <f aca="false">IF(ISNUMBER($O1293),IF($O1293&gt;=2,IF(COUNTIFS($D1293:$D$2006,$D1293,$E1293:$E$2006,$E1293)=1,ROW(),""),""),"")</f>
        <v/>
      </c>
    </row>
    <row r="1294" customFormat="false" ht="15" hidden="false" customHeight="true" outlineLevel="0" collapsed="false">
      <c r="A1294" s="13" t="str">
        <f aca="false">IF(AND($B1294="",$D1294="",$E1294="",$F1294=""),"",IF(OR($B1294="",$D1294="",$E1294=""),"待补",IF($D1294="公共区域","公",IF($D1294="商铺","S",SUBSTITUTE($D1294,"栋","")))&amp;"-"&amp;$E1294&amp;"-"&amp;TEXT(MONTH($B1294),"00")&amp;TEXT(DAY($B1294),"00")&amp;IF(ISNUMBER($O1294),IF($O1294&gt;1,"-"&amp;TEXT($O1294,"00"),""),"")))</f>
        <v/>
      </c>
      <c r="B1294" s="14"/>
      <c r="C1294" s="10"/>
      <c r="D1294" s="10"/>
      <c r="E1294" s="10"/>
      <c r="F1294" s="16"/>
      <c r="G1294" s="10"/>
      <c r="H1294" s="10"/>
      <c r="I1294" s="10"/>
      <c r="J1294" s="10"/>
      <c r="K1294" s="10"/>
      <c r="L1294" s="10"/>
      <c r="M1294" s="14"/>
      <c r="N1294" s="17" t="str">
        <f aca="false">IF($B1294="","",IF($L1294="已完成",IF($M1294="","",$M1294-$B1294),IF(设置!$B$6&lt;$B1294,"",IF((设置!$B$6-$B1294)&gt;=设置!$B$5,"超期"&amp;(设置!$B$6-$B1294)&amp;"天","已等"&amp;(设置!$B$6-$B1294)&amp;"天"))))</f>
        <v/>
      </c>
      <c r="O1294" s="18" t="str">
        <f aca="false">IF(OR($D1294="",$E1294=""),"",COUNTIFS($D$7:$D1294,$D1294,$E$7:$E1294,$E1294))</f>
        <v/>
      </c>
      <c r="P1294" s="16"/>
      <c r="Q1294" s="19"/>
      <c r="R1294" s="10"/>
      <c r="S1294" s="16"/>
      <c r="T1294" s="0" t="str">
        <f aca="false">IF(OR($D1294="",单元查询!$B$3=""),"",IF($D1294&lt;&gt;单元查询!$B$3,"",IF(OR(单元查询!$D$3="",$E1294&amp;""=单元查询!$D$3&amp;""),IF(ISNUMBER($B1294),$B1294*10000,0)+ROW(),"")))</f>
        <v/>
      </c>
      <c r="U1294" s="0" t="str">
        <f aca="false">IF(OR($B1294="",$L1294="已完成"),"",IF(ISNUMBER($B1294),IF(设置!$B$6&lt;$B1294,"",(设置!$B$6-$B1294)*100000+ROW()),""))</f>
        <v/>
      </c>
      <c r="V1294" s="0" t="str">
        <f aca="false">IF(ISNUMBER($O1294),IF($O1294&gt;=2,IF(COUNTIFS($D1294:$D$2006,$D1294,$E1294:$E$2006,$E1294)=1,ROW(),""),""),"")</f>
        <v/>
      </c>
    </row>
    <row r="1295" customFormat="false" ht="15" hidden="false" customHeight="true" outlineLevel="0" collapsed="false">
      <c r="A1295" s="13" t="str">
        <f aca="false">IF(AND($B1295="",$D1295="",$E1295="",$F1295=""),"",IF(OR($B1295="",$D1295="",$E1295=""),"待补",IF($D1295="公共区域","公",IF($D1295="商铺","S",SUBSTITUTE($D1295,"栋","")))&amp;"-"&amp;$E1295&amp;"-"&amp;TEXT(MONTH($B1295),"00")&amp;TEXT(DAY($B1295),"00")&amp;IF(ISNUMBER($O1295),IF($O1295&gt;1,"-"&amp;TEXT($O1295,"00"),""),"")))</f>
        <v/>
      </c>
      <c r="B1295" s="14"/>
      <c r="C1295" s="10"/>
      <c r="D1295" s="10"/>
      <c r="E1295" s="10"/>
      <c r="F1295" s="16"/>
      <c r="G1295" s="10"/>
      <c r="H1295" s="10"/>
      <c r="I1295" s="10"/>
      <c r="J1295" s="10"/>
      <c r="K1295" s="10"/>
      <c r="L1295" s="10"/>
      <c r="M1295" s="14"/>
      <c r="N1295" s="17" t="str">
        <f aca="false">IF($B1295="","",IF($L1295="已完成",IF($M1295="","",$M1295-$B1295),IF(设置!$B$6&lt;$B1295,"",IF((设置!$B$6-$B1295)&gt;=设置!$B$5,"超期"&amp;(设置!$B$6-$B1295)&amp;"天","已等"&amp;(设置!$B$6-$B1295)&amp;"天"))))</f>
        <v/>
      </c>
      <c r="O1295" s="18" t="str">
        <f aca="false">IF(OR($D1295="",$E1295=""),"",COUNTIFS($D$7:$D1295,$D1295,$E$7:$E1295,$E1295))</f>
        <v/>
      </c>
      <c r="P1295" s="16"/>
      <c r="Q1295" s="19"/>
      <c r="R1295" s="10"/>
      <c r="S1295" s="16"/>
      <c r="T1295" s="0" t="str">
        <f aca="false">IF(OR($D1295="",单元查询!$B$3=""),"",IF($D1295&lt;&gt;单元查询!$B$3,"",IF(OR(单元查询!$D$3="",$E1295&amp;""=单元查询!$D$3&amp;""),IF(ISNUMBER($B1295),$B1295*10000,0)+ROW(),"")))</f>
        <v/>
      </c>
      <c r="U1295" s="0" t="str">
        <f aca="false">IF(OR($B1295="",$L1295="已完成"),"",IF(ISNUMBER($B1295),IF(设置!$B$6&lt;$B1295,"",(设置!$B$6-$B1295)*100000+ROW()),""))</f>
        <v/>
      </c>
      <c r="V1295" s="0" t="str">
        <f aca="false">IF(ISNUMBER($O1295),IF($O1295&gt;=2,IF(COUNTIFS($D1295:$D$2006,$D1295,$E1295:$E$2006,$E1295)=1,ROW(),""),""),"")</f>
        <v/>
      </c>
    </row>
    <row r="1296" customFormat="false" ht="15" hidden="false" customHeight="true" outlineLevel="0" collapsed="false">
      <c r="A1296" s="13" t="str">
        <f aca="false">IF(AND($B1296="",$D1296="",$E1296="",$F1296=""),"",IF(OR($B1296="",$D1296="",$E1296=""),"待补",IF($D1296="公共区域","公",IF($D1296="商铺","S",SUBSTITUTE($D1296,"栋","")))&amp;"-"&amp;$E1296&amp;"-"&amp;TEXT(MONTH($B1296),"00")&amp;TEXT(DAY($B1296),"00")&amp;IF(ISNUMBER($O1296),IF($O1296&gt;1,"-"&amp;TEXT($O1296,"00"),""),"")))</f>
        <v/>
      </c>
      <c r="B1296" s="14"/>
      <c r="C1296" s="10"/>
      <c r="D1296" s="10"/>
      <c r="E1296" s="10"/>
      <c r="F1296" s="16"/>
      <c r="G1296" s="10"/>
      <c r="H1296" s="10"/>
      <c r="I1296" s="10"/>
      <c r="J1296" s="10"/>
      <c r="K1296" s="10"/>
      <c r="L1296" s="10"/>
      <c r="M1296" s="14"/>
      <c r="N1296" s="17" t="str">
        <f aca="false">IF($B1296="","",IF($L1296="已完成",IF($M1296="","",$M1296-$B1296),IF(设置!$B$6&lt;$B1296,"",IF((设置!$B$6-$B1296)&gt;=设置!$B$5,"超期"&amp;(设置!$B$6-$B1296)&amp;"天","已等"&amp;(设置!$B$6-$B1296)&amp;"天"))))</f>
        <v/>
      </c>
      <c r="O1296" s="18" t="str">
        <f aca="false">IF(OR($D1296="",$E1296=""),"",COUNTIFS($D$7:$D1296,$D1296,$E$7:$E1296,$E1296))</f>
        <v/>
      </c>
      <c r="P1296" s="16"/>
      <c r="Q1296" s="19"/>
      <c r="R1296" s="10"/>
      <c r="S1296" s="16"/>
      <c r="T1296" s="0" t="str">
        <f aca="false">IF(OR($D1296="",单元查询!$B$3=""),"",IF($D1296&lt;&gt;单元查询!$B$3,"",IF(OR(单元查询!$D$3="",$E1296&amp;""=单元查询!$D$3&amp;""),IF(ISNUMBER($B1296),$B1296*10000,0)+ROW(),"")))</f>
        <v/>
      </c>
      <c r="U1296" s="0" t="str">
        <f aca="false">IF(OR($B1296="",$L1296="已完成"),"",IF(ISNUMBER($B1296),IF(设置!$B$6&lt;$B1296,"",(设置!$B$6-$B1296)*100000+ROW()),""))</f>
        <v/>
      </c>
      <c r="V1296" s="0" t="str">
        <f aca="false">IF(ISNUMBER($O1296),IF($O1296&gt;=2,IF(COUNTIFS($D1296:$D$2006,$D1296,$E1296:$E$2006,$E1296)=1,ROW(),""),""),"")</f>
        <v/>
      </c>
    </row>
    <row r="1297" customFormat="false" ht="15" hidden="false" customHeight="true" outlineLevel="0" collapsed="false">
      <c r="A1297" s="13" t="str">
        <f aca="false">IF(AND($B1297="",$D1297="",$E1297="",$F1297=""),"",IF(OR($B1297="",$D1297="",$E1297=""),"待补",IF($D1297="公共区域","公",IF($D1297="商铺","S",SUBSTITUTE($D1297,"栋","")))&amp;"-"&amp;$E1297&amp;"-"&amp;TEXT(MONTH($B1297),"00")&amp;TEXT(DAY($B1297),"00")&amp;IF(ISNUMBER($O1297),IF($O1297&gt;1,"-"&amp;TEXT($O1297,"00"),""),"")))</f>
        <v/>
      </c>
      <c r="B1297" s="14"/>
      <c r="C1297" s="10"/>
      <c r="D1297" s="10"/>
      <c r="E1297" s="10"/>
      <c r="F1297" s="16"/>
      <c r="G1297" s="10"/>
      <c r="H1297" s="10"/>
      <c r="I1297" s="10"/>
      <c r="J1297" s="10"/>
      <c r="K1297" s="10"/>
      <c r="L1297" s="10"/>
      <c r="M1297" s="14"/>
      <c r="N1297" s="17" t="str">
        <f aca="false">IF($B1297="","",IF($L1297="已完成",IF($M1297="","",$M1297-$B1297),IF(设置!$B$6&lt;$B1297,"",IF((设置!$B$6-$B1297)&gt;=设置!$B$5,"超期"&amp;(设置!$B$6-$B1297)&amp;"天","已等"&amp;(设置!$B$6-$B1297)&amp;"天"))))</f>
        <v/>
      </c>
      <c r="O1297" s="18" t="str">
        <f aca="false">IF(OR($D1297="",$E1297=""),"",COUNTIFS($D$7:$D1297,$D1297,$E$7:$E1297,$E1297))</f>
        <v/>
      </c>
      <c r="P1297" s="16"/>
      <c r="Q1297" s="19"/>
      <c r="R1297" s="10"/>
      <c r="S1297" s="16"/>
      <c r="T1297" s="0" t="str">
        <f aca="false">IF(OR($D1297="",单元查询!$B$3=""),"",IF($D1297&lt;&gt;单元查询!$B$3,"",IF(OR(单元查询!$D$3="",$E1297&amp;""=单元查询!$D$3&amp;""),IF(ISNUMBER($B1297),$B1297*10000,0)+ROW(),"")))</f>
        <v/>
      </c>
      <c r="U1297" s="0" t="str">
        <f aca="false">IF(OR($B1297="",$L1297="已完成"),"",IF(ISNUMBER($B1297),IF(设置!$B$6&lt;$B1297,"",(设置!$B$6-$B1297)*100000+ROW()),""))</f>
        <v/>
      </c>
      <c r="V1297" s="0" t="str">
        <f aca="false">IF(ISNUMBER($O1297),IF($O1297&gt;=2,IF(COUNTIFS($D1297:$D$2006,$D1297,$E1297:$E$2006,$E1297)=1,ROW(),""),""),"")</f>
        <v/>
      </c>
    </row>
    <row r="1298" customFormat="false" ht="15" hidden="false" customHeight="true" outlineLevel="0" collapsed="false">
      <c r="A1298" s="13" t="str">
        <f aca="false">IF(AND($B1298="",$D1298="",$E1298="",$F1298=""),"",IF(OR($B1298="",$D1298="",$E1298=""),"待补",IF($D1298="公共区域","公",IF($D1298="商铺","S",SUBSTITUTE($D1298,"栋","")))&amp;"-"&amp;$E1298&amp;"-"&amp;TEXT(MONTH($B1298),"00")&amp;TEXT(DAY($B1298),"00")&amp;IF(ISNUMBER($O1298),IF($O1298&gt;1,"-"&amp;TEXT($O1298,"00"),""),"")))</f>
        <v/>
      </c>
      <c r="B1298" s="14"/>
      <c r="C1298" s="10"/>
      <c r="D1298" s="10"/>
      <c r="E1298" s="10"/>
      <c r="F1298" s="16"/>
      <c r="G1298" s="10"/>
      <c r="H1298" s="10"/>
      <c r="I1298" s="10"/>
      <c r="J1298" s="10"/>
      <c r="K1298" s="10"/>
      <c r="L1298" s="10"/>
      <c r="M1298" s="14"/>
      <c r="N1298" s="17" t="str">
        <f aca="false">IF($B1298="","",IF($L1298="已完成",IF($M1298="","",$M1298-$B1298),IF(设置!$B$6&lt;$B1298,"",IF((设置!$B$6-$B1298)&gt;=设置!$B$5,"超期"&amp;(设置!$B$6-$B1298)&amp;"天","已等"&amp;(设置!$B$6-$B1298)&amp;"天"))))</f>
        <v/>
      </c>
      <c r="O1298" s="18" t="str">
        <f aca="false">IF(OR($D1298="",$E1298=""),"",COUNTIFS($D$7:$D1298,$D1298,$E$7:$E1298,$E1298))</f>
        <v/>
      </c>
      <c r="P1298" s="16"/>
      <c r="Q1298" s="19"/>
      <c r="R1298" s="10"/>
      <c r="S1298" s="16"/>
      <c r="T1298" s="0" t="str">
        <f aca="false">IF(OR($D1298="",单元查询!$B$3=""),"",IF($D1298&lt;&gt;单元查询!$B$3,"",IF(OR(单元查询!$D$3="",$E1298&amp;""=单元查询!$D$3&amp;""),IF(ISNUMBER($B1298),$B1298*10000,0)+ROW(),"")))</f>
        <v/>
      </c>
      <c r="U1298" s="0" t="str">
        <f aca="false">IF(OR($B1298="",$L1298="已完成"),"",IF(ISNUMBER($B1298),IF(设置!$B$6&lt;$B1298,"",(设置!$B$6-$B1298)*100000+ROW()),""))</f>
        <v/>
      </c>
      <c r="V1298" s="0" t="str">
        <f aca="false">IF(ISNUMBER($O1298),IF($O1298&gt;=2,IF(COUNTIFS($D1298:$D$2006,$D1298,$E1298:$E$2006,$E1298)=1,ROW(),""),""),"")</f>
        <v/>
      </c>
    </row>
    <row r="1299" customFormat="false" ht="15" hidden="false" customHeight="true" outlineLevel="0" collapsed="false">
      <c r="A1299" s="13" t="str">
        <f aca="false">IF(AND($B1299="",$D1299="",$E1299="",$F1299=""),"",IF(OR($B1299="",$D1299="",$E1299=""),"待补",IF($D1299="公共区域","公",IF($D1299="商铺","S",SUBSTITUTE($D1299,"栋","")))&amp;"-"&amp;$E1299&amp;"-"&amp;TEXT(MONTH($B1299),"00")&amp;TEXT(DAY($B1299),"00")&amp;IF(ISNUMBER($O1299),IF($O1299&gt;1,"-"&amp;TEXT($O1299,"00"),""),"")))</f>
        <v/>
      </c>
      <c r="B1299" s="14"/>
      <c r="C1299" s="10"/>
      <c r="D1299" s="10"/>
      <c r="E1299" s="10"/>
      <c r="F1299" s="16"/>
      <c r="G1299" s="10"/>
      <c r="H1299" s="10"/>
      <c r="I1299" s="10"/>
      <c r="J1299" s="10"/>
      <c r="K1299" s="10"/>
      <c r="L1299" s="10"/>
      <c r="M1299" s="14"/>
      <c r="N1299" s="17" t="str">
        <f aca="false">IF($B1299="","",IF($L1299="已完成",IF($M1299="","",$M1299-$B1299),IF(设置!$B$6&lt;$B1299,"",IF((设置!$B$6-$B1299)&gt;=设置!$B$5,"超期"&amp;(设置!$B$6-$B1299)&amp;"天","已等"&amp;(设置!$B$6-$B1299)&amp;"天"))))</f>
        <v/>
      </c>
      <c r="O1299" s="18" t="str">
        <f aca="false">IF(OR($D1299="",$E1299=""),"",COUNTIFS($D$7:$D1299,$D1299,$E$7:$E1299,$E1299))</f>
        <v/>
      </c>
      <c r="P1299" s="16"/>
      <c r="Q1299" s="19"/>
      <c r="R1299" s="10"/>
      <c r="S1299" s="16"/>
      <c r="T1299" s="0" t="str">
        <f aca="false">IF(OR($D1299="",单元查询!$B$3=""),"",IF($D1299&lt;&gt;单元查询!$B$3,"",IF(OR(单元查询!$D$3="",$E1299&amp;""=单元查询!$D$3&amp;""),IF(ISNUMBER($B1299),$B1299*10000,0)+ROW(),"")))</f>
        <v/>
      </c>
      <c r="U1299" s="0" t="str">
        <f aca="false">IF(OR($B1299="",$L1299="已完成"),"",IF(ISNUMBER($B1299),IF(设置!$B$6&lt;$B1299,"",(设置!$B$6-$B1299)*100000+ROW()),""))</f>
        <v/>
      </c>
      <c r="V1299" s="0" t="str">
        <f aca="false">IF(ISNUMBER($O1299),IF($O1299&gt;=2,IF(COUNTIFS($D1299:$D$2006,$D1299,$E1299:$E$2006,$E1299)=1,ROW(),""),""),"")</f>
        <v/>
      </c>
    </row>
    <row r="1300" customFormat="false" ht="15" hidden="false" customHeight="true" outlineLevel="0" collapsed="false">
      <c r="A1300" s="13" t="str">
        <f aca="false">IF(AND($B1300="",$D1300="",$E1300="",$F1300=""),"",IF(OR($B1300="",$D1300="",$E1300=""),"待补",IF($D1300="公共区域","公",IF($D1300="商铺","S",SUBSTITUTE($D1300,"栋","")))&amp;"-"&amp;$E1300&amp;"-"&amp;TEXT(MONTH($B1300),"00")&amp;TEXT(DAY($B1300),"00")&amp;IF(ISNUMBER($O1300),IF($O1300&gt;1,"-"&amp;TEXT($O1300,"00"),""),"")))</f>
        <v/>
      </c>
      <c r="B1300" s="14"/>
      <c r="C1300" s="10"/>
      <c r="D1300" s="10"/>
      <c r="E1300" s="10"/>
      <c r="F1300" s="16"/>
      <c r="G1300" s="10"/>
      <c r="H1300" s="10"/>
      <c r="I1300" s="10"/>
      <c r="J1300" s="10"/>
      <c r="K1300" s="10"/>
      <c r="L1300" s="10"/>
      <c r="M1300" s="14"/>
      <c r="N1300" s="17" t="str">
        <f aca="false">IF($B1300="","",IF($L1300="已完成",IF($M1300="","",$M1300-$B1300),IF(设置!$B$6&lt;$B1300,"",IF((设置!$B$6-$B1300)&gt;=设置!$B$5,"超期"&amp;(设置!$B$6-$B1300)&amp;"天","已等"&amp;(设置!$B$6-$B1300)&amp;"天"))))</f>
        <v/>
      </c>
      <c r="O1300" s="18" t="str">
        <f aca="false">IF(OR($D1300="",$E1300=""),"",COUNTIFS($D$7:$D1300,$D1300,$E$7:$E1300,$E1300))</f>
        <v/>
      </c>
      <c r="P1300" s="16"/>
      <c r="Q1300" s="19"/>
      <c r="R1300" s="10"/>
      <c r="S1300" s="16"/>
      <c r="T1300" s="0" t="str">
        <f aca="false">IF(OR($D1300="",单元查询!$B$3=""),"",IF($D1300&lt;&gt;单元查询!$B$3,"",IF(OR(单元查询!$D$3="",$E1300&amp;""=单元查询!$D$3&amp;""),IF(ISNUMBER($B1300),$B1300*10000,0)+ROW(),"")))</f>
        <v/>
      </c>
      <c r="U1300" s="0" t="str">
        <f aca="false">IF(OR($B1300="",$L1300="已完成"),"",IF(ISNUMBER($B1300),IF(设置!$B$6&lt;$B1300,"",(设置!$B$6-$B1300)*100000+ROW()),""))</f>
        <v/>
      </c>
      <c r="V1300" s="0" t="str">
        <f aca="false">IF(ISNUMBER($O1300),IF($O1300&gt;=2,IF(COUNTIFS($D1300:$D$2006,$D1300,$E1300:$E$2006,$E1300)=1,ROW(),""),""),"")</f>
        <v/>
      </c>
    </row>
    <row r="1301" customFormat="false" ht="15" hidden="false" customHeight="true" outlineLevel="0" collapsed="false">
      <c r="A1301" s="13" t="str">
        <f aca="false">IF(AND($B1301="",$D1301="",$E1301="",$F1301=""),"",IF(OR($B1301="",$D1301="",$E1301=""),"待补",IF($D1301="公共区域","公",IF($D1301="商铺","S",SUBSTITUTE($D1301,"栋","")))&amp;"-"&amp;$E1301&amp;"-"&amp;TEXT(MONTH($B1301),"00")&amp;TEXT(DAY($B1301),"00")&amp;IF(ISNUMBER($O1301),IF($O1301&gt;1,"-"&amp;TEXT($O1301,"00"),""),"")))</f>
        <v/>
      </c>
      <c r="B1301" s="14"/>
      <c r="C1301" s="10"/>
      <c r="D1301" s="10"/>
      <c r="E1301" s="10"/>
      <c r="F1301" s="16"/>
      <c r="G1301" s="10"/>
      <c r="H1301" s="10"/>
      <c r="I1301" s="10"/>
      <c r="J1301" s="10"/>
      <c r="K1301" s="10"/>
      <c r="L1301" s="10"/>
      <c r="M1301" s="14"/>
      <c r="N1301" s="17" t="str">
        <f aca="false">IF($B1301="","",IF($L1301="已完成",IF($M1301="","",$M1301-$B1301),IF(设置!$B$6&lt;$B1301,"",IF((设置!$B$6-$B1301)&gt;=设置!$B$5,"超期"&amp;(设置!$B$6-$B1301)&amp;"天","已等"&amp;(设置!$B$6-$B1301)&amp;"天"))))</f>
        <v/>
      </c>
      <c r="O1301" s="18" t="str">
        <f aca="false">IF(OR($D1301="",$E1301=""),"",COUNTIFS($D$7:$D1301,$D1301,$E$7:$E1301,$E1301))</f>
        <v/>
      </c>
      <c r="P1301" s="16"/>
      <c r="Q1301" s="19"/>
      <c r="R1301" s="10"/>
      <c r="S1301" s="16"/>
      <c r="T1301" s="0" t="str">
        <f aca="false">IF(OR($D1301="",单元查询!$B$3=""),"",IF($D1301&lt;&gt;单元查询!$B$3,"",IF(OR(单元查询!$D$3="",$E1301&amp;""=单元查询!$D$3&amp;""),IF(ISNUMBER($B1301),$B1301*10000,0)+ROW(),"")))</f>
        <v/>
      </c>
      <c r="U1301" s="0" t="str">
        <f aca="false">IF(OR($B1301="",$L1301="已完成"),"",IF(ISNUMBER($B1301),IF(设置!$B$6&lt;$B1301,"",(设置!$B$6-$B1301)*100000+ROW()),""))</f>
        <v/>
      </c>
      <c r="V1301" s="0" t="str">
        <f aca="false">IF(ISNUMBER($O1301),IF($O1301&gt;=2,IF(COUNTIFS($D1301:$D$2006,$D1301,$E1301:$E$2006,$E1301)=1,ROW(),""),""),"")</f>
        <v/>
      </c>
    </row>
    <row r="1302" customFormat="false" ht="15" hidden="false" customHeight="true" outlineLevel="0" collapsed="false">
      <c r="A1302" s="13" t="str">
        <f aca="false">IF(AND($B1302="",$D1302="",$E1302="",$F1302=""),"",IF(OR($B1302="",$D1302="",$E1302=""),"待补",IF($D1302="公共区域","公",IF($D1302="商铺","S",SUBSTITUTE($D1302,"栋","")))&amp;"-"&amp;$E1302&amp;"-"&amp;TEXT(MONTH($B1302),"00")&amp;TEXT(DAY($B1302),"00")&amp;IF(ISNUMBER($O1302),IF($O1302&gt;1,"-"&amp;TEXT($O1302,"00"),""),"")))</f>
        <v/>
      </c>
      <c r="B1302" s="14"/>
      <c r="C1302" s="10"/>
      <c r="D1302" s="10"/>
      <c r="E1302" s="10"/>
      <c r="F1302" s="16"/>
      <c r="G1302" s="10"/>
      <c r="H1302" s="10"/>
      <c r="I1302" s="10"/>
      <c r="J1302" s="10"/>
      <c r="K1302" s="10"/>
      <c r="L1302" s="10"/>
      <c r="M1302" s="14"/>
      <c r="N1302" s="17" t="str">
        <f aca="false">IF($B1302="","",IF($L1302="已完成",IF($M1302="","",$M1302-$B1302),IF(设置!$B$6&lt;$B1302,"",IF((设置!$B$6-$B1302)&gt;=设置!$B$5,"超期"&amp;(设置!$B$6-$B1302)&amp;"天","已等"&amp;(设置!$B$6-$B1302)&amp;"天"))))</f>
        <v/>
      </c>
      <c r="O1302" s="18" t="str">
        <f aca="false">IF(OR($D1302="",$E1302=""),"",COUNTIFS($D$7:$D1302,$D1302,$E$7:$E1302,$E1302))</f>
        <v/>
      </c>
      <c r="P1302" s="16"/>
      <c r="Q1302" s="19"/>
      <c r="R1302" s="10"/>
      <c r="S1302" s="16"/>
      <c r="T1302" s="0" t="str">
        <f aca="false">IF(OR($D1302="",单元查询!$B$3=""),"",IF($D1302&lt;&gt;单元查询!$B$3,"",IF(OR(单元查询!$D$3="",$E1302&amp;""=单元查询!$D$3&amp;""),IF(ISNUMBER($B1302),$B1302*10000,0)+ROW(),"")))</f>
        <v/>
      </c>
      <c r="U1302" s="0" t="str">
        <f aca="false">IF(OR($B1302="",$L1302="已完成"),"",IF(ISNUMBER($B1302),IF(设置!$B$6&lt;$B1302,"",(设置!$B$6-$B1302)*100000+ROW()),""))</f>
        <v/>
      </c>
      <c r="V1302" s="0" t="str">
        <f aca="false">IF(ISNUMBER($O1302),IF($O1302&gt;=2,IF(COUNTIFS($D1302:$D$2006,$D1302,$E1302:$E$2006,$E1302)=1,ROW(),""),""),"")</f>
        <v/>
      </c>
    </row>
    <row r="1303" customFormat="false" ht="15" hidden="false" customHeight="true" outlineLevel="0" collapsed="false">
      <c r="A1303" s="13" t="str">
        <f aca="false">IF(AND($B1303="",$D1303="",$E1303="",$F1303=""),"",IF(OR($B1303="",$D1303="",$E1303=""),"待补",IF($D1303="公共区域","公",IF($D1303="商铺","S",SUBSTITUTE($D1303,"栋","")))&amp;"-"&amp;$E1303&amp;"-"&amp;TEXT(MONTH($B1303),"00")&amp;TEXT(DAY($B1303),"00")&amp;IF(ISNUMBER($O1303),IF($O1303&gt;1,"-"&amp;TEXT($O1303,"00"),""),"")))</f>
        <v/>
      </c>
      <c r="B1303" s="14"/>
      <c r="C1303" s="10"/>
      <c r="D1303" s="10"/>
      <c r="E1303" s="10"/>
      <c r="F1303" s="16"/>
      <c r="G1303" s="10"/>
      <c r="H1303" s="10"/>
      <c r="I1303" s="10"/>
      <c r="J1303" s="10"/>
      <c r="K1303" s="10"/>
      <c r="L1303" s="10"/>
      <c r="M1303" s="14"/>
      <c r="N1303" s="17" t="str">
        <f aca="false">IF($B1303="","",IF($L1303="已完成",IF($M1303="","",$M1303-$B1303),IF(设置!$B$6&lt;$B1303,"",IF((设置!$B$6-$B1303)&gt;=设置!$B$5,"超期"&amp;(设置!$B$6-$B1303)&amp;"天","已等"&amp;(设置!$B$6-$B1303)&amp;"天"))))</f>
        <v/>
      </c>
      <c r="O1303" s="18" t="str">
        <f aca="false">IF(OR($D1303="",$E1303=""),"",COUNTIFS($D$7:$D1303,$D1303,$E$7:$E1303,$E1303))</f>
        <v/>
      </c>
      <c r="P1303" s="16"/>
      <c r="Q1303" s="19"/>
      <c r="R1303" s="10"/>
      <c r="S1303" s="16"/>
      <c r="T1303" s="0" t="str">
        <f aca="false">IF(OR($D1303="",单元查询!$B$3=""),"",IF($D1303&lt;&gt;单元查询!$B$3,"",IF(OR(单元查询!$D$3="",$E1303&amp;""=单元查询!$D$3&amp;""),IF(ISNUMBER($B1303),$B1303*10000,0)+ROW(),"")))</f>
        <v/>
      </c>
      <c r="U1303" s="0" t="str">
        <f aca="false">IF(OR($B1303="",$L1303="已完成"),"",IF(ISNUMBER($B1303),IF(设置!$B$6&lt;$B1303,"",(设置!$B$6-$B1303)*100000+ROW()),""))</f>
        <v/>
      </c>
      <c r="V1303" s="0" t="str">
        <f aca="false">IF(ISNUMBER($O1303),IF($O1303&gt;=2,IF(COUNTIFS($D1303:$D$2006,$D1303,$E1303:$E$2006,$E1303)=1,ROW(),""),""),"")</f>
        <v/>
      </c>
    </row>
    <row r="1304" customFormat="false" ht="15" hidden="false" customHeight="true" outlineLevel="0" collapsed="false">
      <c r="A1304" s="13" t="str">
        <f aca="false">IF(AND($B1304="",$D1304="",$E1304="",$F1304=""),"",IF(OR($B1304="",$D1304="",$E1304=""),"待补",IF($D1304="公共区域","公",IF($D1304="商铺","S",SUBSTITUTE($D1304,"栋","")))&amp;"-"&amp;$E1304&amp;"-"&amp;TEXT(MONTH($B1304),"00")&amp;TEXT(DAY($B1304),"00")&amp;IF(ISNUMBER($O1304),IF($O1304&gt;1,"-"&amp;TEXT($O1304,"00"),""),"")))</f>
        <v/>
      </c>
      <c r="B1304" s="14"/>
      <c r="C1304" s="10"/>
      <c r="D1304" s="10"/>
      <c r="E1304" s="10"/>
      <c r="F1304" s="16"/>
      <c r="G1304" s="10"/>
      <c r="H1304" s="10"/>
      <c r="I1304" s="10"/>
      <c r="J1304" s="10"/>
      <c r="K1304" s="10"/>
      <c r="L1304" s="10"/>
      <c r="M1304" s="14"/>
      <c r="N1304" s="17" t="str">
        <f aca="false">IF($B1304="","",IF($L1304="已完成",IF($M1304="","",$M1304-$B1304),IF(设置!$B$6&lt;$B1304,"",IF((设置!$B$6-$B1304)&gt;=设置!$B$5,"超期"&amp;(设置!$B$6-$B1304)&amp;"天","已等"&amp;(设置!$B$6-$B1304)&amp;"天"))))</f>
        <v/>
      </c>
      <c r="O1304" s="18" t="str">
        <f aca="false">IF(OR($D1304="",$E1304=""),"",COUNTIFS($D$7:$D1304,$D1304,$E$7:$E1304,$E1304))</f>
        <v/>
      </c>
      <c r="P1304" s="16"/>
      <c r="Q1304" s="19"/>
      <c r="R1304" s="10"/>
      <c r="S1304" s="16"/>
      <c r="T1304" s="0" t="str">
        <f aca="false">IF(OR($D1304="",单元查询!$B$3=""),"",IF($D1304&lt;&gt;单元查询!$B$3,"",IF(OR(单元查询!$D$3="",$E1304&amp;""=单元查询!$D$3&amp;""),IF(ISNUMBER($B1304),$B1304*10000,0)+ROW(),"")))</f>
        <v/>
      </c>
      <c r="U1304" s="0" t="str">
        <f aca="false">IF(OR($B1304="",$L1304="已完成"),"",IF(ISNUMBER($B1304),IF(设置!$B$6&lt;$B1304,"",(设置!$B$6-$B1304)*100000+ROW()),""))</f>
        <v/>
      </c>
      <c r="V1304" s="0" t="str">
        <f aca="false">IF(ISNUMBER($O1304),IF($O1304&gt;=2,IF(COUNTIFS($D1304:$D$2006,$D1304,$E1304:$E$2006,$E1304)=1,ROW(),""),""),"")</f>
        <v/>
      </c>
    </row>
    <row r="1305" customFormat="false" ht="15" hidden="false" customHeight="true" outlineLevel="0" collapsed="false">
      <c r="A1305" s="13" t="str">
        <f aca="false">IF(AND($B1305="",$D1305="",$E1305="",$F1305=""),"",IF(OR($B1305="",$D1305="",$E1305=""),"待补",IF($D1305="公共区域","公",IF($D1305="商铺","S",SUBSTITUTE($D1305,"栋","")))&amp;"-"&amp;$E1305&amp;"-"&amp;TEXT(MONTH($B1305),"00")&amp;TEXT(DAY($B1305),"00")&amp;IF(ISNUMBER($O1305),IF($O1305&gt;1,"-"&amp;TEXT($O1305,"00"),""),"")))</f>
        <v/>
      </c>
      <c r="B1305" s="14"/>
      <c r="C1305" s="10"/>
      <c r="D1305" s="10"/>
      <c r="E1305" s="10"/>
      <c r="F1305" s="16"/>
      <c r="G1305" s="10"/>
      <c r="H1305" s="10"/>
      <c r="I1305" s="10"/>
      <c r="J1305" s="10"/>
      <c r="K1305" s="10"/>
      <c r="L1305" s="10"/>
      <c r="M1305" s="14"/>
      <c r="N1305" s="17" t="str">
        <f aca="false">IF($B1305="","",IF($L1305="已完成",IF($M1305="","",$M1305-$B1305),IF(设置!$B$6&lt;$B1305,"",IF((设置!$B$6-$B1305)&gt;=设置!$B$5,"超期"&amp;(设置!$B$6-$B1305)&amp;"天","已等"&amp;(设置!$B$6-$B1305)&amp;"天"))))</f>
        <v/>
      </c>
      <c r="O1305" s="18" t="str">
        <f aca="false">IF(OR($D1305="",$E1305=""),"",COUNTIFS($D$7:$D1305,$D1305,$E$7:$E1305,$E1305))</f>
        <v/>
      </c>
      <c r="P1305" s="16"/>
      <c r="Q1305" s="19"/>
      <c r="R1305" s="10"/>
      <c r="S1305" s="16"/>
      <c r="T1305" s="0" t="str">
        <f aca="false">IF(OR($D1305="",单元查询!$B$3=""),"",IF($D1305&lt;&gt;单元查询!$B$3,"",IF(OR(单元查询!$D$3="",$E1305&amp;""=单元查询!$D$3&amp;""),IF(ISNUMBER($B1305),$B1305*10000,0)+ROW(),"")))</f>
        <v/>
      </c>
      <c r="U1305" s="0" t="str">
        <f aca="false">IF(OR($B1305="",$L1305="已完成"),"",IF(ISNUMBER($B1305),IF(设置!$B$6&lt;$B1305,"",(设置!$B$6-$B1305)*100000+ROW()),""))</f>
        <v/>
      </c>
      <c r="V1305" s="0" t="str">
        <f aca="false">IF(ISNUMBER($O1305),IF($O1305&gt;=2,IF(COUNTIFS($D1305:$D$2006,$D1305,$E1305:$E$2006,$E1305)=1,ROW(),""),""),"")</f>
        <v/>
      </c>
    </row>
    <row r="1306" customFormat="false" ht="15" hidden="false" customHeight="true" outlineLevel="0" collapsed="false">
      <c r="A1306" s="13" t="str">
        <f aca="false">IF(AND($B1306="",$D1306="",$E1306="",$F1306=""),"",IF(OR($B1306="",$D1306="",$E1306=""),"待补",IF($D1306="公共区域","公",IF($D1306="商铺","S",SUBSTITUTE($D1306,"栋","")))&amp;"-"&amp;$E1306&amp;"-"&amp;TEXT(MONTH($B1306),"00")&amp;TEXT(DAY($B1306),"00")&amp;IF(ISNUMBER($O1306),IF($O1306&gt;1,"-"&amp;TEXT($O1306,"00"),""),"")))</f>
        <v/>
      </c>
      <c r="B1306" s="14"/>
      <c r="C1306" s="10"/>
      <c r="D1306" s="10"/>
      <c r="E1306" s="10"/>
      <c r="F1306" s="16"/>
      <c r="G1306" s="10"/>
      <c r="H1306" s="10"/>
      <c r="I1306" s="10"/>
      <c r="J1306" s="10"/>
      <c r="K1306" s="10"/>
      <c r="L1306" s="10"/>
      <c r="M1306" s="14"/>
      <c r="N1306" s="17" t="str">
        <f aca="false">IF($B1306="","",IF($L1306="已完成",IF($M1306="","",$M1306-$B1306),IF(设置!$B$6&lt;$B1306,"",IF((设置!$B$6-$B1306)&gt;=设置!$B$5,"超期"&amp;(设置!$B$6-$B1306)&amp;"天","已等"&amp;(设置!$B$6-$B1306)&amp;"天"))))</f>
        <v/>
      </c>
      <c r="O1306" s="18" t="str">
        <f aca="false">IF(OR($D1306="",$E1306=""),"",COUNTIFS($D$7:$D1306,$D1306,$E$7:$E1306,$E1306))</f>
        <v/>
      </c>
      <c r="P1306" s="16"/>
      <c r="Q1306" s="19"/>
      <c r="R1306" s="10"/>
      <c r="S1306" s="16"/>
      <c r="T1306" s="0" t="str">
        <f aca="false">IF(OR($D1306="",单元查询!$B$3=""),"",IF($D1306&lt;&gt;单元查询!$B$3,"",IF(OR(单元查询!$D$3="",$E1306&amp;""=单元查询!$D$3&amp;""),IF(ISNUMBER($B1306),$B1306*10000,0)+ROW(),"")))</f>
        <v/>
      </c>
      <c r="U1306" s="0" t="str">
        <f aca="false">IF(OR($B1306="",$L1306="已完成"),"",IF(ISNUMBER($B1306),IF(设置!$B$6&lt;$B1306,"",(设置!$B$6-$B1306)*100000+ROW()),""))</f>
        <v/>
      </c>
      <c r="V1306" s="0" t="str">
        <f aca="false">IF(ISNUMBER($O1306),IF($O1306&gt;=2,IF(COUNTIFS($D1306:$D$2006,$D1306,$E1306:$E$2006,$E1306)=1,ROW(),""),""),"")</f>
        <v/>
      </c>
    </row>
    <row r="1307" customFormat="false" ht="15" hidden="false" customHeight="true" outlineLevel="0" collapsed="false">
      <c r="A1307" s="13" t="str">
        <f aca="false">IF(AND($B1307="",$D1307="",$E1307="",$F1307=""),"",IF(OR($B1307="",$D1307="",$E1307=""),"待补",IF($D1307="公共区域","公",IF($D1307="商铺","S",SUBSTITUTE($D1307,"栋","")))&amp;"-"&amp;$E1307&amp;"-"&amp;TEXT(MONTH($B1307),"00")&amp;TEXT(DAY($B1307),"00")&amp;IF(ISNUMBER($O1307),IF($O1307&gt;1,"-"&amp;TEXT($O1307,"00"),""),"")))</f>
        <v/>
      </c>
      <c r="B1307" s="14"/>
      <c r="C1307" s="10"/>
      <c r="D1307" s="10"/>
      <c r="E1307" s="10"/>
      <c r="F1307" s="16"/>
      <c r="G1307" s="10"/>
      <c r="H1307" s="10"/>
      <c r="I1307" s="10"/>
      <c r="J1307" s="10"/>
      <c r="K1307" s="10"/>
      <c r="L1307" s="10"/>
      <c r="M1307" s="14"/>
      <c r="N1307" s="17" t="str">
        <f aca="false">IF($B1307="","",IF($L1307="已完成",IF($M1307="","",$M1307-$B1307),IF(设置!$B$6&lt;$B1307,"",IF((设置!$B$6-$B1307)&gt;=设置!$B$5,"超期"&amp;(设置!$B$6-$B1307)&amp;"天","已等"&amp;(设置!$B$6-$B1307)&amp;"天"))))</f>
        <v/>
      </c>
      <c r="O1307" s="18" t="str">
        <f aca="false">IF(OR($D1307="",$E1307=""),"",COUNTIFS($D$7:$D1307,$D1307,$E$7:$E1307,$E1307))</f>
        <v/>
      </c>
      <c r="P1307" s="16"/>
      <c r="Q1307" s="19"/>
      <c r="R1307" s="10"/>
      <c r="S1307" s="16"/>
      <c r="T1307" s="0" t="str">
        <f aca="false">IF(OR($D1307="",单元查询!$B$3=""),"",IF($D1307&lt;&gt;单元查询!$B$3,"",IF(OR(单元查询!$D$3="",$E1307&amp;""=单元查询!$D$3&amp;""),IF(ISNUMBER($B1307),$B1307*10000,0)+ROW(),"")))</f>
        <v/>
      </c>
      <c r="U1307" s="0" t="str">
        <f aca="false">IF(OR($B1307="",$L1307="已完成"),"",IF(ISNUMBER($B1307),IF(设置!$B$6&lt;$B1307,"",(设置!$B$6-$B1307)*100000+ROW()),""))</f>
        <v/>
      </c>
      <c r="V1307" s="0" t="str">
        <f aca="false">IF(ISNUMBER($O1307),IF($O1307&gt;=2,IF(COUNTIFS($D1307:$D$2006,$D1307,$E1307:$E$2006,$E1307)=1,ROW(),""),""),"")</f>
        <v/>
      </c>
    </row>
    <row r="1308" customFormat="false" ht="15" hidden="false" customHeight="true" outlineLevel="0" collapsed="false">
      <c r="A1308" s="13" t="str">
        <f aca="false">IF(AND($B1308="",$D1308="",$E1308="",$F1308=""),"",IF(OR($B1308="",$D1308="",$E1308=""),"待补",IF($D1308="公共区域","公",IF($D1308="商铺","S",SUBSTITUTE($D1308,"栋","")))&amp;"-"&amp;$E1308&amp;"-"&amp;TEXT(MONTH($B1308),"00")&amp;TEXT(DAY($B1308),"00")&amp;IF(ISNUMBER($O1308),IF($O1308&gt;1,"-"&amp;TEXT($O1308,"00"),""),"")))</f>
        <v/>
      </c>
      <c r="B1308" s="14"/>
      <c r="C1308" s="10"/>
      <c r="D1308" s="10"/>
      <c r="E1308" s="10"/>
      <c r="F1308" s="16"/>
      <c r="G1308" s="10"/>
      <c r="H1308" s="10"/>
      <c r="I1308" s="10"/>
      <c r="J1308" s="10"/>
      <c r="K1308" s="10"/>
      <c r="L1308" s="10"/>
      <c r="M1308" s="14"/>
      <c r="N1308" s="17" t="str">
        <f aca="false">IF($B1308="","",IF($L1308="已完成",IF($M1308="","",$M1308-$B1308),IF(设置!$B$6&lt;$B1308,"",IF((设置!$B$6-$B1308)&gt;=设置!$B$5,"超期"&amp;(设置!$B$6-$B1308)&amp;"天","已等"&amp;(设置!$B$6-$B1308)&amp;"天"))))</f>
        <v/>
      </c>
      <c r="O1308" s="18" t="str">
        <f aca="false">IF(OR($D1308="",$E1308=""),"",COUNTIFS($D$7:$D1308,$D1308,$E$7:$E1308,$E1308))</f>
        <v/>
      </c>
      <c r="P1308" s="16"/>
      <c r="Q1308" s="19"/>
      <c r="R1308" s="10"/>
      <c r="S1308" s="16"/>
      <c r="T1308" s="0" t="str">
        <f aca="false">IF(OR($D1308="",单元查询!$B$3=""),"",IF($D1308&lt;&gt;单元查询!$B$3,"",IF(OR(单元查询!$D$3="",$E1308&amp;""=单元查询!$D$3&amp;""),IF(ISNUMBER($B1308),$B1308*10000,0)+ROW(),"")))</f>
        <v/>
      </c>
      <c r="U1308" s="0" t="str">
        <f aca="false">IF(OR($B1308="",$L1308="已完成"),"",IF(ISNUMBER($B1308),IF(设置!$B$6&lt;$B1308,"",(设置!$B$6-$B1308)*100000+ROW()),""))</f>
        <v/>
      </c>
      <c r="V1308" s="0" t="str">
        <f aca="false">IF(ISNUMBER($O1308),IF($O1308&gt;=2,IF(COUNTIFS($D1308:$D$2006,$D1308,$E1308:$E$2006,$E1308)=1,ROW(),""),""),"")</f>
        <v/>
      </c>
    </row>
    <row r="1309" customFormat="false" ht="15" hidden="false" customHeight="true" outlineLevel="0" collapsed="false">
      <c r="A1309" s="13" t="str">
        <f aca="false">IF(AND($B1309="",$D1309="",$E1309="",$F1309=""),"",IF(OR($B1309="",$D1309="",$E1309=""),"待补",IF($D1309="公共区域","公",IF($D1309="商铺","S",SUBSTITUTE($D1309,"栋","")))&amp;"-"&amp;$E1309&amp;"-"&amp;TEXT(MONTH($B1309),"00")&amp;TEXT(DAY($B1309),"00")&amp;IF(ISNUMBER($O1309),IF($O1309&gt;1,"-"&amp;TEXT($O1309,"00"),""),"")))</f>
        <v/>
      </c>
      <c r="B1309" s="14"/>
      <c r="C1309" s="10"/>
      <c r="D1309" s="10"/>
      <c r="E1309" s="10"/>
      <c r="F1309" s="16"/>
      <c r="G1309" s="10"/>
      <c r="H1309" s="10"/>
      <c r="I1309" s="10"/>
      <c r="J1309" s="10"/>
      <c r="K1309" s="10"/>
      <c r="L1309" s="10"/>
      <c r="M1309" s="14"/>
      <c r="N1309" s="17" t="str">
        <f aca="false">IF($B1309="","",IF($L1309="已完成",IF($M1309="","",$M1309-$B1309),IF(设置!$B$6&lt;$B1309,"",IF((设置!$B$6-$B1309)&gt;=设置!$B$5,"超期"&amp;(设置!$B$6-$B1309)&amp;"天","已等"&amp;(设置!$B$6-$B1309)&amp;"天"))))</f>
        <v/>
      </c>
      <c r="O1309" s="18" t="str">
        <f aca="false">IF(OR($D1309="",$E1309=""),"",COUNTIFS($D$7:$D1309,$D1309,$E$7:$E1309,$E1309))</f>
        <v/>
      </c>
      <c r="P1309" s="16"/>
      <c r="Q1309" s="19"/>
      <c r="R1309" s="10"/>
      <c r="S1309" s="16"/>
      <c r="T1309" s="0" t="str">
        <f aca="false">IF(OR($D1309="",单元查询!$B$3=""),"",IF($D1309&lt;&gt;单元查询!$B$3,"",IF(OR(单元查询!$D$3="",$E1309&amp;""=单元查询!$D$3&amp;""),IF(ISNUMBER($B1309),$B1309*10000,0)+ROW(),"")))</f>
        <v/>
      </c>
      <c r="U1309" s="0" t="str">
        <f aca="false">IF(OR($B1309="",$L1309="已完成"),"",IF(ISNUMBER($B1309),IF(设置!$B$6&lt;$B1309,"",(设置!$B$6-$B1309)*100000+ROW()),""))</f>
        <v/>
      </c>
      <c r="V1309" s="0" t="str">
        <f aca="false">IF(ISNUMBER($O1309),IF($O1309&gt;=2,IF(COUNTIFS($D1309:$D$2006,$D1309,$E1309:$E$2006,$E1309)=1,ROW(),""),""),"")</f>
        <v/>
      </c>
    </row>
    <row r="1310" customFormat="false" ht="15" hidden="false" customHeight="true" outlineLevel="0" collapsed="false">
      <c r="A1310" s="13" t="str">
        <f aca="false">IF(AND($B1310="",$D1310="",$E1310="",$F1310=""),"",IF(OR($B1310="",$D1310="",$E1310=""),"待补",IF($D1310="公共区域","公",IF($D1310="商铺","S",SUBSTITUTE($D1310,"栋","")))&amp;"-"&amp;$E1310&amp;"-"&amp;TEXT(MONTH($B1310),"00")&amp;TEXT(DAY($B1310),"00")&amp;IF(ISNUMBER($O1310),IF($O1310&gt;1,"-"&amp;TEXT($O1310,"00"),""),"")))</f>
        <v/>
      </c>
      <c r="B1310" s="14"/>
      <c r="C1310" s="10"/>
      <c r="D1310" s="10"/>
      <c r="E1310" s="10"/>
      <c r="F1310" s="16"/>
      <c r="G1310" s="10"/>
      <c r="H1310" s="10"/>
      <c r="I1310" s="10"/>
      <c r="J1310" s="10"/>
      <c r="K1310" s="10"/>
      <c r="L1310" s="10"/>
      <c r="M1310" s="14"/>
      <c r="N1310" s="17" t="str">
        <f aca="false">IF($B1310="","",IF($L1310="已完成",IF($M1310="","",$M1310-$B1310),IF(设置!$B$6&lt;$B1310,"",IF((设置!$B$6-$B1310)&gt;=设置!$B$5,"超期"&amp;(设置!$B$6-$B1310)&amp;"天","已等"&amp;(设置!$B$6-$B1310)&amp;"天"))))</f>
        <v/>
      </c>
      <c r="O1310" s="18" t="str">
        <f aca="false">IF(OR($D1310="",$E1310=""),"",COUNTIFS($D$7:$D1310,$D1310,$E$7:$E1310,$E1310))</f>
        <v/>
      </c>
      <c r="P1310" s="16"/>
      <c r="Q1310" s="19"/>
      <c r="R1310" s="10"/>
      <c r="S1310" s="16"/>
      <c r="T1310" s="0" t="str">
        <f aca="false">IF(OR($D1310="",单元查询!$B$3=""),"",IF($D1310&lt;&gt;单元查询!$B$3,"",IF(OR(单元查询!$D$3="",$E1310&amp;""=单元查询!$D$3&amp;""),IF(ISNUMBER($B1310),$B1310*10000,0)+ROW(),"")))</f>
        <v/>
      </c>
      <c r="U1310" s="0" t="str">
        <f aca="false">IF(OR($B1310="",$L1310="已完成"),"",IF(ISNUMBER($B1310),IF(设置!$B$6&lt;$B1310,"",(设置!$B$6-$B1310)*100000+ROW()),""))</f>
        <v/>
      </c>
      <c r="V1310" s="0" t="str">
        <f aca="false">IF(ISNUMBER($O1310),IF($O1310&gt;=2,IF(COUNTIFS($D1310:$D$2006,$D1310,$E1310:$E$2006,$E1310)=1,ROW(),""),""),"")</f>
        <v/>
      </c>
    </row>
    <row r="1311" customFormat="false" ht="15" hidden="false" customHeight="true" outlineLevel="0" collapsed="false">
      <c r="A1311" s="13" t="str">
        <f aca="false">IF(AND($B1311="",$D1311="",$E1311="",$F1311=""),"",IF(OR($B1311="",$D1311="",$E1311=""),"待补",IF($D1311="公共区域","公",IF($D1311="商铺","S",SUBSTITUTE($D1311,"栋","")))&amp;"-"&amp;$E1311&amp;"-"&amp;TEXT(MONTH($B1311),"00")&amp;TEXT(DAY($B1311),"00")&amp;IF(ISNUMBER($O1311),IF($O1311&gt;1,"-"&amp;TEXT($O1311,"00"),""),"")))</f>
        <v/>
      </c>
      <c r="B1311" s="14"/>
      <c r="C1311" s="10"/>
      <c r="D1311" s="10"/>
      <c r="E1311" s="10"/>
      <c r="F1311" s="16"/>
      <c r="G1311" s="10"/>
      <c r="H1311" s="10"/>
      <c r="I1311" s="10"/>
      <c r="J1311" s="10"/>
      <c r="K1311" s="10"/>
      <c r="L1311" s="10"/>
      <c r="M1311" s="14"/>
      <c r="N1311" s="17" t="str">
        <f aca="false">IF($B1311="","",IF($L1311="已完成",IF($M1311="","",$M1311-$B1311),IF(设置!$B$6&lt;$B1311,"",IF((设置!$B$6-$B1311)&gt;=设置!$B$5,"超期"&amp;(设置!$B$6-$B1311)&amp;"天","已等"&amp;(设置!$B$6-$B1311)&amp;"天"))))</f>
        <v/>
      </c>
      <c r="O1311" s="18" t="str">
        <f aca="false">IF(OR($D1311="",$E1311=""),"",COUNTIFS($D$7:$D1311,$D1311,$E$7:$E1311,$E1311))</f>
        <v/>
      </c>
      <c r="P1311" s="16"/>
      <c r="Q1311" s="19"/>
      <c r="R1311" s="10"/>
      <c r="S1311" s="16"/>
      <c r="T1311" s="0" t="str">
        <f aca="false">IF(OR($D1311="",单元查询!$B$3=""),"",IF($D1311&lt;&gt;单元查询!$B$3,"",IF(OR(单元查询!$D$3="",$E1311&amp;""=单元查询!$D$3&amp;""),IF(ISNUMBER($B1311),$B1311*10000,0)+ROW(),"")))</f>
        <v/>
      </c>
      <c r="U1311" s="0" t="str">
        <f aca="false">IF(OR($B1311="",$L1311="已完成"),"",IF(ISNUMBER($B1311),IF(设置!$B$6&lt;$B1311,"",(设置!$B$6-$B1311)*100000+ROW()),""))</f>
        <v/>
      </c>
      <c r="V1311" s="0" t="str">
        <f aca="false">IF(ISNUMBER($O1311),IF($O1311&gt;=2,IF(COUNTIFS($D1311:$D$2006,$D1311,$E1311:$E$2006,$E1311)=1,ROW(),""),""),"")</f>
        <v/>
      </c>
    </row>
    <row r="1312" customFormat="false" ht="15" hidden="false" customHeight="true" outlineLevel="0" collapsed="false">
      <c r="A1312" s="13" t="str">
        <f aca="false">IF(AND($B1312="",$D1312="",$E1312="",$F1312=""),"",IF(OR($B1312="",$D1312="",$E1312=""),"待补",IF($D1312="公共区域","公",IF($D1312="商铺","S",SUBSTITUTE($D1312,"栋","")))&amp;"-"&amp;$E1312&amp;"-"&amp;TEXT(MONTH($B1312),"00")&amp;TEXT(DAY($B1312),"00")&amp;IF(ISNUMBER($O1312),IF($O1312&gt;1,"-"&amp;TEXT($O1312,"00"),""),"")))</f>
        <v/>
      </c>
      <c r="B1312" s="14"/>
      <c r="C1312" s="10"/>
      <c r="D1312" s="10"/>
      <c r="E1312" s="10"/>
      <c r="F1312" s="16"/>
      <c r="G1312" s="10"/>
      <c r="H1312" s="10"/>
      <c r="I1312" s="10"/>
      <c r="J1312" s="10"/>
      <c r="K1312" s="10"/>
      <c r="L1312" s="10"/>
      <c r="M1312" s="14"/>
      <c r="N1312" s="17" t="str">
        <f aca="false">IF($B1312="","",IF($L1312="已完成",IF($M1312="","",$M1312-$B1312),IF(设置!$B$6&lt;$B1312,"",IF((设置!$B$6-$B1312)&gt;=设置!$B$5,"超期"&amp;(设置!$B$6-$B1312)&amp;"天","已等"&amp;(设置!$B$6-$B1312)&amp;"天"))))</f>
        <v/>
      </c>
      <c r="O1312" s="18" t="str">
        <f aca="false">IF(OR($D1312="",$E1312=""),"",COUNTIFS($D$7:$D1312,$D1312,$E$7:$E1312,$E1312))</f>
        <v/>
      </c>
      <c r="P1312" s="16"/>
      <c r="Q1312" s="19"/>
      <c r="R1312" s="10"/>
      <c r="S1312" s="16"/>
      <c r="T1312" s="0" t="str">
        <f aca="false">IF(OR($D1312="",单元查询!$B$3=""),"",IF($D1312&lt;&gt;单元查询!$B$3,"",IF(OR(单元查询!$D$3="",$E1312&amp;""=单元查询!$D$3&amp;""),IF(ISNUMBER($B1312),$B1312*10000,0)+ROW(),"")))</f>
        <v/>
      </c>
      <c r="U1312" s="0" t="str">
        <f aca="false">IF(OR($B1312="",$L1312="已完成"),"",IF(ISNUMBER($B1312),IF(设置!$B$6&lt;$B1312,"",(设置!$B$6-$B1312)*100000+ROW()),""))</f>
        <v/>
      </c>
      <c r="V1312" s="0" t="str">
        <f aca="false">IF(ISNUMBER($O1312),IF($O1312&gt;=2,IF(COUNTIFS($D1312:$D$2006,$D1312,$E1312:$E$2006,$E1312)=1,ROW(),""),""),"")</f>
        <v/>
      </c>
    </row>
    <row r="1313" customFormat="false" ht="15" hidden="false" customHeight="true" outlineLevel="0" collapsed="false">
      <c r="A1313" s="13" t="str">
        <f aca="false">IF(AND($B1313="",$D1313="",$E1313="",$F1313=""),"",IF(OR($B1313="",$D1313="",$E1313=""),"待补",IF($D1313="公共区域","公",IF($D1313="商铺","S",SUBSTITUTE($D1313,"栋","")))&amp;"-"&amp;$E1313&amp;"-"&amp;TEXT(MONTH($B1313),"00")&amp;TEXT(DAY($B1313),"00")&amp;IF(ISNUMBER($O1313),IF($O1313&gt;1,"-"&amp;TEXT($O1313,"00"),""),"")))</f>
        <v/>
      </c>
      <c r="B1313" s="14"/>
      <c r="C1313" s="10"/>
      <c r="D1313" s="10"/>
      <c r="E1313" s="10"/>
      <c r="F1313" s="16"/>
      <c r="G1313" s="10"/>
      <c r="H1313" s="10"/>
      <c r="I1313" s="10"/>
      <c r="J1313" s="10"/>
      <c r="K1313" s="10"/>
      <c r="L1313" s="10"/>
      <c r="M1313" s="14"/>
      <c r="N1313" s="17" t="str">
        <f aca="false">IF($B1313="","",IF($L1313="已完成",IF($M1313="","",$M1313-$B1313),IF(设置!$B$6&lt;$B1313,"",IF((设置!$B$6-$B1313)&gt;=设置!$B$5,"超期"&amp;(设置!$B$6-$B1313)&amp;"天","已等"&amp;(设置!$B$6-$B1313)&amp;"天"))))</f>
        <v/>
      </c>
      <c r="O1313" s="18" t="str">
        <f aca="false">IF(OR($D1313="",$E1313=""),"",COUNTIFS($D$7:$D1313,$D1313,$E$7:$E1313,$E1313))</f>
        <v/>
      </c>
      <c r="P1313" s="16"/>
      <c r="Q1313" s="19"/>
      <c r="R1313" s="10"/>
      <c r="S1313" s="16"/>
      <c r="T1313" s="0" t="str">
        <f aca="false">IF(OR($D1313="",单元查询!$B$3=""),"",IF($D1313&lt;&gt;单元查询!$B$3,"",IF(OR(单元查询!$D$3="",$E1313&amp;""=单元查询!$D$3&amp;""),IF(ISNUMBER($B1313),$B1313*10000,0)+ROW(),"")))</f>
        <v/>
      </c>
      <c r="U1313" s="0" t="str">
        <f aca="false">IF(OR($B1313="",$L1313="已完成"),"",IF(ISNUMBER($B1313),IF(设置!$B$6&lt;$B1313,"",(设置!$B$6-$B1313)*100000+ROW()),""))</f>
        <v/>
      </c>
      <c r="V1313" s="0" t="str">
        <f aca="false">IF(ISNUMBER($O1313),IF($O1313&gt;=2,IF(COUNTIFS($D1313:$D$2006,$D1313,$E1313:$E$2006,$E1313)=1,ROW(),""),""),"")</f>
        <v/>
      </c>
    </row>
    <row r="1314" customFormat="false" ht="15" hidden="false" customHeight="true" outlineLevel="0" collapsed="false">
      <c r="A1314" s="13" t="str">
        <f aca="false">IF(AND($B1314="",$D1314="",$E1314="",$F1314=""),"",IF(OR($B1314="",$D1314="",$E1314=""),"待补",IF($D1314="公共区域","公",IF($D1314="商铺","S",SUBSTITUTE($D1314,"栋","")))&amp;"-"&amp;$E1314&amp;"-"&amp;TEXT(MONTH($B1314),"00")&amp;TEXT(DAY($B1314),"00")&amp;IF(ISNUMBER($O1314),IF($O1314&gt;1,"-"&amp;TEXT($O1314,"00"),""),"")))</f>
        <v/>
      </c>
      <c r="B1314" s="14"/>
      <c r="C1314" s="10"/>
      <c r="D1314" s="10"/>
      <c r="E1314" s="10"/>
      <c r="F1314" s="16"/>
      <c r="G1314" s="10"/>
      <c r="H1314" s="10"/>
      <c r="I1314" s="10"/>
      <c r="J1314" s="10"/>
      <c r="K1314" s="10"/>
      <c r="L1314" s="10"/>
      <c r="M1314" s="14"/>
      <c r="N1314" s="17" t="str">
        <f aca="false">IF($B1314="","",IF($L1314="已完成",IF($M1314="","",$M1314-$B1314),IF(设置!$B$6&lt;$B1314,"",IF((设置!$B$6-$B1314)&gt;=设置!$B$5,"超期"&amp;(设置!$B$6-$B1314)&amp;"天","已等"&amp;(设置!$B$6-$B1314)&amp;"天"))))</f>
        <v/>
      </c>
      <c r="O1314" s="18" t="str">
        <f aca="false">IF(OR($D1314="",$E1314=""),"",COUNTIFS($D$7:$D1314,$D1314,$E$7:$E1314,$E1314))</f>
        <v/>
      </c>
      <c r="P1314" s="16"/>
      <c r="Q1314" s="19"/>
      <c r="R1314" s="10"/>
      <c r="S1314" s="16"/>
      <c r="T1314" s="0" t="str">
        <f aca="false">IF(OR($D1314="",单元查询!$B$3=""),"",IF($D1314&lt;&gt;单元查询!$B$3,"",IF(OR(单元查询!$D$3="",$E1314&amp;""=单元查询!$D$3&amp;""),IF(ISNUMBER($B1314),$B1314*10000,0)+ROW(),"")))</f>
        <v/>
      </c>
      <c r="U1314" s="0" t="str">
        <f aca="false">IF(OR($B1314="",$L1314="已完成"),"",IF(ISNUMBER($B1314),IF(设置!$B$6&lt;$B1314,"",(设置!$B$6-$B1314)*100000+ROW()),""))</f>
        <v/>
      </c>
      <c r="V1314" s="0" t="str">
        <f aca="false">IF(ISNUMBER($O1314),IF($O1314&gt;=2,IF(COUNTIFS($D1314:$D$2006,$D1314,$E1314:$E$2006,$E1314)=1,ROW(),""),""),"")</f>
        <v/>
      </c>
    </row>
    <row r="1315" customFormat="false" ht="15" hidden="false" customHeight="true" outlineLevel="0" collapsed="false">
      <c r="A1315" s="13" t="str">
        <f aca="false">IF(AND($B1315="",$D1315="",$E1315="",$F1315=""),"",IF(OR($B1315="",$D1315="",$E1315=""),"待补",IF($D1315="公共区域","公",IF($D1315="商铺","S",SUBSTITUTE($D1315,"栋","")))&amp;"-"&amp;$E1315&amp;"-"&amp;TEXT(MONTH($B1315),"00")&amp;TEXT(DAY($B1315),"00")&amp;IF(ISNUMBER($O1315),IF($O1315&gt;1,"-"&amp;TEXT($O1315,"00"),""),"")))</f>
        <v/>
      </c>
      <c r="B1315" s="14"/>
      <c r="C1315" s="10"/>
      <c r="D1315" s="10"/>
      <c r="E1315" s="10"/>
      <c r="F1315" s="16"/>
      <c r="G1315" s="10"/>
      <c r="H1315" s="10"/>
      <c r="I1315" s="10"/>
      <c r="J1315" s="10"/>
      <c r="K1315" s="10"/>
      <c r="L1315" s="10"/>
      <c r="M1315" s="14"/>
      <c r="N1315" s="17" t="str">
        <f aca="false">IF($B1315="","",IF($L1315="已完成",IF($M1315="","",$M1315-$B1315),IF(设置!$B$6&lt;$B1315,"",IF((设置!$B$6-$B1315)&gt;=设置!$B$5,"超期"&amp;(设置!$B$6-$B1315)&amp;"天","已等"&amp;(设置!$B$6-$B1315)&amp;"天"))))</f>
        <v/>
      </c>
      <c r="O1315" s="18" t="str">
        <f aca="false">IF(OR($D1315="",$E1315=""),"",COUNTIFS($D$7:$D1315,$D1315,$E$7:$E1315,$E1315))</f>
        <v/>
      </c>
      <c r="P1315" s="16"/>
      <c r="Q1315" s="19"/>
      <c r="R1315" s="10"/>
      <c r="S1315" s="16"/>
      <c r="T1315" s="0" t="str">
        <f aca="false">IF(OR($D1315="",单元查询!$B$3=""),"",IF($D1315&lt;&gt;单元查询!$B$3,"",IF(OR(单元查询!$D$3="",$E1315&amp;""=单元查询!$D$3&amp;""),IF(ISNUMBER($B1315),$B1315*10000,0)+ROW(),"")))</f>
        <v/>
      </c>
      <c r="U1315" s="0" t="str">
        <f aca="false">IF(OR($B1315="",$L1315="已完成"),"",IF(ISNUMBER($B1315),IF(设置!$B$6&lt;$B1315,"",(设置!$B$6-$B1315)*100000+ROW()),""))</f>
        <v/>
      </c>
      <c r="V1315" s="0" t="str">
        <f aca="false">IF(ISNUMBER($O1315),IF($O1315&gt;=2,IF(COUNTIFS($D1315:$D$2006,$D1315,$E1315:$E$2006,$E1315)=1,ROW(),""),""),"")</f>
        <v/>
      </c>
    </row>
    <row r="1316" customFormat="false" ht="15" hidden="false" customHeight="true" outlineLevel="0" collapsed="false">
      <c r="A1316" s="13" t="str">
        <f aca="false">IF(AND($B1316="",$D1316="",$E1316="",$F1316=""),"",IF(OR($B1316="",$D1316="",$E1316=""),"待补",IF($D1316="公共区域","公",IF($D1316="商铺","S",SUBSTITUTE($D1316,"栋","")))&amp;"-"&amp;$E1316&amp;"-"&amp;TEXT(MONTH($B1316),"00")&amp;TEXT(DAY($B1316),"00")&amp;IF(ISNUMBER($O1316),IF($O1316&gt;1,"-"&amp;TEXT($O1316,"00"),""),"")))</f>
        <v/>
      </c>
      <c r="B1316" s="14"/>
      <c r="C1316" s="10"/>
      <c r="D1316" s="10"/>
      <c r="E1316" s="10"/>
      <c r="F1316" s="16"/>
      <c r="G1316" s="10"/>
      <c r="H1316" s="10"/>
      <c r="I1316" s="10"/>
      <c r="J1316" s="10"/>
      <c r="K1316" s="10"/>
      <c r="L1316" s="10"/>
      <c r="M1316" s="14"/>
      <c r="N1316" s="17" t="str">
        <f aca="false">IF($B1316="","",IF($L1316="已完成",IF($M1316="","",$M1316-$B1316),IF(设置!$B$6&lt;$B1316,"",IF((设置!$B$6-$B1316)&gt;=设置!$B$5,"超期"&amp;(设置!$B$6-$B1316)&amp;"天","已等"&amp;(设置!$B$6-$B1316)&amp;"天"))))</f>
        <v/>
      </c>
      <c r="O1316" s="18" t="str">
        <f aca="false">IF(OR($D1316="",$E1316=""),"",COUNTIFS($D$7:$D1316,$D1316,$E$7:$E1316,$E1316))</f>
        <v/>
      </c>
      <c r="P1316" s="16"/>
      <c r="Q1316" s="19"/>
      <c r="R1316" s="10"/>
      <c r="S1316" s="16"/>
      <c r="T1316" s="0" t="str">
        <f aca="false">IF(OR($D1316="",单元查询!$B$3=""),"",IF($D1316&lt;&gt;单元查询!$B$3,"",IF(OR(单元查询!$D$3="",$E1316&amp;""=单元查询!$D$3&amp;""),IF(ISNUMBER($B1316),$B1316*10000,0)+ROW(),"")))</f>
        <v/>
      </c>
      <c r="U1316" s="0" t="str">
        <f aca="false">IF(OR($B1316="",$L1316="已完成"),"",IF(ISNUMBER($B1316),IF(设置!$B$6&lt;$B1316,"",(设置!$B$6-$B1316)*100000+ROW()),""))</f>
        <v/>
      </c>
      <c r="V1316" s="0" t="str">
        <f aca="false">IF(ISNUMBER($O1316),IF($O1316&gt;=2,IF(COUNTIFS($D1316:$D$2006,$D1316,$E1316:$E$2006,$E1316)=1,ROW(),""),""),"")</f>
        <v/>
      </c>
    </row>
    <row r="1317" customFormat="false" ht="15" hidden="false" customHeight="true" outlineLevel="0" collapsed="false">
      <c r="A1317" s="13" t="str">
        <f aca="false">IF(AND($B1317="",$D1317="",$E1317="",$F1317=""),"",IF(OR($B1317="",$D1317="",$E1317=""),"待补",IF($D1317="公共区域","公",IF($D1317="商铺","S",SUBSTITUTE($D1317,"栋","")))&amp;"-"&amp;$E1317&amp;"-"&amp;TEXT(MONTH($B1317),"00")&amp;TEXT(DAY($B1317),"00")&amp;IF(ISNUMBER($O1317),IF($O1317&gt;1,"-"&amp;TEXT($O1317,"00"),""),"")))</f>
        <v/>
      </c>
      <c r="B1317" s="14"/>
      <c r="C1317" s="10"/>
      <c r="D1317" s="10"/>
      <c r="E1317" s="10"/>
      <c r="F1317" s="16"/>
      <c r="G1317" s="10"/>
      <c r="H1317" s="10"/>
      <c r="I1317" s="10"/>
      <c r="J1317" s="10"/>
      <c r="K1317" s="10"/>
      <c r="L1317" s="10"/>
      <c r="M1317" s="14"/>
      <c r="N1317" s="17" t="str">
        <f aca="false">IF($B1317="","",IF($L1317="已完成",IF($M1317="","",$M1317-$B1317),IF(设置!$B$6&lt;$B1317,"",IF((设置!$B$6-$B1317)&gt;=设置!$B$5,"超期"&amp;(设置!$B$6-$B1317)&amp;"天","已等"&amp;(设置!$B$6-$B1317)&amp;"天"))))</f>
        <v/>
      </c>
      <c r="O1317" s="18" t="str">
        <f aca="false">IF(OR($D1317="",$E1317=""),"",COUNTIFS($D$7:$D1317,$D1317,$E$7:$E1317,$E1317))</f>
        <v/>
      </c>
      <c r="P1317" s="16"/>
      <c r="Q1317" s="19"/>
      <c r="R1317" s="10"/>
      <c r="S1317" s="16"/>
      <c r="T1317" s="0" t="str">
        <f aca="false">IF(OR($D1317="",单元查询!$B$3=""),"",IF($D1317&lt;&gt;单元查询!$B$3,"",IF(OR(单元查询!$D$3="",$E1317&amp;""=单元查询!$D$3&amp;""),IF(ISNUMBER($B1317),$B1317*10000,0)+ROW(),"")))</f>
        <v/>
      </c>
      <c r="U1317" s="0" t="str">
        <f aca="false">IF(OR($B1317="",$L1317="已完成"),"",IF(ISNUMBER($B1317),IF(设置!$B$6&lt;$B1317,"",(设置!$B$6-$B1317)*100000+ROW()),""))</f>
        <v/>
      </c>
      <c r="V1317" s="0" t="str">
        <f aca="false">IF(ISNUMBER($O1317),IF($O1317&gt;=2,IF(COUNTIFS($D1317:$D$2006,$D1317,$E1317:$E$2006,$E1317)=1,ROW(),""),""),"")</f>
        <v/>
      </c>
    </row>
    <row r="1318" customFormat="false" ht="15" hidden="false" customHeight="true" outlineLevel="0" collapsed="false">
      <c r="A1318" s="13" t="str">
        <f aca="false">IF(AND($B1318="",$D1318="",$E1318="",$F1318=""),"",IF(OR($B1318="",$D1318="",$E1318=""),"待补",IF($D1318="公共区域","公",IF($D1318="商铺","S",SUBSTITUTE($D1318,"栋","")))&amp;"-"&amp;$E1318&amp;"-"&amp;TEXT(MONTH($B1318),"00")&amp;TEXT(DAY($B1318),"00")&amp;IF(ISNUMBER($O1318),IF($O1318&gt;1,"-"&amp;TEXT($O1318,"00"),""),"")))</f>
        <v/>
      </c>
      <c r="B1318" s="14"/>
      <c r="C1318" s="10"/>
      <c r="D1318" s="10"/>
      <c r="E1318" s="10"/>
      <c r="F1318" s="16"/>
      <c r="G1318" s="10"/>
      <c r="H1318" s="10"/>
      <c r="I1318" s="10"/>
      <c r="J1318" s="10"/>
      <c r="K1318" s="10"/>
      <c r="L1318" s="10"/>
      <c r="M1318" s="14"/>
      <c r="N1318" s="17" t="str">
        <f aca="false">IF($B1318="","",IF($L1318="已完成",IF($M1318="","",$M1318-$B1318),IF(设置!$B$6&lt;$B1318,"",IF((设置!$B$6-$B1318)&gt;=设置!$B$5,"超期"&amp;(设置!$B$6-$B1318)&amp;"天","已等"&amp;(设置!$B$6-$B1318)&amp;"天"))))</f>
        <v/>
      </c>
      <c r="O1318" s="18" t="str">
        <f aca="false">IF(OR($D1318="",$E1318=""),"",COUNTIFS($D$7:$D1318,$D1318,$E$7:$E1318,$E1318))</f>
        <v/>
      </c>
      <c r="P1318" s="16"/>
      <c r="Q1318" s="19"/>
      <c r="R1318" s="10"/>
      <c r="S1318" s="16"/>
      <c r="T1318" s="0" t="str">
        <f aca="false">IF(OR($D1318="",单元查询!$B$3=""),"",IF($D1318&lt;&gt;单元查询!$B$3,"",IF(OR(单元查询!$D$3="",$E1318&amp;""=单元查询!$D$3&amp;""),IF(ISNUMBER($B1318),$B1318*10000,0)+ROW(),"")))</f>
        <v/>
      </c>
      <c r="U1318" s="0" t="str">
        <f aca="false">IF(OR($B1318="",$L1318="已完成"),"",IF(ISNUMBER($B1318),IF(设置!$B$6&lt;$B1318,"",(设置!$B$6-$B1318)*100000+ROW()),""))</f>
        <v/>
      </c>
      <c r="V1318" s="0" t="str">
        <f aca="false">IF(ISNUMBER($O1318),IF($O1318&gt;=2,IF(COUNTIFS($D1318:$D$2006,$D1318,$E1318:$E$2006,$E1318)=1,ROW(),""),""),"")</f>
        <v/>
      </c>
    </row>
    <row r="1319" customFormat="false" ht="15" hidden="false" customHeight="true" outlineLevel="0" collapsed="false">
      <c r="A1319" s="13" t="str">
        <f aca="false">IF(AND($B1319="",$D1319="",$E1319="",$F1319=""),"",IF(OR($B1319="",$D1319="",$E1319=""),"待补",IF($D1319="公共区域","公",IF($D1319="商铺","S",SUBSTITUTE($D1319,"栋","")))&amp;"-"&amp;$E1319&amp;"-"&amp;TEXT(MONTH($B1319),"00")&amp;TEXT(DAY($B1319),"00")&amp;IF(ISNUMBER($O1319),IF($O1319&gt;1,"-"&amp;TEXT($O1319,"00"),""),"")))</f>
        <v/>
      </c>
      <c r="B1319" s="14"/>
      <c r="C1319" s="10"/>
      <c r="D1319" s="10"/>
      <c r="E1319" s="10"/>
      <c r="F1319" s="16"/>
      <c r="G1319" s="10"/>
      <c r="H1319" s="10"/>
      <c r="I1319" s="10"/>
      <c r="J1319" s="10"/>
      <c r="K1319" s="10"/>
      <c r="L1319" s="10"/>
      <c r="M1319" s="14"/>
      <c r="N1319" s="17" t="str">
        <f aca="false">IF($B1319="","",IF($L1319="已完成",IF($M1319="","",$M1319-$B1319),IF(设置!$B$6&lt;$B1319,"",IF((设置!$B$6-$B1319)&gt;=设置!$B$5,"超期"&amp;(设置!$B$6-$B1319)&amp;"天","已等"&amp;(设置!$B$6-$B1319)&amp;"天"))))</f>
        <v/>
      </c>
      <c r="O1319" s="18" t="str">
        <f aca="false">IF(OR($D1319="",$E1319=""),"",COUNTIFS($D$7:$D1319,$D1319,$E$7:$E1319,$E1319))</f>
        <v/>
      </c>
      <c r="P1319" s="16"/>
      <c r="Q1319" s="19"/>
      <c r="R1319" s="10"/>
      <c r="S1319" s="16"/>
      <c r="T1319" s="0" t="str">
        <f aca="false">IF(OR($D1319="",单元查询!$B$3=""),"",IF($D1319&lt;&gt;单元查询!$B$3,"",IF(OR(单元查询!$D$3="",$E1319&amp;""=单元查询!$D$3&amp;""),IF(ISNUMBER($B1319),$B1319*10000,0)+ROW(),"")))</f>
        <v/>
      </c>
      <c r="U1319" s="0" t="str">
        <f aca="false">IF(OR($B1319="",$L1319="已完成"),"",IF(ISNUMBER($B1319),IF(设置!$B$6&lt;$B1319,"",(设置!$B$6-$B1319)*100000+ROW()),""))</f>
        <v/>
      </c>
      <c r="V1319" s="0" t="str">
        <f aca="false">IF(ISNUMBER($O1319),IF($O1319&gt;=2,IF(COUNTIFS($D1319:$D$2006,$D1319,$E1319:$E$2006,$E1319)=1,ROW(),""),""),"")</f>
        <v/>
      </c>
    </row>
    <row r="1320" customFormat="false" ht="15" hidden="false" customHeight="true" outlineLevel="0" collapsed="false">
      <c r="A1320" s="13" t="str">
        <f aca="false">IF(AND($B1320="",$D1320="",$E1320="",$F1320=""),"",IF(OR($B1320="",$D1320="",$E1320=""),"待补",IF($D1320="公共区域","公",IF($D1320="商铺","S",SUBSTITUTE($D1320,"栋","")))&amp;"-"&amp;$E1320&amp;"-"&amp;TEXT(MONTH($B1320),"00")&amp;TEXT(DAY($B1320),"00")&amp;IF(ISNUMBER($O1320),IF($O1320&gt;1,"-"&amp;TEXT($O1320,"00"),""),"")))</f>
        <v/>
      </c>
      <c r="B1320" s="14"/>
      <c r="C1320" s="10"/>
      <c r="D1320" s="10"/>
      <c r="E1320" s="10"/>
      <c r="F1320" s="16"/>
      <c r="G1320" s="10"/>
      <c r="H1320" s="10"/>
      <c r="I1320" s="10"/>
      <c r="J1320" s="10"/>
      <c r="K1320" s="10"/>
      <c r="L1320" s="10"/>
      <c r="M1320" s="14"/>
      <c r="N1320" s="17" t="str">
        <f aca="false">IF($B1320="","",IF($L1320="已完成",IF($M1320="","",$M1320-$B1320),IF(设置!$B$6&lt;$B1320,"",IF((设置!$B$6-$B1320)&gt;=设置!$B$5,"超期"&amp;(设置!$B$6-$B1320)&amp;"天","已等"&amp;(设置!$B$6-$B1320)&amp;"天"))))</f>
        <v/>
      </c>
      <c r="O1320" s="18" t="str">
        <f aca="false">IF(OR($D1320="",$E1320=""),"",COUNTIFS($D$7:$D1320,$D1320,$E$7:$E1320,$E1320))</f>
        <v/>
      </c>
      <c r="P1320" s="16"/>
      <c r="Q1320" s="19"/>
      <c r="R1320" s="10"/>
      <c r="S1320" s="16"/>
      <c r="T1320" s="0" t="str">
        <f aca="false">IF(OR($D1320="",单元查询!$B$3=""),"",IF($D1320&lt;&gt;单元查询!$B$3,"",IF(OR(单元查询!$D$3="",$E1320&amp;""=单元查询!$D$3&amp;""),IF(ISNUMBER($B1320),$B1320*10000,0)+ROW(),"")))</f>
        <v/>
      </c>
      <c r="U1320" s="0" t="str">
        <f aca="false">IF(OR($B1320="",$L1320="已完成"),"",IF(ISNUMBER($B1320),IF(设置!$B$6&lt;$B1320,"",(设置!$B$6-$B1320)*100000+ROW()),""))</f>
        <v/>
      </c>
      <c r="V1320" s="0" t="str">
        <f aca="false">IF(ISNUMBER($O1320),IF($O1320&gt;=2,IF(COUNTIFS($D1320:$D$2006,$D1320,$E1320:$E$2006,$E1320)=1,ROW(),""),""),"")</f>
        <v/>
      </c>
    </row>
    <row r="1321" customFormat="false" ht="15" hidden="false" customHeight="true" outlineLevel="0" collapsed="false">
      <c r="A1321" s="13" t="str">
        <f aca="false">IF(AND($B1321="",$D1321="",$E1321="",$F1321=""),"",IF(OR($B1321="",$D1321="",$E1321=""),"待补",IF($D1321="公共区域","公",IF($D1321="商铺","S",SUBSTITUTE($D1321,"栋","")))&amp;"-"&amp;$E1321&amp;"-"&amp;TEXT(MONTH($B1321),"00")&amp;TEXT(DAY($B1321),"00")&amp;IF(ISNUMBER($O1321),IF($O1321&gt;1,"-"&amp;TEXT($O1321,"00"),""),"")))</f>
        <v/>
      </c>
      <c r="B1321" s="14"/>
      <c r="C1321" s="10"/>
      <c r="D1321" s="10"/>
      <c r="E1321" s="10"/>
      <c r="F1321" s="16"/>
      <c r="G1321" s="10"/>
      <c r="H1321" s="10"/>
      <c r="I1321" s="10"/>
      <c r="J1321" s="10"/>
      <c r="K1321" s="10"/>
      <c r="L1321" s="10"/>
      <c r="M1321" s="14"/>
      <c r="N1321" s="17" t="str">
        <f aca="false">IF($B1321="","",IF($L1321="已完成",IF($M1321="","",$M1321-$B1321),IF(设置!$B$6&lt;$B1321,"",IF((设置!$B$6-$B1321)&gt;=设置!$B$5,"超期"&amp;(设置!$B$6-$B1321)&amp;"天","已等"&amp;(设置!$B$6-$B1321)&amp;"天"))))</f>
        <v/>
      </c>
      <c r="O1321" s="18" t="str">
        <f aca="false">IF(OR($D1321="",$E1321=""),"",COUNTIFS($D$7:$D1321,$D1321,$E$7:$E1321,$E1321))</f>
        <v/>
      </c>
      <c r="P1321" s="16"/>
      <c r="Q1321" s="19"/>
      <c r="R1321" s="10"/>
      <c r="S1321" s="16"/>
      <c r="T1321" s="0" t="str">
        <f aca="false">IF(OR($D1321="",单元查询!$B$3=""),"",IF($D1321&lt;&gt;单元查询!$B$3,"",IF(OR(单元查询!$D$3="",$E1321&amp;""=单元查询!$D$3&amp;""),IF(ISNUMBER($B1321),$B1321*10000,0)+ROW(),"")))</f>
        <v/>
      </c>
      <c r="U1321" s="0" t="str">
        <f aca="false">IF(OR($B1321="",$L1321="已完成"),"",IF(ISNUMBER($B1321),IF(设置!$B$6&lt;$B1321,"",(设置!$B$6-$B1321)*100000+ROW()),""))</f>
        <v/>
      </c>
      <c r="V1321" s="0" t="str">
        <f aca="false">IF(ISNUMBER($O1321),IF($O1321&gt;=2,IF(COUNTIFS($D1321:$D$2006,$D1321,$E1321:$E$2006,$E1321)=1,ROW(),""),""),"")</f>
        <v/>
      </c>
    </row>
    <row r="1322" customFormat="false" ht="15" hidden="false" customHeight="true" outlineLevel="0" collapsed="false">
      <c r="A1322" s="13" t="str">
        <f aca="false">IF(AND($B1322="",$D1322="",$E1322="",$F1322=""),"",IF(OR($B1322="",$D1322="",$E1322=""),"待补",IF($D1322="公共区域","公",IF($D1322="商铺","S",SUBSTITUTE($D1322,"栋","")))&amp;"-"&amp;$E1322&amp;"-"&amp;TEXT(MONTH($B1322),"00")&amp;TEXT(DAY($B1322),"00")&amp;IF(ISNUMBER($O1322),IF($O1322&gt;1,"-"&amp;TEXT($O1322,"00"),""),"")))</f>
        <v/>
      </c>
      <c r="B1322" s="14"/>
      <c r="C1322" s="10"/>
      <c r="D1322" s="10"/>
      <c r="E1322" s="10"/>
      <c r="F1322" s="16"/>
      <c r="G1322" s="10"/>
      <c r="H1322" s="10"/>
      <c r="I1322" s="10"/>
      <c r="J1322" s="10"/>
      <c r="K1322" s="10"/>
      <c r="L1322" s="10"/>
      <c r="M1322" s="14"/>
      <c r="N1322" s="17" t="str">
        <f aca="false">IF($B1322="","",IF($L1322="已完成",IF($M1322="","",$M1322-$B1322),IF(设置!$B$6&lt;$B1322,"",IF((设置!$B$6-$B1322)&gt;=设置!$B$5,"超期"&amp;(设置!$B$6-$B1322)&amp;"天","已等"&amp;(设置!$B$6-$B1322)&amp;"天"))))</f>
        <v/>
      </c>
      <c r="O1322" s="18" t="str">
        <f aca="false">IF(OR($D1322="",$E1322=""),"",COUNTIFS($D$7:$D1322,$D1322,$E$7:$E1322,$E1322))</f>
        <v/>
      </c>
      <c r="P1322" s="16"/>
      <c r="Q1322" s="19"/>
      <c r="R1322" s="10"/>
      <c r="S1322" s="16"/>
      <c r="T1322" s="0" t="str">
        <f aca="false">IF(OR($D1322="",单元查询!$B$3=""),"",IF($D1322&lt;&gt;单元查询!$B$3,"",IF(OR(单元查询!$D$3="",$E1322&amp;""=单元查询!$D$3&amp;""),IF(ISNUMBER($B1322),$B1322*10000,0)+ROW(),"")))</f>
        <v/>
      </c>
      <c r="U1322" s="0" t="str">
        <f aca="false">IF(OR($B1322="",$L1322="已完成"),"",IF(ISNUMBER($B1322),IF(设置!$B$6&lt;$B1322,"",(设置!$B$6-$B1322)*100000+ROW()),""))</f>
        <v/>
      </c>
      <c r="V1322" s="0" t="str">
        <f aca="false">IF(ISNUMBER($O1322),IF($O1322&gt;=2,IF(COUNTIFS($D1322:$D$2006,$D1322,$E1322:$E$2006,$E1322)=1,ROW(),""),""),"")</f>
        <v/>
      </c>
    </row>
    <row r="1323" customFormat="false" ht="15" hidden="false" customHeight="true" outlineLevel="0" collapsed="false">
      <c r="A1323" s="13" t="str">
        <f aca="false">IF(AND($B1323="",$D1323="",$E1323="",$F1323=""),"",IF(OR($B1323="",$D1323="",$E1323=""),"待补",IF($D1323="公共区域","公",IF($D1323="商铺","S",SUBSTITUTE($D1323,"栋","")))&amp;"-"&amp;$E1323&amp;"-"&amp;TEXT(MONTH($B1323),"00")&amp;TEXT(DAY($B1323),"00")&amp;IF(ISNUMBER($O1323),IF($O1323&gt;1,"-"&amp;TEXT($O1323,"00"),""),"")))</f>
        <v/>
      </c>
      <c r="B1323" s="14"/>
      <c r="C1323" s="10"/>
      <c r="D1323" s="10"/>
      <c r="E1323" s="10"/>
      <c r="F1323" s="16"/>
      <c r="G1323" s="10"/>
      <c r="H1323" s="10"/>
      <c r="I1323" s="10"/>
      <c r="J1323" s="10"/>
      <c r="K1323" s="10"/>
      <c r="L1323" s="10"/>
      <c r="M1323" s="14"/>
      <c r="N1323" s="17" t="str">
        <f aca="false">IF($B1323="","",IF($L1323="已完成",IF($M1323="","",$M1323-$B1323),IF(设置!$B$6&lt;$B1323,"",IF((设置!$B$6-$B1323)&gt;=设置!$B$5,"超期"&amp;(设置!$B$6-$B1323)&amp;"天","已等"&amp;(设置!$B$6-$B1323)&amp;"天"))))</f>
        <v/>
      </c>
      <c r="O1323" s="18" t="str">
        <f aca="false">IF(OR($D1323="",$E1323=""),"",COUNTIFS($D$7:$D1323,$D1323,$E$7:$E1323,$E1323))</f>
        <v/>
      </c>
      <c r="P1323" s="16"/>
      <c r="Q1323" s="19"/>
      <c r="R1323" s="10"/>
      <c r="S1323" s="16"/>
      <c r="T1323" s="0" t="str">
        <f aca="false">IF(OR($D1323="",单元查询!$B$3=""),"",IF($D1323&lt;&gt;单元查询!$B$3,"",IF(OR(单元查询!$D$3="",$E1323&amp;""=单元查询!$D$3&amp;""),IF(ISNUMBER($B1323),$B1323*10000,0)+ROW(),"")))</f>
        <v/>
      </c>
      <c r="U1323" s="0" t="str">
        <f aca="false">IF(OR($B1323="",$L1323="已完成"),"",IF(ISNUMBER($B1323),IF(设置!$B$6&lt;$B1323,"",(设置!$B$6-$B1323)*100000+ROW()),""))</f>
        <v/>
      </c>
      <c r="V1323" s="0" t="str">
        <f aca="false">IF(ISNUMBER($O1323),IF($O1323&gt;=2,IF(COUNTIFS($D1323:$D$2006,$D1323,$E1323:$E$2006,$E1323)=1,ROW(),""),""),"")</f>
        <v/>
      </c>
    </row>
    <row r="1324" customFormat="false" ht="15" hidden="false" customHeight="true" outlineLevel="0" collapsed="false">
      <c r="A1324" s="13" t="str">
        <f aca="false">IF(AND($B1324="",$D1324="",$E1324="",$F1324=""),"",IF(OR($B1324="",$D1324="",$E1324=""),"待补",IF($D1324="公共区域","公",IF($D1324="商铺","S",SUBSTITUTE($D1324,"栋","")))&amp;"-"&amp;$E1324&amp;"-"&amp;TEXT(MONTH($B1324),"00")&amp;TEXT(DAY($B1324),"00")&amp;IF(ISNUMBER($O1324),IF($O1324&gt;1,"-"&amp;TEXT($O1324,"00"),""),"")))</f>
        <v/>
      </c>
      <c r="B1324" s="14"/>
      <c r="C1324" s="10"/>
      <c r="D1324" s="10"/>
      <c r="E1324" s="10"/>
      <c r="F1324" s="16"/>
      <c r="G1324" s="10"/>
      <c r="H1324" s="10"/>
      <c r="I1324" s="10"/>
      <c r="J1324" s="10"/>
      <c r="K1324" s="10"/>
      <c r="L1324" s="10"/>
      <c r="M1324" s="14"/>
      <c r="N1324" s="17" t="str">
        <f aca="false">IF($B1324="","",IF($L1324="已完成",IF($M1324="","",$M1324-$B1324),IF(设置!$B$6&lt;$B1324,"",IF((设置!$B$6-$B1324)&gt;=设置!$B$5,"超期"&amp;(设置!$B$6-$B1324)&amp;"天","已等"&amp;(设置!$B$6-$B1324)&amp;"天"))))</f>
        <v/>
      </c>
      <c r="O1324" s="18" t="str">
        <f aca="false">IF(OR($D1324="",$E1324=""),"",COUNTIFS($D$7:$D1324,$D1324,$E$7:$E1324,$E1324))</f>
        <v/>
      </c>
      <c r="P1324" s="16"/>
      <c r="Q1324" s="19"/>
      <c r="R1324" s="10"/>
      <c r="S1324" s="16"/>
      <c r="T1324" s="0" t="str">
        <f aca="false">IF(OR($D1324="",单元查询!$B$3=""),"",IF($D1324&lt;&gt;单元查询!$B$3,"",IF(OR(单元查询!$D$3="",$E1324&amp;""=单元查询!$D$3&amp;""),IF(ISNUMBER($B1324),$B1324*10000,0)+ROW(),"")))</f>
        <v/>
      </c>
      <c r="U1324" s="0" t="str">
        <f aca="false">IF(OR($B1324="",$L1324="已完成"),"",IF(ISNUMBER($B1324),IF(设置!$B$6&lt;$B1324,"",(设置!$B$6-$B1324)*100000+ROW()),""))</f>
        <v/>
      </c>
      <c r="V1324" s="0" t="str">
        <f aca="false">IF(ISNUMBER($O1324),IF($O1324&gt;=2,IF(COUNTIFS($D1324:$D$2006,$D1324,$E1324:$E$2006,$E1324)=1,ROW(),""),""),"")</f>
        <v/>
      </c>
    </row>
    <row r="1325" customFormat="false" ht="15" hidden="false" customHeight="true" outlineLevel="0" collapsed="false">
      <c r="A1325" s="13" t="str">
        <f aca="false">IF(AND($B1325="",$D1325="",$E1325="",$F1325=""),"",IF(OR($B1325="",$D1325="",$E1325=""),"待补",IF($D1325="公共区域","公",IF($D1325="商铺","S",SUBSTITUTE($D1325,"栋","")))&amp;"-"&amp;$E1325&amp;"-"&amp;TEXT(MONTH($B1325),"00")&amp;TEXT(DAY($B1325),"00")&amp;IF(ISNUMBER($O1325),IF($O1325&gt;1,"-"&amp;TEXT($O1325,"00"),""),"")))</f>
        <v/>
      </c>
      <c r="B1325" s="14"/>
      <c r="C1325" s="10"/>
      <c r="D1325" s="10"/>
      <c r="E1325" s="10"/>
      <c r="F1325" s="16"/>
      <c r="G1325" s="10"/>
      <c r="H1325" s="10"/>
      <c r="I1325" s="10"/>
      <c r="J1325" s="10"/>
      <c r="K1325" s="10"/>
      <c r="L1325" s="10"/>
      <c r="M1325" s="14"/>
      <c r="N1325" s="17" t="str">
        <f aca="false">IF($B1325="","",IF($L1325="已完成",IF($M1325="","",$M1325-$B1325),IF(设置!$B$6&lt;$B1325,"",IF((设置!$B$6-$B1325)&gt;=设置!$B$5,"超期"&amp;(设置!$B$6-$B1325)&amp;"天","已等"&amp;(设置!$B$6-$B1325)&amp;"天"))))</f>
        <v/>
      </c>
      <c r="O1325" s="18" t="str">
        <f aca="false">IF(OR($D1325="",$E1325=""),"",COUNTIFS($D$7:$D1325,$D1325,$E$7:$E1325,$E1325))</f>
        <v/>
      </c>
      <c r="P1325" s="16"/>
      <c r="Q1325" s="19"/>
      <c r="R1325" s="10"/>
      <c r="S1325" s="16"/>
      <c r="T1325" s="0" t="str">
        <f aca="false">IF(OR($D1325="",单元查询!$B$3=""),"",IF($D1325&lt;&gt;单元查询!$B$3,"",IF(OR(单元查询!$D$3="",$E1325&amp;""=单元查询!$D$3&amp;""),IF(ISNUMBER($B1325),$B1325*10000,0)+ROW(),"")))</f>
        <v/>
      </c>
      <c r="U1325" s="0" t="str">
        <f aca="false">IF(OR($B1325="",$L1325="已完成"),"",IF(ISNUMBER($B1325),IF(设置!$B$6&lt;$B1325,"",(设置!$B$6-$B1325)*100000+ROW()),""))</f>
        <v/>
      </c>
      <c r="V1325" s="0" t="str">
        <f aca="false">IF(ISNUMBER($O1325),IF($O1325&gt;=2,IF(COUNTIFS($D1325:$D$2006,$D1325,$E1325:$E$2006,$E1325)=1,ROW(),""),""),"")</f>
        <v/>
      </c>
    </row>
    <row r="1326" customFormat="false" ht="15" hidden="false" customHeight="true" outlineLevel="0" collapsed="false">
      <c r="A1326" s="13" t="str">
        <f aca="false">IF(AND($B1326="",$D1326="",$E1326="",$F1326=""),"",IF(OR($B1326="",$D1326="",$E1326=""),"待补",IF($D1326="公共区域","公",IF($D1326="商铺","S",SUBSTITUTE($D1326,"栋","")))&amp;"-"&amp;$E1326&amp;"-"&amp;TEXT(MONTH($B1326),"00")&amp;TEXT(DAY($B1326),"00")&amp;IF(ISNUMBER($O1326),IF($O1326&gt;1,"-"&amp;TEXT($O1326,"00"),""),"")))</f>
        <v/>
      </c>
      <c r="B1326" s="14"/>
      <c r="C1326" s="10"/>
      <c r="D1326" s="10"/>
      <c r="E1326" s="10"/>
      <c r="F1326" s="16"/>
      <c r="G1326" s="10"/>
      <c r="H1326" s="10"/>
      <c r="I1326" s="10"/>
      <c r="J1326" s="10"/>
      <c r="K1326" s="10"/>
      <c r="L1326" s="10"/>
      <c r="M1326" s="14"/>
      <c r="N1326" s="17" t="str">
        <f aca="false">IF($B1326="","",IF($L1326="已完成",IF($M1326="","",$M1326-$B1326),IF(设置!$B$6&lt;$B1326,"",IF((设置!$B$6-$B1326)&gt;=设置!$B$5,"超期"&amp;(设置!$B$6-$B1326)&amp;"天","已等"&amp;(设置!$B$6-$B1326)&amp;"天"))))</f>
        <v/>
      </c>
      <c r="O1326" s="18" t="str">
        <f aca="false">IF(OR($D1326="",$E1326=""),"",COUNTIFS($D$7:$D1326,$D1326,$E$7:$E1326,$E1326))</f>
        <v/>
      </c>
      <c r="P1326" s="16"/>
      <c r="Q1326" s="19"/>
      <c r="R1326" s="10"/>
      <c r="S1326" s="16"/>
      <c r="T1326" s="0" t="str">
        <f aca="false">IF(OR($D1326="",单元查询!$B$3=""),"",IF($D1326&lt;&gt;单元查询!$B$3,"",IF(OR(单元查询!$D$3="",$E1326&amp;""=单元查询!$D$3&amp;""),IF(ISNUMBER($B1326),$B1326*10000,0)+ROW(),"")))</f>
        <v/>
      </c>
      <c r="U1326" s="0" t="str">
        <f aca="false">IF(OR($B1326="",$L1326="已完成"),"",IF(ISNUMBER($B1326),IF(设置!$B$6&lt;$B1326,"",(设置!$B$6-$B1326)*100000+ROW()),""))</f>
        <v/>
      </c>
      <c r="V1326" s="0" t="str">
        <f aca="false">IF(ISNUMBER($O1326),IF($O1326&gt;=2,IF(COUNTIFS($D1326:$D$2006,$D1326,$E1326:$E$2006,$E1326)=1,ROW(),""),""),"")</f>
        <v/>
      </c>
    </row>
    <row r="1327" customFormat="false" ht="15" hidden="false" customHeight="true" outlineLevel="0" collapsed="false">
      <c r="A1327" s="13" t="str">
        <f aca="false">IF(AND($B1327="",$D1327="",$E1327="",$F1327=""),"",IF(OR($B1327="",$D1327="",$E1327=""),"待补",IF($D1327="公共区域","公",IF($D1327="商铺","S",SUBSTITUTE($D1327,"栋","")))&amp;"-"&amp;$E1327&amp;"-"&amp;TEXT(MONTH($B1327),"00")&amp;TEXT(DAY($B1327),"00")&amp;IF(ISNUMBER($O1327),IF($O1327&gt;1,"-"&amp;TEXT($O1327,"00"),""),"")))</f>
        <v/>
      </c>
      <c r="B1327" s="14"/>
      <c r="C1327" s="10"/>
      <c r="D1327" s="10"/>
      <c r="E1327" s="10"/>
      <c r="F1327" s="16"/>
      <c r="G1327" s="10"/>
      <c r="H1327" s="10"/>
      <c r="I1327" s="10"/>
      <c r="J1327" s="10"/>
      <c r="K1327" s="10"/>
      <c r="L1327" s="10"/>
      <c r="M1327" s="14"/>
      <c r="N1327" s="17" t="str">
        <f aca="false">IF($B1327="","",IF($L1327="已完成",IF($M1327="","",$M1327-$B1327),IF(设置!$B$6&lt;$B1327,"",IF((设置!$B$6-$B1327)&gt;=设置!$B$5,"超期"&amp;(设置!$B$6-$B1327)&amp;"天","已等"&amp;(设置!$B$6-$B1327)&amp;"天"))))</f>
        <v/>
      </c>
      <c r="O1327" s="18" t="str">
        <f aca="false">IF(OR($D1327="",$E1327=""),"",COUNTIFS($D$7:$D1327,$D1327,$E$7:$E1327,$E1327))</f>
        <v/>
      </c>
      <c r="P1327" s="16"/>
      <c r="Q1327" s="19"/>
      <c r="R1327" s="10"/>
      <c r="S1327" s="16"/>
      <c r="T1327" s="0" t="str">
        <f aca="false">IF(OR($D1327="",单元查询!$B$3=""),"",IF($D1327&lt;&gt;单元查询!$B$3,"",IF(OR(单元查询!$D$3="",$E1327&amp;""=单元查询!$D$3&amp;""),IF(ISNUMBER($B1327),$B1327*10000,0)+ROW(),"")))</f>
        <v/>
      </c>
      <c r="U1327" s="0" t="str">
        <f aca="false">IF(OR($B1327="",$L1327="已完成"),"",IF(ISNUMBER($B1327),IF(设置!$B$6&lt;$B1327,"",(设置!$B$6-$B1327)*100000+ROW()),""))</f>
        <v/>
      </c>
      <c r="V1327" s="0" t="str">
        <f aca="false">IF(ISNUMBER($O1327),IF($O1327&gt;=2,IF(COUNTIFS($D1327:$D$2006,$D1327,$E1327:$E$2006,$E1327)=1,ROW(),""),""),"")</f>
        <v/>
      </c>
    </row>
    <row r="1328" customFormat="false" ht="15" hidden="false" customHeight="true" outlineLevel="0" collapsed="false">
      <c r="A1328" s="13" t="str">
        <f aca="false">IF(AND($B1328="",$D1328="",$E1328="",$F1328=""),"",IF(OR($B1328="",$D1328="",$E1328=""),"待补",IF($D1328="公共区域","公",IF($D1328="商铺","S",SUBSTITUTE($D1328,"栋","")))&amp;"-"&amp;$E1328&amp;"-"&amp;TEXT(MONTH($B1328),"00")&amp;TEXT(DAY($B1328),"00")&amp;IF(ISNUMBER($O1328),IF($O1328&gt;1,"-"&amp;TEXT($O1328,"00"),""),"")))</f>
        <v/>
      </c>
      <c r="B1328" s="14"/>
      <c r="C1328" s="10"/>
      <c r="D1328" s="10"/>
      <c r="E1328" s="10"/>
      <c r="F1328" s="16"/>
      <c r="G1328" s="10"/>
      <c r="H1328" s="10"/>
      <c r="I1328" s="10"/>
      <c r="J1328" s="10"/>
      <c r="K1328" s="10"/>
      <c r="L1328" s="10"/>
      <c r="M1328" s="14"/>
      <c r="N1328" s="17" t="str">
        <f aca="false">IF($B1328="","",IF($L1328="已完成",IF($M1328="","",$M1328-$B1328),IF(设置!$B$6&lt;$B1328,"",IF((设置!$B$6-$B1328)&gt;=设置!$B$5,"超期"&amp;(设置!$B$6-$B1328)&amp;"天","已等"&amp;(设置!$B$6-$B1328)&amp;"天"))))</f>
        <v/>
      </c>
      <c r="O1328" s="18" t="str">
        <f aca="false">IF(OR($D1328="",$E1328=""),"",COUNTIFS($D$7:$D1328,$D1328,$E$7:$E1328,$E1328))</f>
        <v/>
      </c>
      <c r="P1328" s="16"/>
      <c r="Q1328" s="19"/>
      <c r="R1328" s="10"/>
      <c r="S1328" s="16"/>
      <c r="T1328" s="0" t="str">
        <f aca="false">IF(OR($D1328="",单元查询!$B$3=""),"",IF($D1328&lt;&gt;单元查询!$B$3,"",IF(OR(单元查询!$D$3="",$E1328&amp;""=单元查询!$D$3&amp;""),IF(ISNUMBER($B1328),$B1328*10000,0)+ROW(),"")))</f>
        <v/>
      </c>
      <c r="U1328" s="0" t="str">
        <f aca="false">IF(OR($B1328="",$L1328="已完成"),"",IF(ISNUMBER($B1328),IF(设置!$B$6&lt;$B1328,"",(设置!$B$6-$B1328)*100000+ROW()),""))</f>
        <v/>
      </c>
      <c r="V1328" s="0" t="str">
        <f aca="false">IF(ISNUMBER($O1328),IF($O1328&gt;=2,IF(COUNTIFS($D1328:$D$2006,$D1328,$E1328:$E$2006,$E1328)=1,ROW(),""),""),"")</f>
        <v/>
      </c>
    </row>
    <row r="1329" customFormat="false" ht="15" hidden="false" customHeight="true" outlineLevel="0" collapsed="false">
      <c r="A1329" s="13" t="str">
        <f aca="false">IF(AND($B1329="",$D1329="",$E1329="",$F1329=""),"",IF(OR($B1329="",$D1329="",$E1329=""),"待补",IF($D1329="公共区域","公",IF($D1329="商铺","S",SUBSTITUTE($D1329,"栋","")))&amp;"-"&amp;$E1329&amp;"-"&amp;TEXT(MONTH($B1329),"00")&amp;TEXT(DAY($B1329),"00")&amp;IF(ISNUMBER($O1329),IF($O1329&gt;1,"-"&amp;TEXT($O1329,"00"),""),"")))</f>
        <v/>
      </c>
      <c r="B1329" s="14"/>
      <c r="C1329" s="10"/>
      <c r="D1329" s="10"/>
      <c r="E1329" s="10"/>
      <c r="F1329" s="16"/>
      <c r="G1329" s="10"/>
      <c r="H1329" s="10"/>
      <c r="I1329" s="10"/>
      <c r="J1329" s="10"/>
      <c r="K1329" s="10"/>
      <c r="L1329" s="10"/>
      <c r="M1329" s="14"/>
      <c r="N1329" s="17" t="str">
        <f aca="false">IF($B1329="","",IF($L1329="已完成",IF($M1329="","",$M1329-$B1329),IF(设置!$B$6&lt;$B1329,"",IF((设置!$B$6-$B1329)&gt;=设置!$B$5,"超期"&amp;(设置!$B$6-$B1329)&amp;"天","已等"&amp;(设置!$B$6-$B1329)&amp;"天"))))</f>
        <v/>
      </c>
      <c r="O1329" s="18" t="str">
        <f aca="false">IF(OR($D1329="",$E1329=""),"",COUNTIFS($D$7:$D1329,$D1329,$E$7:$E1329,$E1329))</f>
        <v/>
      </c>
      <c r="P1329" s="16"/>
      <c r="Q1329" s="19"/>
      <c r="R1329" s="10"/>
      <c r="S1329" s="16"/>
      <c r="T1329" s="0" t="str">
        <f aca="false">IF(OR($D1329="",单元查询!$B$3=""),"",IF($D1329&lt;&gt;单元查询!$B$3,"",IF(OR(单元查询!$D$3="",$E1329&amp;""=单元查询!$D$3&amp;""),IF(ISNUMBER($B1329),$B1329*10000,0)+ROW(),"")))</f>
        <v/>
      </c>
      <c r="U1329" s="0" t="str">
        <f aca="false">IF(OR($B1329="",$L1329="已完成"),"",IF(ISNUMBER($B1329),IF(设置!$B$6&lt;$B1329,"",(设置!$B$6-$B1329)*100000+ROW()),""))</f>
        <v/>
      </c>
      <c r="V1329" s="0" t="str">
        <f aca="false">IF(ISNUMBER($O1329),IF($O1329&gt;=2,IF(COUNTIFS($D1329:$D$2006,$D1329,$E1329:$E$2006,$E1329)=1,ROW(),""),""),"")</f>
        <v/>
      </c>
    </row>
    <row r="1330" customFormat="false" ht="15" hidden="false" customHeight="true" outlineLevel="0" collapsed="false">
      <c r="A1330" s="13" t="str">
        <f aca="false">IF(AND($B1330="",$D1330="",$E1330="",$F1330=""),"",IF(OR($B1330="",$D1330="",$E1330=""),"待补",IF($D1330="公共区域","公",IF($D1330="商铺","S",SUBSTITUTE($D1330,"栋","")))&amp;"-"&amp;$E1330&amp;"-"&amp;TEXT(MONTH($B1330),"00")&amp;TEXT(DAY($B1330),"00")&amp;IF(ISNUMBER($O1330),IF($O1330&gt;1,"-"&amp;TEXT($O1330,"00"),""),"")))</f>
        <v/>
      </c>
      <c r="B1330" s="14"/>
      <c r="C1330" s="10"/>
      <c r="D1330" s="10"/>
      <c r="E1330" s="10"/>
      <c r="F1330" s="16"/>
      <c r="G1330" s="10"/>
      <c r="H1330" s="10"/>
      <c r="I1330" s="10"/>
      <c r="J1330" s="10"/>
      <c r="K1330" s="10"/>
      <c r="L1330" s="10"/>
      <c r="M1330" s="14"/>
      <c r="N1330" s="17" t="str">
        <f aca="false">IF($B1330="","",IF($L1330="已完成",IF($M1330="","",$M1330-$B1330),IF(设置!$B$6&lt;$B1330,"",IF((设置!$B$6-$B1330)&gt;=设置!$B$5,"超期"&amp;(设置!$B$6-$B1330)&amp;"天","已等"&amp;(设置!$B$6-$B1330)&amp;"天"))))</f>
        <v/>
      </c>
      <c r="O1330" s="18" t="str">
        <f aca="false">IF(OR($D1330="",$E1330=""),"",COUNTIFS($D$7:$D1330,$D1330,$E$7:$E1330,$E1330))</f>
        <v/>
      </c>
      <c r="P1330" s="16"/>
      <c r="Q1330" s="19"/>
      <c r="R1330" s="10"/>
      <c r="S1330" s="16"/>
      <c r="T1330" s="0" t="str">
        <f aca="false">IF(OR($D1330="",单元查询!$B$3=""),"",IF($D1330&lt;&gt;单元查询!$B$3,"",IF(OR(单元查询!$D$3="",$E1330&amp;""=单元查询!$D$3&amp;""),IF(ISNUMBER($B1330),$B1330*10000,0)+ROW(),"")))</f>
        <v/>
      </c>
      <c r="U1330" s="0" t="str">
        <f aca="false">IF(OR($B1330="",$L1330="已完成"),"",IF(ISNUMBER($B1330),IF(设置!$B$6&lt;$B1330,"",(设置!$B$6-$B1330)*100000+ROW()),""))</f>
        <v/>
      </c>
      <c r="V1330" s="0" t="str">
        <f aca="false">IF(ISNUMBER($O1330),IF($O1330&gt;=2,IF(COUNTIFS($D1330:$D$2006,$D1330,$E1330:$E$2006,$E1330)=1,ROW(),""),""),"")</f>
        <v/>
      </c>
    </row>
    <row r="1331" customFormat="false" ht="15" hidden="false" customHeight="true" outlineLevel="0" collapsed="false">
      <c r="A1331" s="13" t="str">
        <f aca="false">IF(AND($B1331="",$D1331="",$E1331="",$F1331=""),"",IF(OR($B1331="",$D1331="",$E1331=""),"待补",IF($D1331="公共区域","公",IF($D1331="商铺","S",SUBSTITUTE($D1331,"栋","")))&amp;"-"&amp;$E1331&amp;"-"&amp;TEXT(MONTH($B1331),"00")&amp;TEXT(DAY($B1331),"00")&amp;IF(ISNUMBER($O1331),IF($O1331&gt;1,"-"&amp;TEXT($O1331,"00"),""),"")))</f>
        <v/>
      </c>
      <c r="B1331" s="14"/>
      <c r="C1331" s="10"/>
      <c r="D1331" s="10"/>
      <c r="E1331" s="10"/>
      <c r="F1331" s="16"/>
      <c r="G1331" s="10"/>
      <c r="H1331" s="10"/>
      <c r="I1331" s="10"/>
      <c r="J1331" s="10"/>
      <c r="K1331" s="10"/>
      <c r="L1331" s="10"/>
      <c r="M1331" s="14"/>
      <c r="N1331" s="17" t="str">
        <f aca="false">IF($B1331="","",IF($L1331="已完成",IF($M1331="","",$M1331-$B1331),IF(设置!$B$6&lt;$B1331,"",IF((设置!$B$6-$B1331)&gt;=设置!$B$5,"超期"&amp;(设置!$B$6-$B1331)&amp;"天","已等"&amp;(设置!$B$6-$B1331)&amp;"天"))))</f>
        <v/>
      </c>
      <c r="O1331" s="18" t="str">
        <f aca="false">IF(OR($D1331="",$E1331=""),"",COUNTIFS($D$7:$D1331,$D1331,$E$7:$E1331,$E1331))</f>
        <v/>
      </c>
      <c r="P1331" s="16"/>
      <c r="Q1331" s="19"/>
      <c r="R1331" s="10"/>
      <c r="S1331" s="16"/>
      <c r="T1331" s="0" t="str">
        <f aca="false">IF(OR($D1331="",单元查询!$B$3=""),"",IF($D1331&lt;&gt;单元查询!$B$3,"",IF(OR(单元查询!$D$3="",$E1331&amp;""=单元查询!$D$3&amp;""),IF(ISNUMBER($B1331),$B1331*10000,0)+ROW(),"")))</f>
        <v/>
      </c>
      <c r="U1331" s="0" t="str">
        <f aca="false">IF(OR($B1331="",$L1331="已完成"),"",IF(ISNUMBER($B1331),IF(设置!$B$6&lt;$B1331,"",(设置!$B$6-$B1331)*100000+ROW()),""))</f>
        <v/>
      </c>
      <c r="V1331" s="0" t="str">
        <f aca="false">IF(ISNUMBER($O1331),IF($O1331&gt;=2,IF(COUNTIFS($D1331:$D$2006,$D1331,$E1331:$E$2006,$E1331)=1,ROW(),""),""),"")</f>
        <v/>
      </c>
    </row>
    <row r="1332" customFormat="false" ht="15" hidden="false" customHeight="true" outlineLevel="0" collapsed="false">
      <c r="A1332" s="13" t="str">
        <f aca="false">IF(AND($B1332="",$D1332="",$E1332="",$F1332=""),"",IF(OR($B1332="",$D1332="",$E1332=""),"待补",IF($D1332="公共区域","公",IF($D1332="商铺","S",SUBSTITUTE($D1332,"栋","")))&amp;"-"&amp;$E1332&amp;"-"&amp;TEXT(MONTH($B1332),"00")&amp;TEXT(DAY($B1332),"00")&amp;IF(ISNUMBER($O1332),IF($O1332&gt;1,"-"&amp;TEXT($O1332,"00"),""),"")))</f>
        <v/>
      </c>
      <c r="B1332" s="14"/>
      <c r="C1332" s="10"/>
      <c r="D1332" s="10"/>
      <c r="E1332" s="10"/>
      <c r="F1332" s="16"/>
      <c r="G1332" s="10"/>
      <c r="H1332" s="10"/>
      <c r="I1332" s="10"/>
      <c r="J1332" s="10"/>
      <c r="K1332" s="10"/>
      <c r="L1332" s="10"/>
      <c r="M1332" s="14"/>
      <c r="N1332" s="17" t="str">
        <f aca="false">IF($B1332="","",IF($L1332="已完成",IF($M1332="","",$M1332-$B1332),IF(设置!$B$6&lt;$B1332,"",IF((设置!$B$6-$B1332)&gt;=设置!$B$5,"超期"&amp;(设置!$B$6-$B1332)&amp;"天","已等"&amp;(设置!$B$6-$B1332)&amp;"天"))))</f>
        <v/>
      </c>
      <c r="O1332" s="18" t="str">
        <f aca="false">IF(OR($D1332="",$E1332=""),"",COUNTIFS($D$7:$D1332,$D1332,$E$7:$E1332,$E1332))</f>
        <v/>
      </c>
      <c r="P1332" s="16"/>
      <c r="Q1332" s="19"/>
      <c r="R1332" s="10"/>
      <c r="S1332" s="16"/>
      <c r="T1332" s="0" t="str">
        <f aca="false">IF(OR($D1332="",单元查询!$B$3=""),"",IF($D1332&lt;&gt;单元查询!$B$3,"",IF(OR(单元查询!$D$3="",$E1332&amp;""=单元查询!$D$3&amp;""),IF(ISNUMBER($B1332),$B1332*10000,0)+ROW(),"")))</f>
        <v/>
      </c>
      <c r="U1332" s="0" t="str">
        <f aca="false">IF(OR($B1332="",$L1332="已完成"),"",IF(ISNUMBER($B1332),IF(设置!$B$6&lt;$B1332,"",(设置!$B$6-$B1332)*100000+ROW()),""))</f>
        <v/>
      </c>
      <c r="V1332" s="0" t="str">
        <f aca="false">IF(ISNUMBER($O1332),IF($O1332&gt;=2,IF(COUNTIFS($D1332:$D$2006,$D1332,$E1332:$E$2006,$E1332)=1,ROW(),""),""),"")</f>
        <v/>
      </c>
    </row>
    <row r="1333" customFormat="false" ht="15" hidden="false" customHeight="true" outlineLevel="0" collapsed="false">
      <c r="A1333" s="13" t="str">
        <f aca="false">IF(AND($B1333="",$D1333="",$E1333="",$F1333=""),"",IF(OR($B1333="",$D1333="",$E1333=""),"待补",IF($D1333="公共区域","公",IF($D1333="商铺","S",SUBSTITUTE($D1333,"栋","")))&amp;"-"&amp;$E1333&amp;"-"&amp;TEXT(MONTH($B1333),"00")&amp;TEXT(DAY($B1333),"00")&amp;IF(ISNUMBER($O1333),IF($O1333&gt;1,"-"&amp;TEXT($O1333,"00"),""),"")))</f>
        <v/>
      </c>
      <c r="B1333" s="14"/>
      <c r="C1333" s="10"/>
      <c r="D1333" s="10"/>
      <c r="E1333" s="10"/>
      <c r="F1333" s="16"/>
      <c r="G1333" s="10"/>
      <c r="H1333" s="10"/>
      <c r="I1333" s="10"/>
      <c r="J1333" s="10"/>
      <c r="K1333" s="10"/>
      <c r="L1333" s="10"/>
      <c r="M1333" s="14"/>
      <c r="N1333" s="17" t="str">
        <f aca="false">IF($B1333="","",IF($L1333="已完成",IF($M1333="","",$M1333-$B1333),IF(设置!$B$6&lt;$B1333,"",IF((设置!$B$6-$B1333)&gt;=设置!$B$5,"超期"&amp;(设置!$B$6-$B1333)&amp;"天","已等"&amp;(设置!$B$6-$B1333)&amp;"天"))))</f>
        <v/>
      </c>
      <c r="O1333" s="18" t="str">
        <f aca="false">IF(OR($D1333="",$E1333=""),"",COUNTIFS($D$7:$D1333,$D1333,$E$7:$E1333,$E1333))</f>
        <v/>
      </c>
      <c r="P1333" s="16"/>
      <c r="Q1333" s="19"/>
      <c r="R1333" s="10"/>
      <c r="S1333" s="16"/>
      <c r="T1333" s="0" t="str">
        <f aca="false">IF(OR($D1333="",单元查询!$B$3=""),"",IF($D1333&lt;&gt;单元查询!$B$3,"",IF(OR(单元查询!$D$3="",$E1333&amp;""=单元查询!$D$3&amp;""),IF(ISNUMBER($B1333),$B1333*10000,0)+ROW(),"")))</f>
        <v/>
      </c>
      <c r="U1333" s="0" t="str">
        <f aca="false">IF(OR($B1333="",$L1333="已完成"),"",IF(ISNUMBER($B1333),IF(设置!$B$6&lt;$B1333,"",(设置!$B$6-$B1333)*100000+ROW()),""))</f>
        <v/>
      </c>
      <c r="V1333" s="0" t="str">
        <f aca="false">IF(ISNUMBER($O1333),IF($O1333&gt;=2,IF(COUNTIFS($D1333:$D$2006,$D1333,$E1333:$E$2006,$E1333)=1,ROW(),""),""),"")</f>
        <v/>
      </c>
    </row>
    <row r="1334" customFormat="false" ht="15" hidden="false" customHeight="true" outlineLevel="0" collapsed="false">
      <c r="A1334" s="13" t="str">
        <f aca="false">IF(AND($B1334="",$D1334="",$E1334="",$F1334=""),"",IF(OR($B1334="",$D1334="",$E1334=""),"待补",IF($D1334="公共区域","公",IF($D1334="商铺","S",SUBSTITUTE($D1334,"栋","")))&amp;"-"&amp;$E1334&amp;"-"&amp;TEXT(MONTH($B1334),"00")&amp;TEXT(DAY($B1334),"00")&amp;IF(ISNUMBER($O1334),IF($O1334&gt;1,"-"&amp;TEXT($O1334,"00"),""),"")))</f>
        <v/>
      </c>
      <c r="B1334" s="14"/>
      <c r="C1334" s="10"/>
      <c r="D1334" s="10"/>
      <c r="E1334" s="10"/>
      <c r="F1334" s="16"/>
      <c r="G1334" s="10"/>
      <c r="H1334" s="10"/>
      <c r="I1334" s="10"/>
      <c r="J1334" s="10"/>
      <c r="K1334" s="10"/>
      <c r="L1334" s="10"/>
      <c r="M1334" s="14"/>
      <c r="N1334" s="17" t="str">
        <f aca="false">IF($B1334="","",IF($L1334="已完成",IF($M1334="","",$M1334-$B1334),IF(设置!$B$6&lt;$B1334,"",IF((设置!$B$6-$B1334)&gt;=设置!$B$5,"超期"&amp;(设置!$B$6-$B1334)&amp;"天","已等"&amp;(设置!$B$6-$B1334)&amp;"天"))))</f>
        <v/>
      </c>
      <c r="O1334" s="18" t="str">
        <f aca="false">IF(OR($D1334="",$E1334=""),"",COUNTIFS($D$7:$D1334,$D1334,$E$7:$E1334,$E1334))</f>
        <v/>
      </c>
      <c r="P1334" s="16"/>
      <c r="Q1334" s="19"/>
      <c r="R1334" s="10"/>
      <c r="S1334" s="16"/>
      <c r="T1334" s="0" t="str">
        <f aca="false">IF(OR($D1334="",单元查询!$B$3=""),"",IF($D1334&lt;&gt;单元查询!$B$3,"",IF(OR(单元查询!$D$3="",$E1334&amp;""=单元查询!$D$3&amp;""),IF(ISNUMBER($B1334),$B1334*10000,0)+ROW(),"")))</f>
        <v/>
      </c>
      <c r="U1334" s="0" t="str">
        <f aca="false">IF(OR($B1334="",$L1334="已完成"),"",IF(ISNUMBER($B1334),IF(设置!$B$6&lt;$B1334,"",(设置!$B$6-$B1334)*100000+ROW()),""))</f>
        <v/>
      </c>
      <c r="V1334" s="0" t="str">
        <f aca="false">IF(ISNUMBER($O1334),IF($O1334&gt;=2,IF(COUNTIFS($D1334:$D$2006,$D1334,$E1334:$E$2006,$E1334)=1,ROW(),""),""),"")</f>
        <v/>
      </c>
    </row>
    <row r="1335" customFormat="false" ht="15" hidden="false" customHeight="true" outlineLevel="0" collapsed="false">
      <c r="A1335" s="13" t="str">
        <f aca="false">IF(AND($B1335="",$D1335="",$E1335="",$F1335=""),"",IF(OR($B1335="",$D1335="",$E1335=""),"待补",IF($D1335="公共区域","公",IF($D1335="商铺","S",SUBSTITUTE($D1335,"栋","")))&amp;"-"&amp;$E1335&amp;"-"&amp;TEXT(MONTH($B1335),"00")&amp;TEXT(DAY($B1335),"00")&amp;IF(ISNUMBER($O1335),IF($O1335&gt;1,"-"&amp;TEXT($O1335,"00"),""),"")))</f>
        <v/>
      </c>
      <c r="B1335" s="14"/>
      <c r="C1335" s="10"/>
      <c r="D1335" s="10"/>
      <c r="E1335" s="10"/>
      <c r="F1335" s="16"/>
      <c r="G1335" s="10"/>
      <c r="H1335" s="10"/>
      <c r="I1335" s="10"/>
      <c r="J1335" s="10"/>
      <c r="K1335" s="10"/>
      <c r="L1335" s="10"/>
      <c r="M1335" s="14"/>
      <c r="N1335" s="17" t="str">
        <f aca="false">IF($B1335="","",IF($L1335="已完成",IF($M1335="","",$M1335-$B1335),IF(设置!$B$6&lt;$B1335,"",IF((设置!$B$6-$B1335)&gt;=设置!$B$5,"超期"&amp;(设置!$B$6-$B1335)&amp;"天","已等"&amp;(设置!$B$6-$B1335)&amp;"天"))))</f>
        <v/>
      </c>
      <c r="O1335" s="18" t="str">
        <f aca="false">IF(OR($D1335="",$E1335=""),"",COUNTIFS($D$7:$D1335,$D1335,$E$7:$E1335,$E1335))</f>
        <v/>
      </c>
      <c r="P1335" s="16"/>
      <c r="Q1335" s="19"/>
      <c r="R1335" s="10"/>
      <c r="S1335" s="16"/>
      <c r="T1335" s="0" t="str">
        <f aca="false">IF(OR($D1335="",单元查询!$B$3=""),"",IF($D1335&lt;&gt;单元查询!$B$3,"",IF(OR(单元查询!$D$3="",$E1335&amp;""=单元查询!$D$3&amp;""),IF(ISNUMBER($B1335),$B1335*10000,0)+ROW(),"")))</f>
        <v/>
      </c>
      <c r="U1335" s="0" t="str">
        <f aca="false">IF(OR($B1335="",$L1335="已完成"),"",IF(ISNUMBER($B1335),IF(设置!$B$6&lt;$B1335,"",(设置!$B$6-$B1335)*100000+ROW()),""))</f>
        <v/>
      </c>
      <c r="V1335" s="0" t="str">
        <f aca="false">IF(ISNUMBER($O1335),IF($O1335&gt;=2,IF(COUNTIFS($D1335:$D$2006,$D1335,$E1335:$E$2006,$E1335)=1,ROW(),""),""),"")</f>
        <v/>
      </c>
    </row>
    <row r="1336" customFormat="false" ht="15" hidden="false" customHeight="true" outlineLevel="0" collapsed="false">
      <c r="A1336" s="13" t="str">
        <f aca="false">IF(AND($B1336="",$D1336="",$E1336="",$F1336=""),"",IF(OR($B1336="",$D1336="",$E1336=""),"待补",IF($D1336="公共区域","公",IF($D1336="商铺","S",SUBSTITUTE($D1336,"栋","")))&amp;"-"&amp;$E1336&amp;"-"&amp;TEXT(MONTH($B1336),"00")&amp;TEXT(DAY($B1336),"00")&amp;IF(ISNUMBER($O1336),IF($O1336&gt;1,"-"&amp;TEXT($O1336,"00"),""),"")))</f>
        <v/>
      </c>
      <c r="B1336" s="14"/>
      <c r="C1336" s="10"/>
      <c r="D1336" s="10"/>
      <c r="E1336" s="10"/>
      <c r="F1336" s="16"/>
      <c r="G1336" s="10"/>
      <c r="H1336" s="10"/>
      <c r="I1336" s="10"/>
      <c r="J1336" s="10"/>
      <c r="K1336" s="10"/>
      <c r="L1336" s="10"/>
      <c r="M1336" s="14"/>
      <c r="N1336" s="17" t="str">
        <f aca="false">IF($B1336="","",IF($L1336="已完成",IF($M1336="","",$M1336-$B1336),IF(设置!$B$6&lt;$B1336,"",IF((设置!$B$6-$B1336)&gt;=设置!$B$5,"超期"&amp;(设置!$B$6-$B1336)&amp;"天","已等"&amp;(设置!$B$6-$B1336)&amp;"天"))))</f>
        <v/>
      </c>
      <c r="O1336" s="18" t="str">
        <f aca="false">IF(OR($D1336="",$E1336=""),"",COUNTIFS($D$7:$D1336,$D1336,$E$7:$E1336,$E1336))</f>
        <v/>
      </c>
      <c r="P1336" s="16"/>
      <c r="Q1336" s="19"/>
      <c r="R1336" s="10"/>
      <c r="S1336" s="16"/>
      <c r="T1336" s="0" t="str">
        <f aca="false">IF(OR($D1336="",单元查询!$B$3=""),"",IF($D1336&lt;&gt;单元查询!$B$3,"",IF(OR(单元查询!$D$3="",$E1336&amp;""=单元查询!$D$3&amp;""),IF(ISNUMBER($B1336),$B1336*10000,0)+ROW(),"")))</f>
        <v/>
      </c>
      <c r="U1336" s="0" t="str">
        <f aca="false">IF(OR($B1336="",$L1336="已完成"),"",IF(ISNUMBER($B1336),IF(设置!$B$6&lt;$B1336,"",(设置!$B$6-$B1336)*100000+ROW()),""))</f>
        <v/>
      </c>
      <c r="V1336" s="0" t="str">
        <f aca="false">IF(ISNUMBER($O1336),IF($O1336&gt;=2,IF(COUNTIFS($D1336:$D$2006,$D1336,$E1336:$E$2006,$E1336)=1,ROW(),""),""),"")</f>
        <v/>
      </c>
    </row>
    <row r="1337" customFormat="false" ht="15" hidden="false" customHeight="true" outlineLevel="0" collapsed="false">
      <c r="A1337" s="13" t="str">
        <f aca="false">IF(AND($B1337="",$D1337="",$E1337="",$F1337=""),"",IF(OR($B1337="",$D1337="",$E1337=""),"待补",IF($D1337="公共区域","公",IF($D1337="商铺","S",SUBSTITUTE($D1337,"栋","")))&amp;"-"&amp;$E1337&amp;"-"&amp;TEXT(MONTH($B1337),"00")&amp;TEXT(DAY($B1337),"00")&amp;IF(ISNUMBER($O1337),IF($O1337&gt;1,"-"&amp;TEXT($O1337,"00"),""),"")))</f>
        <v/>
      </c>
      <c r="B1337" s="14"/>
      <c r="C1337" s="10"/>
      <c r="D1337" s="10"/>
      <c r="E1337" s="10"/>
      <c r="F1337" s="16"/>
      <c r="G1337" s="10"/>
      <c r="H1337" s="10"/>
      <c r="I1337" s="10"/>
      <c r="J1337" s="10"/>
      <c r="K1337" s="10"/>
      <c r="L1337" s="10"/>
      <c r="M1337" s="14"/>
      <c r="N1337" s="17" t="str">
        <f aca="false">IF($B1337="","",IF($L1337="已完成",IF($M1337="","",$M1337-$B1337),IF(设置!$B$6&lt;$B1337,"",IF((设置!$B$6-$B1337)&gt;=设置!$B$5,"超期"&amp;(设置!$B$6-$B1337)&amp;"天","已等"&amp;(设置!$B$6-$B1337)&amp;"天"))))</f>
        <v/>
      </c>
      <c r="O1337" s="18" t="str">
        <f aca="false">IF(OR($D1337="",$E1337=""),"",COUNTIFS($D$7:$D1337,$D1337,$E$7:$E1337,$E1337))</f>
        <v/>
      </c>
      <c r="P1337" s="16"/>
      <c r="Q1337" s="19"/>
      <c r="R1337" s="10"/>
      <c r="S1337" s="16"/>
      <c r="T1337" s="0" t="str">
        <f aca="false">IF(OR($D1337="",单元查询!$B$3=""),"",IF($D1337&lt;&gt;单元查询!$B$3,"",IF(OR(单元查询!$D$3="",$E1337&amp;""=单元查询!$D$3&amp;""),IF(ISNUMBER($B1337),$B1337*10000,0)+ROW(),"")))</f>
        <v/>
      </c>
      <c r="U1337" s="0" t="str">
        <f aca="false">IF(OR($B1337="",$L1337="已完成"),"",IF(ISNUMBER($B1337),IF(设置!$B$6&lt;$B1337,"",(设置!$B$6-$B1337)*100000+ROW()),""))</f>
        <v/>
      </c>
      <c r="V1337" s="0" t="str">
        <f aca="false">IF(ISNUMBER($O1337),IF($O1337&gt;=2,IF(COUNTIFS($D1337:$D$2006,$D1337,$E1337:$E$2006,$E1337)=1,ROW(),""),""),"")</f>
        <v/>
      </c>
    </row>
    <row r="1338" customFormat="false" ht="15" hidden="false" customHeight="true" outlineLevel="0" collapsed="false">
      <c r="A1338" s="13" t="str">
        <f aca="false">IF(AND($B1338="",$D1338="",$E1338="",$F1338=""),"",IF(OR($B1338="",$D1338="",$E1338=""),"待补",IF($D1338="公共区域","公",IF($D1338="商铺","S",SUBSTITUTE($D1338,"栋","")))&amp;"-"&amp;$E1338&amp;"-"&amp;TEXT(MONTH($B1338),"00")&amp;TEXT(DAY($B1338),"00")&amp;IF(ISNUMBER($O1338),IF($O1338&gt;1,"-"&amp;TEXT($O1338,"00"),""),"")))</f>
        <v/>
      </c>
      <c r="B1338" s="14"/>
      <c r="C1338" s="10"/>
      <c r="D1338" s="10"/>
      <c r="E1338" s="10"/>
      <c r="F1338" s="16"/>
      <c r="G1338" s="10"/>
      <c r="H1338" s="10"/>
      <c r="I1338" s="10"/>
      <c r="J1338" s="10"/>
      <c r="K1338" s="10"/>
      <c r="L1338" s="10"/>
      <c r="M1338" s="14"/>
      <c r="N1338" s="17" t="str">
        <f aca="false">IF($B1338="","",IF($L1338="已完成",IF($M1338="","",$M1338-$B1338),IF(设置!$B$6&lt;$B1338,"",IF((设置!$B$6-$B1338)&gt;=设置!$B$5,"超期"&amp;(设置!$B$6-$B1338)&amp;"天","已等"&amp;(设置!$B$6-$B1338)&amp;"天"))))</f>
        <v/>
      </c>
      <c r="O1338" s="18" t="str">
        <f aca="false">IF(OR($D1338="",$E1338=""),"",COUNTIFS($D$7:$D1338,$D1338,$E$7:$E1338,$E1338))</f>
        <v/>
      </c>
      <c r="P1338" s="16"/>
      <c r="Q1338" s="19"/>
      <c r="R1338" s="10"/>
      <c r="S1338" s="16"/>
      <c r="T1338" s="0" t="str">
        <f aca="false">IF(OR($D1338="",单元查询!$B$3=""),"",IF($D1338&lt;&gt;单元查询!$B$3,"",IF(OR(单元查询!$D$3="",$E1338&amp;""=单元查询!$D$3&amp;""),IF(ISNUMBER($B1338),$B1338*10000,0)+ROW(),"")))</f>
        <v/>
      </c>
      <c r="U1338" s="0" t="str">
        <f aca="false">IF(OR($B1338="",$L1338="已完成"),"",IF(ISNUMBER($B1338),IF(设置!$B$6&lt;$B1338,"",(设置!$B$6-$B1338)*100000+ROW()),""))</f>
        <v/>
      </c>
      <c r="V1338" s="0" t="str">
        <f aca="false">IF(ISNUMBER($O1338),IF($O1338&gt;=2,IF(COUNTIFS($D1338:$D$2006,$D1338,$E1338:$E$2006,$E1338)=1,ROW(),""),""),"")</f>
        <v/>
      </c>
    </row>
    <row r="1339" customFormat="false" ht="15" hidden="false" customHeight="true" outlineLevel="0" collapsed="false">
      <c r="A1339" s="13" t="str">
        <f aca="false">IF(AND($B1339="",$D1339="",$E1339="",$F1339=""),"",IF(OR($B1339="",$D1339="",$E1339=""),"待补",IF($D1339="公共区域","公",IF($D1339="商铺","S",SUBSTITUTE($D1339,"栋","")))&amp;"-"&amp;$E1339&amp;"-"&amp;TEXT(MONTH($B1339),"00")&amp;TEXT(DAY($B1339),"00")&amp;IF(ISNUMBER($O1339),IF($O1339&gt;1,"-"&amp;TEXT($O1339,"00"),""),"")))</f>
        <v/>
      </c>
      <c r="B1339" s="14"/>
      <c r="C1339" s="10"/>
      <c r="D1339" s="10"/>
      <c r="E1339" s="10"/>
      <c r="F1339" s="16"/>
      <c r="G1339" s="10"/>
      <c r="H1339" s="10"/>
      <c r="I1339" s="10"/>
      <c r="J1339" s="10"/>
      <c r="K1339" s="10"/>
      <c r="L1339" s="10"/>
      <c r="M1339" s="14"/>
      <c r="N1339" s="17" t="str">
        <f aca="false">IF($B1339="","",IF($L1339="已完成",IF($M1339="","",$M1339-$B1339),IF(设置!$B$6&lt;$B1339,"",IF((设置!$B$6-$B1339)&gt;=设置!$B$5,"超期"&amp;(设置!$B$6-$B1339)&amp;"天","已等"&amp;(设置!$B$6-$B1339)&amp;"天"))))</f>
        <v/>
      </c>
      <c r="O1339" s="18" t="str">
        <f aca="false">IF(OR($D1339="",$E1339=""),"",COUNTIFS($D$7:$D1339,$D1339,$E$7:$E1339,$E1339))</f>
        <v/>
      </c>
      <c r="P1339" s="16"/>
      <c r="Q1339" s="19"/>
      <c r="R1339" s="10"/>
      <c r="S1339" s="16"/>
      <c r="T1339" s="0" t="str">
        <f aca="false">IF(OR($D1339="",单元查询!$B$3=""),"",IF($D1339&lt;&gt;单元查询!$B$3,"",IF(OR(单元查询!$D$3="",$E1339&amp;""=单元查询!$D$3&amp;""),IF(ISNUMBER($B1339),$B1339*10000,0)+ROW(),"")))</f>
        <v/>
      </c>
      <c r="U1339" s="0" t="str">
        <f aca="false">IF(OR($B1339="",$L1339="已完成"),"",IF(ISNUMBER($B1339),IF(设置!$B$6&lt;$B1339,"",(设置!$B$6-$B1339)*100000+ROW()),""))</f>
        <v/>
      </c>
      <c r="V1339" s="0" t="str">
        <f aca="false">IF(ISNUMBER($O1339),IF($O1339&gt;=2,IF(COUNTIFS($D1339:$D$2006,$D1339,$E1339:$E$2006,$E1339)=1,ROW(),""),""),"")</f>
        <v/>
      </c>
    </row>
    <row r="1340" customFormat="false" ht="15" hidden="false" customHeight="true" outlineLevel="0" collapsed="false">
      <c r="A1340" s="13" t="str">
        <f aca="false">IF(AND($B1340="",$D1340="",$E1340="",$F1340=""),"",IF(OR($B1340="",$D1340="",$E1340=""),"待补",IF($D1340="公共区域","公",IF($D1340="商铺","S",SUBSTITUTE($D1340,"栋","")))&amp;"-"&amp;$E1340&amp;"-"&amp;TEXT(MONTH($B1340),"00")&amp;TEXT(DAY($B1340),"00")&amp;IF(ISNUMBER($O1340),IF($O1340&gt;1,"-"&amp;TEXT($O1340,"00"),""),"")))</f>
        <v/>
      </c>
      <c r="B1340" s="14"/>
      <c r="C1340" s="10"/>
      <c r="D1340" s="10"/>
      <c r="E1340" s="10"/>
      <c r="F1340" s="16"/>
      <c r="G1340" s="10"/>
      <c r="H1340" s="10"/>
      <c r="I1340" s="10"/>
      <c r="J1340" s="10"/>
      <c r="K1340" s="10"/>
      <c r="L1340" s="10"/>
      <c r="M1340" s="14"/>
      <c r="N1340" s="17" t="str">
        <f aca="false">IF($B1340="","",IF($L1340="已完成",IF($M1340="","",$M1340-$B1340),IF(设置!$B$6&lt;$B1340,"",IF((设置!$B$6-$B1340)&gt;=设置!$B$5,"超期"&amp;(设置!$B$6-$B1340)&amp;"天","已等"&amp;(设置!$B$6-$B1340)&amp;"天"))))</f>
        <v/>
      </c>
      <c r="O1340" s="18" t="str">
        <f aca="false">IF(OR($D1340="",$E1340=""),"",COUNTIFS($D$7:$D1340,$D1340,$E$7:$E1340,$E1340))</f>
        <v/>
      </c>
      <c r="P1340" s="16"/>
      <c r="Q1340" s="19"/>
      <c r="R1340" s="10"/>
      <c r="S1340" s="16"/>
      <c r="T1340" s="0" t="str">
        <f aca="false">IF(OR($D1340="",单元查询!$B$3=""),"",IF($D1340&lt;&gt;单元查询!$B$3,"",IF(OR(单元查询!$D$3="",$E1340&amp;""=单元查询!$D$3&amp;""),IF(ISNUMBER($B1340),$B1340*10000,0)+ROW(),"")))</f>
        <v/>
      </c>
      <c r="U1340" s="0" t="str">
        <f aca="false">IF(OR($B1340="",$L1340="已完成"),"",IF(ISNUMBER($B1340),IF(设置!$B$6&lt;$B1340,"",(设置!$B$6-$B1340)*100000+ROW()),""))</f>
        <v/>
      </c>
      <c r="V1340" s="0" t="str">
        <f aca="false">IF(ISNUMBER($O1340),IF($O1340&gt;=2,IF(COUNTIFS($D1340:$D$2006,$D1340,$E1340:$E$2006,$E1340)=1,ROW(),""),""),"")</f>
        <v/>
      </c>
    </row>
    <row r="1341" customFormat="false" ht="15" hidden="false" customHeight="true" outlineLevel="0" collapsed="false">
      <c r="A1341" s="13" t="str">
        <f aca="false">IF(AND($B1341="",$D1341="",$E1341="",$F1341=""),"",IF(OR($B1341="",$D1341="",$E1341=""),"待补",IF($D1341="公共区域","公",IF($D1341="商铺","S",SUBSTITUTE($D1341,"栋","")))&amp;"-"&amp;$E1341&amp;"-"&amp;TEXT(MONTH($B1341),"00")&amp;TEXT(DAY($B1341),"00")&amp;IF(ISNUMBER($O1341),IF($O1341&gt;1,"-"&amp;TEXT($O1341,"00"),""),"")))</f>
        <v/>
      </c>
      <c r="B1341" s="14"/>
      <c r="C1341" s="10"/>
      <c r="D1341" s="10"/>
      <c r="E1341" s="10"/>
      <c r="F1341" s="16"/>
      <c r="G1341" s="10"/>
      <c r="H1341" s="10"/>
      <c r="I1341" s="10"/>
      <c r="J1341" s="10"/>
      <c r="K1341" s="10"/>
      <c r="L1341" s="10"/>
      <c r="M1341" s="14"/>
      <c r="N1341" s="17" t="str">
        <f aca="false">IF($B1341="","",IF($L1341="已完成",IF($M1341="","",$M1341-$B1341),IF(设置!$B$6&lt;$B1341,"",IF((设置!$B$6-$B1341)&gt;=设置!$B$5,"超期"&amp;(设置!$B$6-$B1341)&amp;"天","已等"&amp;(设置!$B$6-$B1341)&amp;"天"))))</f>
        <v/>
      </c>
      <c r="O1341" s="18" t="str">
        <f aca="false">IF(OR($D1341="",$E1341=""),"",COUNTIFS($D$7:$D1341,$D1341,$E$7:$E1341,$E1341))</f>
        <v/>
      </c>
      <c r="P1341" s="16"/>
      <c r="Q1341" s="19"/>
      <c r="R1341" s="10"/>
      <c r="S1341" s="16"/>
      <c r="T1341" s="0" t="str">
        <f aca="false">IF(OR($D1341="",单元查询!$B$3=""),"",IF($D1341&lt;&gt;单元查询!$B$3,"",IF(OR(单元查询!$D$3="",$E1341&amp;""=单元查询!$D$3&amp;""),IF(ISNUMBER($B1341),$B1341*10000,0)+ROW(),"")))</f>
        <v/>
      </c>
      <c r="U1341" s="0" t="str">
        <f aca="false">IF(OR($B1341="",$L1341="已完成"),"",IF(ISNUMBER($B1341),IF(设置!$B$6&lt;$B1341,"",(设置!$B$6-$B1341)*100000+ROW()),""))</f>
        <v/>
      </c>
      <c r="V1341" s="0" t="str">
        <f aca="false">IF(ISNUMBER($O1341),IF($O1341&gt;=2,IF(COUNTIFS($D1341:$D$2006,$D1341,$E1341:$E$2006,$E1341)=1,ROW(),""),""),"")</f>
        <v/>
      </c>
    </row>
    <row r="1342" customFormat="false" ht="15" hidden="false" customHeight="true" outlineLevel="0" collapsed="false">
      <c r="A1342" s="13" t="str">
        <f aca="false">IF(AND($B1342="",$D1342="",$E1342="",$F1342=""),"",IF(OR($B1342="",$D1342="",$E1342=""),"待补",IF($D1342="公共区域","公",IF($D1342="商铺","S",SUBSTITUTE($D1342,"栋","")))&amp;"-"&amp;$E1342&amp;"-"&amp;TEXT(MONTH($B1342),"00")&amp;TEXT(DAY($B1342),"00")&amp;IF(ISNUMBER($O1342),IF($O1342&gt;1,"-"&amp;TEXT($O1342,"00"),""),"")))</f>
        <v/>
      </c>
      <c r="B1342" s="14"/>
      <c r="C1342" s="10"/>
      <c r="D1342" s="10"/>
      <c r="E1342" s="10"/>
      <c r="F1342" s="16"/>
      <c r="G1342" s="10"/>
      <c r="H1342" s="10"/>
      <c r="I1342" s="10"/>
      <c r="J1342" s="10"/>
      <c r="K1342" s="10"/>
      <c r="L1342" s="10"/>
      <c r="M1342" s="14"/>
      <c r="N1342" s="17" t="str">
        <f aca="false">IF($B1342="","",IF($L1342="已完成",IF($M1342="","",$M1342-$B1342),IF(设置!$B$6&lt;$B1342,"",IF((设置!$B$6-$B1342)&gt;=设置!$B$5,"超期"&amp;(设置!$B$6-$B1342)&amp;"天","已等"&amp;(设置!$B$6-$B1342)&amp;"天"))))</f>
        <v/>
      </c>
      <c r="O1342" s="18" t="str">
        <f aca="false">IF(OR($D1342="",$E1342=""),"",COUNTIFS($D$7:$D1342,$D1342,$E$7:$E1342,$E1342))</f>
        <v/>
      </c>
      <c r="P1342" s="16"/>
      <c r="Q1342" s="19"/>
      <c r="R1342" s="10"/>
      <c r="S1342" s="16"/>
      <c r="T1342" s="0" t="str">
        <f aca="false">IF(OR($D1342="",单元查询!$B$3=""),"",IF($D1342&lt;&gt;单元查询!$B$3,"",IF(OR(单元查询!$D$3="",$E1342&amp;""=单元查询!$D$3&amp;""),IF(ISNUMBER($B1342),$B1342*10000,0)+ROW(),"")))</f>
        <v/>
      </c>
      <c r="U1342" s="0" t="str">
        <f aca="false">IF(OR($B1342="",$L1342="已完成"),"",IF(ISNUMBER($B1342),IF(设置!$B$6&lt;$B1342,"",(设置!$B$6-$B1342)*100000+ROW()),""))</f>
        <v/>
      </c>
      <c r="V1342" s="0" t="str">
        <f aca="false">IF(ISNUMBER($O1342),IF($O1342&gt;=2,IF(COUNTIFS($D1342:$D$2006,$D1342,$E1342:$E$2006,$E1342)=1,ROW(),""),""),"")</f>
        <v/>
      </c>
    </row>
    <row r="1343" customFormat="false" ht="15" hidden="false" customHeight="true" outlineLevel="0" collapsed="false">
      <c r="A1343" s="13" t="str">
        <f aca="false">IF(AND($B1343="",$D1343="",$E1343="",$F1343=""),"",IF(OR($B1343="",$D1343="",$E1343=""),"待补",IF($D1343="公共区域","公",IF($D1343="商铺","S",SUBSTITUTE($D1343,"栋","")))&amp;"-"&amp;$E1343&amp;"-"&amp;TEXT(MONTH($B1343),"00")&amp;TEXT(DAY($B1343),"00")&amp;IF(ISNUMBER($O1343),IF($O1343&gt;1,"-"&amp;TEXT($O1343,"00"),""),"")))</f>
        <v/>
      </c>
      <c r="B1343" s="14"/>
      <c r="C1343" s="10"/>
      <c r="D1343" s="10"/>
      <c r="E1343" s="10"/>
      <c r="F1343" s="16"/>
      <c r="G1343" s="10"/>
      <c r="H1343" s="10"/>
      <c r="I1343" s="10"/>
      <c r="J1343" s="10"/>
      <c r="K1343" s="10"/>
      <c r="L1343" s="10"/>
      <c r="M1343" s="14"/>
      <c r="N1343" s="17" t="str">
        <f aca="false">IF($B1343="","",IF($L1343="已完成",IF($M1343="","",$M1343-$B1343),IF(设置!$B$6&lt;$B1343,"",IF((设置!$B$6-$B1343)&gt;=设置!$B$5,"超期"&amp;(设置!$B$6-$B1343)&amp;"天","已等"&amp;(设置!$B$6-$B1343)&amp;"天"))))</f>
        <v/>
      </c>
      <c r="O1343" s="18" t="str">
        <f aca="false">IF(OR($D1343="",$E1343=""),"",COUNTIFS($D$7:$D1343,$D1343,$E$7:$E1343,$E1343))</f>
        <v/>
      </c>
      <c r="P1343" s="16"/>
      <c r="Q1343" s="19"/>
      <c r="R1343" s="10"/>
      <c r="S1343" s="16"/>
      <c r="T1343" s="0" t="str">
        <f aca="false">IF(OR($D1343="",单元查询!$B$3=""),"",IF($D1343&lt;&gt;单元查询!$B$3,"",IF(OR(单元查询!$D$3="",$E1343&amp;""=单元查询!$D$3&amp;""),IF(ISNUMBER($B1343),$B1343*10000,0)+ROW(),"")))</f>
        <v/>
      </c>
      <c r="U1343" s="0" t="str">
        <f aca="false">IF(OR($B1343="",$L1343="已完成"),"",IF(ISNUMBER($B1343),IF(设置!$B$6&lt;$B1343,"",(设置!$B$6-$B1343)*100000+ROW()),""))</f>
        <v/>
      </c>
      <c r="V1343" s="0" t="str">
        <f aca="false">IF(ISNUMBER($O1343),IF($O1343&gt;=2,IF(COUNTIFS($D1343:$D$2006,$D1343,$E1343:$E$2006,$E1343)=1,ROW(),""),""),"")</f>
        <v/>
      </c>
    </row>
    <row r="1344" customFormat="false" ht="15" hidden="false" customHeight="true" outlineLevel="0" collapsed="false">
      <c r="A1344" s="13" t="str">
        <f aca="false">IF(AND($B1344="",$D1344="",$E1344="",$F1344=""),"",IF(OR($B1344="",$D1344="",$E1344=""),"待补",IF($D1344="公共区域","公",IF($D1344="商铺","S",SUBSTITUTE($D1344,"栋","")))&amp;"-"&amp;$E1344&amp;"-"&amp;TEXT(MONTH($B1344),"00")&amp;TEXT(DAY($B1344),"00")&amp;IF(ISNUMBER($O1344),IF($O1344&gt;1,"-"&amp;TEXT($O1344,"00"),""),"")))</f>
        <v/>
      </c>
      <c r="B1344" s="14"/>
      <c r="C1344" s="10"/>
      <c r="D1344" s="10"/>
      <c r="E1344" s="10"/>
      <c r="F1344" s="16"/>
      <c r="G1344" s="10"/>
      <c r="H1344" s="10"/>
      <c r="I1344" s="10"/>
      <c r="J1344" s="10"/>
      <c r="K1344" s="10"/>
      <c r="L1344" s="10"/>
      <c r="M1344" s="14"/>
      <c r="N1344" s="17" t="str">
        <f aca="false">IF($B1344="","",IF($L1344="已完成",IF($M1344="","",$M1344-$B1344),IF(设置!$B$6&lt;$B1344,"",IF((设置!$B$6-$B1344)&gt;=设置!$B$5,"超期"&amp;(设置!$B$6-$B1344)&amp;"天","已等"&amp;(设置!$B$6-$B1344)&amp;"天"))))</f>
        <v/>
      </c>
      <c r="O1344" s="18" t="str">
        <f aca="false">IF(OR($D1344="",$E1344=""),"",COUNTIFS($D$7:$D1344,$D1344,$E$7:$E1344,$E1344))</f>
        <v/>
      </c>
      <c r="P1344" s="16"/>
      <c r="Q1344" s="19"/>
      <c r="R1344" s="10"/>
      <c r="S1344" s="16"/>
      <c r="T1344" s="0" t="str">
        <f aca="false">IF(OR($D1344="",单元查询!$B$3=""),"",IF($D1344&lt;&gt;单元查询!$B$3,"",IF(OR(单元查询!$D$3="",$E1344&amp;""=单元查询!$D$3&amp;""),IF(ISNUMBER($B1344),$B1344*10000,0)+ROW(),"")))</f>
        <v/>
      </c>
      <c r="U1344" s="0" t="str">
        <f aca="false">IF(OR($B1344="",$L1344="已完成"),"",IF(ISNUMBER($B1344),IF(设置!$B$6&lt;$B1344,"",(设置!$B$6-$B1344)*100000+ROW()),""))</f>
        <v/>
      </c>
      <c r="V1344" s="0" t="str">
        <f aca="false">IF(ISNUMBER($O1344),IF($O1344&gt;=2,IF(COUNTIFS($D1344:$D$2006,$D1344,$E1344:$E$2006,$E1344)=1,ROW(),""),""),"")</f>
        <v/>
      </c>
    </row>
    <row r="1345" customFormat="false" ht="15" hidden="false" customHeight="true" outlineLevel="0" collapsed="false">
      <c r="A1345" s="13" t="str">
        <f aca="false">IF(AND($B1345="",$D1345="",$E1345="",$F1345=""),"",IF(OR($B1345="",$D1345="",$E1345=""),"待补",IF($D1345="公共区域","公",IF($D1345="商铺","S",SUBSTITUTE($D1345,"栋","")))&amp;"-"&amp;$E1345&amp;"-"&amp;TEXT(MONTH($B1345),"00")&amp;TEXT(DAY($B1345),"00")&amp;IF(ISNUMBER($O1345),IF($O1345&gt;1,"-"&amp;TEXT($O1345,"00"),""),"")))</f>
        <v/>
      </c>
      <c r="B1345" s="14"/>
      <c r="C1345" s="10"/>
      <c r="D1345" s="10"/>
      <c r="E1345" s="10"/>
      <c r="F1345" s="16"/>
      <c r="G1345" s="10"/>
      <c r="H1345" s="10"/>
      <c r="I1345" s="10"/>
      <c r="J1345" s="10"/>
      <c r="K1345" s="10"/>
      <c r="L1345" s="10"/>
      <c r="M1345" s="14"/>
      <c r="N1345" s="17" t="str">
        <f aca="false">IF($B1345="","",IF($L1345="已完成",IF($M1345="","",$M1345-$B1345),IF(设置!$B$6&lt;$B1345,"",IF((设置!$B$6-$B1345)&gt;=设置!$B$5,"超期"&amp;(设置!$B$6-$B1345)&amp;"天","已等"&amp;(设置!$B$6-$B1345)&amp;"天"))))</f>
        <v/>
      </c>
      <c r="O1345" s="18" t="str">
        <f aca="false">IF(OR($D1345="",$E1345=""),"",COUNTIFS($D$7:$D1345,$D1345,$E$7:$E1345,$E1345))</f>
        <v/>
      </c>
      <c r="P1345" s="16"/>
      <c r="Q1345" s="19"/>
      <c r="R1345" s="10"/>
      <c r="S1345" s="16"/>
      <c r="T1345" s="0" t="str">
        <f aca="false">IF(OR($D1345="",单元查询!$B$3=""),"",IF($D1345&lt;&gt;单元查询!$B$3,"",IF(OR(单元查询!$D$3="",$E1345&amp;""=单元查询!$D$3&amp;""),IF(ISNUMBER($B1345),$B1345*10000,0)+ROW(),"")))</f>
        <v/>
      </c>
      <c r="U1345" s="0" t="str">
        <f aca="false">IF(OR($B1345="",$L1345="已完成"),"",IF(ISNUMBER($B1345),IF(设置!$B$6&lt;$B1345,"",(设置!$B$6-$B1345)*100000+ROW()),""))</f>
        <v/>
      </c>
      <c r="V1345" s="0" t="str">
        <f aca="false">IF(ISNUMBER($O1345),IF($O1345&gt;=2,IF(COUNTIFS($D1345:$D$2006,$D1345,$E1345:$E$2006,$E1345)=1,ROW(),""),""),"")</f>
        <v/>
      </c>
    </row>
    <row r="1346" customFormat="false" ht="15" hidden="false" customHeight="true" outlineLevel="0" collapsed="false">
      <c r="A1346" s="13" t="str">
        <f aca="false">IF(AND($B1346="",$D1346="",$E1346="",$F1346=""),"",IF(OR($B1346="",$D1346="",$E1346=""),"待补",IF($D1346="公共区域","公",IF($D1346="商铺","S",SUBSTITUTE($D1346,"栋","")))&amp;"-"&amp;$E1346&amp;"-"&amp;TEXT(MONTH($B1346),"00")&amp;TEXT(DAY($B1346),"00")&amp;IF(ISNUMBER($O1346),IF($O1346&gt;1,"-"&amp;TEXT($O1346,"00"),""),"")))</f>
        <v/>
      </c>
      <c r="B1346" s="14"/>
      <c r="C1346" s="10"/>
      <c r="D1346" s="10"/>
      <c r="E1346" s="10"/>
      <c r="F1346" s="16"/>
      <c r="G1346" s="10"/>
      <c r="H1346" s="10"/>
      <c r="I1346" s="10"/>
      <c r="J1346" s="10"/>
      <c r="K1346" s="10"/>
      <c r="L1346" s="10"/>
      <c r="M1346" s="14"/>
      <c r="N1346" s="17" t="str">
        <f aca="false">IF($B1346="","",IF($L1346="已完成",IF($M1346="","",$M1346-$B1346),IF(设置!$B$6&lt;$B1346,"",IF((设置!$B$6-$B1346)&gt;=设置!$B$5,"超期"&amp;(设置!$B$6-$B1346)&amp;"天","已等"&amp;(设置!$B$6-$B1346)&amp;"天"))))</f>
        <v/>
      </c>
      <c r="O1346" s="18" t="str">
        <f aca="false">IF(OR($D1346="",$E1346=""),"",COUNTIFS($D$7:$D1346,$D1346,$E$7:$E1346,$E1346))</f>
        <v/>
      </c>
      <c r="P1346" s="16"/>
      <c r="Q1346" s="19"/>
      <c r="R1346" s="10"/>
      <c r="S1346" s="16"/>
      <c r="T1346" s="0" t="str">
        <f aca="false">IF(OR($D1346="",单元查询!$B$3=""),"",IF($D1346&lt;&gt;单元查询!$B$3,"",IF(OR(单元查询!$D$3="",$E1346&amp;""=单元查询!$D$3&amp;""),IF(ISNUMBER($B1346),$B1346*10000,0)+ROW(),"")))</f>
        <v/>
      </c>
      <c r="U1346" s="0" t="str">
        <f aca="false">IF(OR($B1346="",$L1346="已完成"),"",IF(ISNUMBER($B1346),IF(设置!$B$6&lt;$B1346,"",(设置!$B$6-$B1346)*100000+ROW()),""))</f>
        <v/>
      </c>
      <c r="V1346" s="0" t="str">
        <f aca="false">IF(ISNUMBER($O1346),IF($O1346&gt;=2,IF(COUNTIFS($D1346:$D$2006,$D1346,$E1346:$E$2006,$E1346)=1,ROW(),""),""),"")</f>
        <v/>
      </c>
    </row>
    <row r="1347" customFormat="false" ht="15" hidden="false" customHeight="true" outlineLevel="0" collapsed="false">
      <c r="A1347" s="13" t="str">
        <f aca="false">IF(AND($B1347="",$D1347="",$E1347="",$F1347=""),"",IF(OR($B1347="",$D1347="",$E1347=""),"待补",IF($D1347="公共区域","公",IF($D1347="商铺","S",SUBSTITUTE($D1347,"栋","")))&amp;"-"&amp;$E1347&amp;"-"&amp;TEXT(MONTH($B1347),"00")&amp;TEXT(DAY($B1347),"00")&amp;IF(ISNUMBER($O1347),IF($O1347&gt;1,"-"&amp;TEXT($O1347,"00"),""),"")))</f>
        <v/>
      </c>
      <c r="B1347" s="14"/>
      <c r="C1347" s="10"/>
      <c r="D1347" s="10"/>
      <c r="E1347" s="10"/>
      <c r="F1347" s="16"/>
      <c r="G1347" s="10"/>
      <c r="H1347" s="10"/>
      <c r="I1347" s="10"/>
      <c r="J1347" s="10"/>
      <c r="K1347" s="10"/>
      <c r="L1347" s="10"/>
      <c r="M1347" s="14"/>
      <c r="N1347" s="17" t="str">
        <f aca="false">IF($B1347="","",IF($L1347="已完成",IF($M1347="","",$M1347-$B1347),IF(设置!$B$6&lt;$B1347,"",IF((设置!$B$6-$B1347)&gt;=设置!$B$5,"超期"&amp;(设置!$B$6-$B1347)&amp;"天","已等"&amp;(设置!$B$6-$B1347)&amp;"天"))))</f>
        <v/>
      </c>
      <c r="O1347" s="18" t="str">
        <f aca="false">IF(OR($D1347="",$E1347=""),"",COUNTIFS($D$7:$D1347,$D1347,$E$7:$E1347,$E1347))</f>
        <v/>
      </c>
      <c r="P1347" s="16"/>
      <c r="Q1347" s="19"/>
      <c r="R1347" s="10"/>
      <c r="S1347" s="16"/>
      <c r="T1347" s="0" t="str">
        <f aca="false">IF(OR($D1347="",单元查询!$B$3=""),"",IF($D1347&lt;&gt;单元查询!$B$3,"",IF(OR(单元查询!$D$3="",$E1347&amp;""=单元查询!$D$3&amp;""),IF(ISNUMBER($B1347),$B1347*10000,0)+ROW(),"")))</f>
        <v/>
      </c>
      <c r="U1347" s="0" t="str">
        <f aca="false">IF(OR($B1347="",$L1347="已完成"),"",IF(ISNUMBER($B1347),IF(设置!$B$6&lt;$B1347,"",(设置!$B$6-$B1347)*100000+ROW()),""))</f>
        <v/>
      </c>
      <c r="V1347" s="0" t="str">
        <f aca="false">IF(ISNUMBER($O1347),IF($O1347&gt;=2,IF(COUNTIFS($D1347:$D$2006,$D1347,$E1347:$E$2006,$E1347)=1,ROW(),""),""),"")</f>
        <v/>
      </c>
    </row>
    <row r="1348" customFormat="false" ht="15" hidden="false" customHeight="true" outlineLevel="0" collapsed="false">
      <c r="A1348" s="13" t="str">
        <f aca="false">IF(AND($B1348="",$D1348="",$E1348="",$F1348=""),"",IF(OR($B1348="",$D1348="",$E1348=""),"待补",IF($D1348="公共区域","公",IF($D1348="商铺","S",SUBSTITUTE($D1348,"栋","")))&amp;"-"&amp;$E1348&amp;"-"&amp;TEXT(MONTH($B1348),"00")&amp;TEXT(DAY($B1348),"00")&amp;IF(ISNUMBER($O1348),IF($O1348&gt;1,"-"&amp;TEXT($O1348,"00"),""),"")))</f>
        <v/>
      </c>
      <c r="B1348" s="14"/>
      <c r="C1348" s="10"/>
      <c r="D1348" s="10"/>
      <c r="E1348" s="10"/>
      <c r="F1348" s="16"/>
      <c r="G1348" s="10"/>
      <c r="H1348" s="10"/>
      <c r="I1348" s="10"/>
      <c r="J1348" s="10"/>
      <c r="K1348" s="10"/>
      <c r="L1348" s="10"/>
      <c r="M1348" s="14"/>
      <c r="N1348" s="17" t="str">
        <f aca="false">IF($B1348="","",IF($L1348="已完成",IF($M1348="","",$M1348-$B1348),IF(设置!$B$6&lt;$B1348,"",IF((设置!$B$6-$B1348)&gt;=设置!$B$5,"超期"&amp;(设置!$B$6-$B1348)&amp;"天","已等"&amp;(设置!$B$6-$B1348)&amp;"天"))))</f>
        <v/>
      </c>
      <c r="O1348" s="18" t="str">
        <f aca="false">IF(OR($D1348="",$E1348=""),"",COUNTIFS($D$7:$D1348,$D1348,$E$7:$E1348,$E1348))</f>
        <v/>
      </c>
      <c r="P1348" s="16"/>
      <c r="Q1348" s="19"/>
      <c r="R1348" s="10"/>
      <c r="S1348" s="16"/>
      <c r="T1348" s="0" t="str">
        <f aca="false">IF(OR($D1348="",单元查询!$B$3=""),"",IF($D1348&lt;&gt;单元查询!$B$3,"",IF(OR(单元查询!$D$3="",$E1348&amp;""=单元查询!$D$3&amp;""),IF(ISNUMBER($B1348),$B1348*10000,0)+ROW(),"")))</f>
        <v/>
      </c>
      <c r="U1348" s="0" t="str">
        <f aca="false">IF(OR($B1348="",$L1348="已完成"),"",IF(ISNUMBER($B1348),IF(设置!$B$6&lt;$B1348,"",(设置!$B$6-$B1348)*100000+ROW()),""))</f>
        <v/>
      </c>
      <c r="V1348" s="0" t="str">
        <f aca="false">IF(ISNUMBER($O1348),IF($O1348&gt;=2,IF(COUNTIFS($D1348:$D$2006,$D1348,$E1348:$E$2006,$E1348)=1,ROW(),""),""),"")</f>
        <v/>
      </c>
    </row>
    <row r="1349" customFormat="false" ht="15" hidden="false" customHeight="true" outlineLevel="0" collapsed="false">
      <c r="A1349" s="13" t="str">
        <f aca="false">IF(AND($B1349="",$D1349="",$E1349="",$F1349=""),"",IF(OR($B1349="",$D1349="",$E1349=""),"待补",IF($D1349="公共区域","公",IF($D1349="商铺","S",SUBSTITUTE($D1349,"栋","")))&amp;"-"&amp;$E1349&amp;"-"&amp;TEXT(MONTH($B1349),"00")&amp;TEXT(DAY($B1349),"00")&amp;IF(ISNUMBER($O1349),IF($O1349&gt;1,"-"&amp;TEXT($O1349,"00"),""),"")))</f>
        <v/>
      </c>
      <c r="B1349" s="14"/>
      <c r="C1349" s="10"/>
      <c r="D1349" s="10"/>
      <c r="E1349" s="10"/>
      <c r="F1349" s="16"/>
      <c r="G1349" s="10"/>
      <c r="H1349" s="10"/>
      <c r="I1349" s="10"/>
      <c r="J1349" s="10"/>
      <c r="K1349" s="10"/>
      <c r="L1349" s="10"/>
      <c r="M1349" s="14"/>
      <c r="N1349" s="17" t="str">
        <f aca="false">IF($B1349="","",IF($L1349="已完成",IF($M1349="","",$M1349-$B1349),IF(设置!$B$6&lt;$B1349,"",IF((设置!$B$6-$B1349)&gt;=设置!$B$5,"超期"&amp;(设置!$B$6-$B1349)&amp;"天","已等"&amp;(设置!$B$6-$B1349)&amp;"天"))))</f>
        <v/>
      </c>
      <c r="O1349" s="18" t="str">
        <f aca="false">IF(OR($D1349="",$E1349=""),"",COUNTIFS($D$7:$D1349,$D1349,$E$7:$E1349,$E1349))</f>
        <v/>
      </c>
      <c r="P1349" s="16"/>
      <c r="Q1349" s="19"/>
      <c r="R1349" s="10"/>
      <c r="S1349" s="16"/>
      <c r="T1349" s="0" t="str">
        <f aca="false">IF(OR($D1349="",单元查询!$B$3=""),"",IF($D1349&lt;&gt;单元查询!$B$3,"",IF(OR(单元查询!$D$3="",$E1349&amp;""=单元查询!$D$3&amp;""),IF(ISNUMBER($B1349),$B1349*10000,0)+ROW(),"")))</f>
        <v/>
      </c>
      <c r="U1349" s="0" t="str">
        <f aca="false">IF(OR($B1349="",$L1349="已完成"),"",IF(ISNUMBER($B1349),IF(设置!$B$6&lt;$B1349,"",(设置!$B$6-$B1349)*100000+ROW()),""))</f>
        <v/>
      </c>
      <c r="V1349" s="0" t="str">
        <f aca="false">IF(ISNUMBER($O1349),IF($O1349&gt;=2,IF(COUNTIFS($D1349:$D$2006,$D1349,$E1349:$E$2006,$E1349)=1,ROW(),""),""),"")</f>
        <v/>
      </c>
    </row>
    <row r="1350" customFormat="false" ht="15" hidden="false" customHeight="true" outlineLevel="0" collapsed="false">
      <c r="A1350" s="13" t="str">
        <f aca="false">IF(AND($B1350="",$D1350="",$E1350="",$F1350=""),"",IF(OR($B1350="",$D1350="",$E1350=""),"待补",IF($D1350="公共区域","公",IF($D1350="商铺","S",SUBSTITUTE($D1350,"栋","")))&amp;"-"&amp;$E1350&amp;"-"&amp;TEXT(MONTH($B1350),"00")&amp;TEXT(DAY($B1350),"00")&amp;IF(ISNUMBER($O1350),IF($O1350&gt;1,"-"&amp;TEXT($O1350,"00"),""),"")))</f>
        <v/>
      </c>
      <c r="B1350" s="14"/>
      <c r="C1350" s="10"/>
      <c r="D1350" s="10"/>
      <c r="E1350" s="10"/>
      <c r="F1350" s="16"/>
      <c r="G1350" s="10"/>
      <c r="H1350" s="10"/>
      <c r="I1350" s="10"/>
      <c r="J1350" s="10"/>
      <c r="K1350" s="10"/>
      <c r="L1350" s="10"/>
      <c r="M1350" s="14"/>
      <c r="N1350" s="17" t="str">
        <f aca="false">IF($B1350="","",IF($L1350="已完成",IF($M1350="","",$M1350-$B1350),IF(设置!$B$6&lt;$B1350,"",IF((设置!$B$6-$B1350)&gt;=设置!$B$5,"超期"&amp;(设置!$B$6-$B1350)&amp;"天","已等"&amp;(设置!$B$6-$B1350)&amp;"天"))))</f>
        <v/>
      </c>
      <c r="O1350" s="18" t="str">
        <f aca="false">IF(OR($D1350="",$E1350=""),"",COUNTIFS($D$7:$D1350,$D1350,$E$7:$E1350,$E1350))</f>
        <v/>
      </c>
      <c r="P1350" s="16"/>
      <c r="Q1350" s="19"/>
      <c r="R1350" s="10"/>
      <c r="S1350" s="16"/>
      <c r="T1350" s="0" t="str">
        <f aca="false">IF(OR($D1350="",单元查询!$B$3=""),"",IF($D1350&lt;&gt;单元查询!$B$3,"",IF(OR(单元查询!$D$3="",$E1350&amp;""=单元查询!$D$3&amp;""),IF(ISNUMBER($B1350),$B1350*10000,0)+ROW(),"")))</f>
        <v/>
      </c>
      <c r="U1350" s="0" t="str">
        <f aca="false">IF(OR($B1350="",$L1350="已完成"),"",IF(ISNUMBER($B1350),IF(设置!$B$6&lt;$B1350,"",(设置!$B$6-$B1350)*100000+ROW()),""))</f>
        <v/>
      </c>
      <c r="V1350" s="0" t="str">
        <f aca="false">IF(ISNUMBER($O1350),IF($O1350&gt;=2,IF(COUNTIFS($D1350:$D$2006,$D1350,$E1350:$E$2006,$E1350)=1,ROW(),""),""),"")</f>
        <v/>
      </c>
    </row>
    <row r="1351" customFormat="false" ht="15" hidden="false" customHeight="true" outlineLevel="0" collapsed="false">
      <c r="A1351" s="13" t="str">
        <f aca="false">IF(AND($B1351="",$D1351="",$E1351="",$F1351=""),"",IF(OR($B1351="",$D1351="",$E1351=""),"待补",IF($D1351="公共区域","公",IF($D1351="商铺","S",SUBSTITUTE($D1351,"栋","")))&amp;"-"&amp;$E1351&amp;"-"&amp;TEXT(MONTH($B1351),"00")&amp;TEXT(DAY($B1351),"00")&amp;IF(ISNUMBER($O1351),IF($O1351&gt;1,"-"&amp;TEXT($O1351,"00"),""),"")))</f>
        <v/>
      </c>
      <c r="B1351" s="14"/>
      <c r="C1351" s="10"/>
      <c r="D1351" s="10"/>
      <c r="E1351" s="10"/>
      <c r="F1351" s="16"/>
      <c r="G1351" s="10"/>
      <c r="H1351" s="10"/>
      <c r="I1351" s="10"/>
      <c r="J1351" s="10"/>
      <c r="K1351" s="10"/>
      <c r="L1351" s="10"/>
      <c r="M1351" s="14"/>
      <c r="N1351" s="17" t="str">
        <f aca="false">IF($B1351="","",IF($L1351="已完成",IF($M1351="","",$M1351-$B1351),IF(设置!$B$6&lt;$B1351,"",IF((设置!$B$6-$B1351)&gt;=设置!$B$5,"超期"&amp;(设置!$B$6-$B1351)&amp;"天","已等"&amp;(设置!$B$6-$B1351)&amp;"天"))))</f>
        <v/>
      </c>
      <c r="O1351" s="18" t="str">
        <f aca="false">IF(OR($D1351="",$E1351=""),"",COUNTIFS($D$7:$D1351,$D1351,$E$7:$E1351,$E1351))</f>
        <v/>
      </c>
      <c r="P1351" s="16"/>
      <c r="Q1351" s="19"/>
      <c r="R1351" s="10"/>
      <c r="S1351" s="16"/>
      <c r="T1351" s="0" t="str">
        <f aca="false">IF(OR($D1351="",单元查询!$B$3=""),"",IF($D1351&lt;&gt;单元查询!$B$3,"",IF(OR(单元查询!$D$3="",$E1351&amp;""=单元查询!$D$3&amp;""),IF(ISNUMBER($B1351),$B1351*10000,0)+ROW(),"")))</f>
        <v/>
      </c>
      <c r="U1351" s="0" t="str">
        <f aca="false">IF(OR($B1351="",$L1351="已完成"),"",IF(ISNUMBER($B1351),IF(设置!$B$6&lt;$B1351,"",(设置!$B$6-$B1351)*100000+ROW()),""))</f>
        <v/>
      </c>
      <c r="V1351" s="0" t="str">
        <f aca="false">IF(ISNUMBER($O1351),IF($O1351&gt;=2,IF(COUNTIFS($D1351:$D$2006,$D1351,$E1351:$E$2006,$E1351)=1,ROW(),""),""),"")</f>
        <v/>
      </c>
    </row>
    <row r="1352" customFormat="false" ht="15" hidden="false" customHeight="true" outlineLevel="0" collapsed="false">
      <c r="A1352" s="13" t="str">
        <f aca="false">IF(AND($B1352="",$D1352="",$E1352="",$F1352=""),"",IF(OR($B1352="",$D1352="",$E1352=""),"待补",IF($D1352="公共区域","公",IF($D1352="商铺","S",SUBSTITUTE($D1352,"栋","")))&amp;"-"&amp;$E1352&amp;"-"&amp;TEXT(MONTH($B1352),"00")&amp;TEXT(DAY($B1352),"00")&amp;IF(ISNUMBER($O1352),IF($O1352&gt;1,"-"&amp;TEXT($O1352,"00"),""),"")))</f>
        <v/>
      </c>
      <c r="B1352" s="14"/>
      <c r="C1352" s="10"/>
      <c r="D1352" s="10"/>
      <c r="E1352" s="10"/>
      <c r="F1352" s="16"/>
      <c r="G1352" s="10"/>
      <c r="H1352" s="10"/>
      <c r="I1352" s="10"/>
      <c r="J1352" s="10"/>
      <c r="K1352" s="10"/>
      <c r="L1352" s="10"/>
      <c r="M1352" s="14"/>
      <c r="N1352" s="17" t="str">
        <f aca="false">IF($B1352="","",IF($L1352="已完成",IF($M1352="","",$M1352-$B1352),IF(设置!$B$6&lt;$B1352,"",IF((设置!$B$6-$B1352)&gt;=设置!$B$5,"超期"&amp;(设置!$B$6-$B1352)&amp;"天","已等"&amp;(设置!$B$6-$B1352)&amp;"天"))))</f>
        <v/>
      </c>
      <c r="O1352" s="18" t="str">
        <f aca="false">IF(OR($D1352="",$E1352=""),"",COUNTIFS($D$7:$D1352,$D1352,$E$7:$E1352,$E1352))</f>
        <v/>
      </c>
      <c r="P1352" s="16"/>
      <c r="Q1352" s="19"/>
      <c r="R1352" s="10"/>
      <c r="S1352" s="16"/>
      <c r="T1352" s="0" t="str">
        <f aca="false">IF(OR($D1352="",单元查询!$B$3=""),"",IF($D1352&lt;&gt;单元查询!$B$3,"",IF(OR(单元查询!$D$3="",$E1352&amp;""=单元查询!$D$3&amp;""),IF(ISNUMBER($B1352),$B1352*10000,0)+ROW(),"")))</f>
        <v/>
      </c>
      <c r="U1352" s="0" t="str">
        <f aca="false">IF(OR($B1352="",$L1352="已完成"),"",IF(ISNUMBER($B1352),IF(设置!$B$6&lt;$B1352,"",(设置!$B$6-$B1352)*100000+ROW()),""))</f>
        <v/>
      </c>
      <c r="V1352" s="0" t="str">
        <f aca="false">IF(ISNUMBER($O1352),IF($O1352&gt;=2,IF(COUNTIFS($D1352:$D$2006,$D1352,$E1352:$E$2006,$E1352)=1,ROW(),""),""),"")</f>
        <v/>
      </c>
    </row>
    <row r="1353" customFormat="false" ht="15" hidden="false" customHeight="true" outlineLevel="0" collapsed="false">
      <c r="A1353" s="13" t="str">
        <f aca="false">IF(AND($B1353="",$D1353="",$E1353="",$F1353=""),"",IF(OR($B1353="",$D1353="",$E1353=""),"待补",IF($D1353="公共区域","公",IF($D1353="商铺","S",SUBSTITUTE($D1353,"栋","")))&amp;"-"&amp;$E1353&amp;"-"&amp;TEXT(MONTH($B1353),"00")&amp;TEXT(DAY($B1353),"00")&amp;IF(ISNUMBER($O1353),IF($O1353&gt;1,"-"&amp;TEXT($O1353,"00"),""),"")))</f>
        <v/>
      </c>
      <c r="B1353" s="14"/>
      <c r="C1353" s="10"/>
      <c r="D1353" s="10"/>
      <c r="E1353" s="10"/>
      <c r="F1353" s="16"/>
      <c r="G1353" s="10"/>
      <c r="H1353" s="10"/>
      <c r="I1353" s="10"/>
      <c r="J1353" s="10"/>
      <c r="K1353" s="10"/>
      <c r="L1353" s="10"/>
      <c r="M1353" s="14"/>
      <c r="N1353" s="17" t="str">
        <f aca="false">IF($B1353="","",IF($L1353="已完成",IF($M1353="","",$M1353-$B1353),IF(设置!$B$6&lt;$B1353,"",IF((设置!$B$6-$B1353)&gt;=设置!$B$5,"超期"&amp;(设置!$B$6-$B1353)&amp;"天","已等"&amp;(设置!$B$6-$B1353)&amp;"天"))))</f>
        <v/>
      </c>
      <c r="O1353" s="18" t="str">
        <f aca="false">IF(OR($D1353="",$E1353=""),"",COUNTIFS($D$7:$D1353,$D1353,$E$7:$E1353,$E1353))</f>
        <v/>
      </c>
      <c r="P1353" s="16"/>
      <c r="Q1353" s="19"/>
      <c r="R1353" s="10"/>
      <c r="S1353" s="16"/>
      <c r="T1353" s="0" t="str">
        <f aca="false">IF(OR($D1353="",单元查询!$B$3=""),"",IF($D1353&lt;&gt;单元查询!$B$3,"",IF(OR(单元查询!$D$3="",$E1353&amp;""=单元查询!$D$3&amp;""),IF(ISNUMBER($B1353),$B1353*10000,0)+ROW(),"")))</f>
        <v/>
      </c>
      <c r="U1353" s="0" t="str">
        <f aca="false">IF(OR($B1353="",$L1353="已完成"),"",IF(ISNUMBER($B1353),IF(设置!$B$6&lt;$B1353,"",(设置!$B$6-$B1353)*100000+ROW()),""))</f>
        <v/>
      </c>
      <c r="V1353" s="0" t="str">
        <f aca="false">IF(ISNUMBER($O1353),IF($O1353&gt;=2,IF(COUNTIFS($D1353:$D$2006,$D1353,$E1353:$E$2006,$E1353)=1,ROW(),""),""),"")</f>
        <v/>
      </c>
    </row>
    <row r="1354" customFormat="false" ht="15" hidden="false" customHeight="true" outlineLevel="0" collapsed="false">
      <c r="A1354" s="13" t="str">
        <f aca="false">IF(AND($B1354="",$D1354="",$E1354="",$F1354=""),"",IF(OR($B1354="",$D1354="",$E1354=""),"待补",IF($D1354="公共区域","公",IF($D1354="商铺","S",SUBSTITUTE($D1354,"栋","")))&amp;"-"&amp;$E1354&amp;"-"&amp;TEXT(MONTH($B1354),"00")&amp;TEXT(DAY($B1354),"00")&amp;IF(ISNUMBER($O1354),IF($O1354&gt;1,"-"&amp;TEXT($O1354,"00"),""),"")))</f>
        <v/>
      </c>
      <c r="B1354" s="14"/>
      <c r="C1354" s="10"/>
      <c r="D1354" s="10"/>
      <c r="E1354" s="10"/>
      <c r="F1354" s="16"/>
      <c r="G1354" s="10"/>
      <c r="H1354" s="10"/>
      <c r="I1354" s="10"/>
      <c r="J1354" s="10"/>
      <c r="K1354" s="10"/>
      <c r="L1354" s="10"/>
      <c r="M1354" s="14"/>
      <c r="N1354" s="17" t="str">
        <f aca="false">IF($B1354="","",IF($L1354="已完成",IF($M1354="","",$M1354-$B1354),IF(设置!$B$6&lt;$B1354,"",IF((设置!$B$6-$B1354)&gt;=设置!$B$5,"超期"&amp;(设置!$B$6-$B1354)&amp;"天","已等"&amp;(设置!$B$6-$B1354)&amp;"天"))))</f>
        <v/>
      </c>
      <c r="O1354" s="18" t="str">
        <f aca="false">IF(OR($D1354="",$E1354=""),"",COUNTIFS($D$7:$D1354,$D1354,$E$7:$E1354,$E1354))</f>
        <v/>
      </c>
      <c r="P1354" s="16"/>
      <c r="Q1354" s="19"/>
      <c r="R1354" s="10"/>
      <c r="S1354" s="16"/>
      <c r="T1354" s="0" t="str">
        <f aca="false">IF(OR($D1354="",单元查询!$B$3=""),"",IF($D1354&lt;&gt;单元查询!$B$3,"",IF(OR(单元查询!$D$3="",$E1354&amp;""=单元查询!$D$3&amp;""),IF(ISNUMBER($B1354),$B1354*10000,0)+ROW(),"")))</f>
        <v/>
      </c>
      <c r="U1354" s="0" t="str">
        <f aca="false">IF(OR($B1354="",$L1354="已完成"),"",IF(ISNUMBER($B1354),IF(设置!$B$6&lt;$B1354,"",(设置!$B$6-$B1354)*100000+ROW()),""))</f>
        <v/>
      </c>
      <c r="V1354" s="0" t="str">
        <f aca="false">IF(ISNUMBER($O1354),IF($O1354&gt;=2,IF(COUNTIFS($D1354:$D$2006,$D1354,$E1354:$E$2006,$E1354)=1,ROW(),""),""),"")</f>
        <v/>
      </c>
    </row>
    <row r="1355" customFormat="false" ht="15" hidden="false" customHeight="true" outlineLevel="0" collapsed="false">
      <c r="A1355" s="13" t="str">
        <f aca="false">IF(AND($B1355="",$D1355="",$E1355="",$F1355=""),"",IF(OR($B1355="",$D1355="",$E1355=""),"待补",IF($D1355="公共区域","公",IF($D1355="商铺","S",SUBSTITUTE($D1355,"栋","")))&amp;"-"&amp;$E1355&amp;"-"&amp;TEXT(MONTH($B1355),"00")&amp;TEXT(DAY($B1355),"00")&amp;IF(ISNUMBER($O1355),IF($O1355&gt;1,"-"&amp;TEXT($O1355,"00"),""),"")))</f>
        <v/>
      </c>
      <c r="B1355" s="14"/>
      <c r="C1355" s="10"/>
      <c r="D1355" s="10"/>
      <c r="E1355" s="10"/>
      <c r="F1355" s="16"/>
      <c r="G1355" s="10"/>
      <c r="H1355" s="10"/>
      <c r="I1355" s="10"/>
      <c r="J1355" s="10"/>
      <c r="K1355" s="10"/>
      <c r="L1355" s="10"/>
      <c r="M1355" s="14"/>
      <c r="N1355" s="17" t="str">
        <f aca="false">IF($B1355="","",IF($L1355="已完成",IF($M1355="","",$M1355-$B1355),IF(设置!$B$6&lt;$B1355,"",IF((设置!$B$6-$B1355)&gt;=设置!$B$5,"超期"&amp;(设置!$B$6-$B1355)&amp;"天","已等"&amp;(设置!$B$6-$B1355)&amp;"天"))))</f>
        <v/>
      </c>
      <c r="O1355" s="18" t="str">
        <f aca="false">IF(OR($D1355="",$E1355=""),"",COUNTIFS($D$7:$D1355,$D1355,$E$7:$E1355,$E1355))</f>
        <v/>
      </c>
      <c r="P1355" s="16"/>
      <c r="Q1355" s="19"/>
      <c r="R1355" s="10"/>
      <c r="S1355" s="16"/>
      <c r="T1355" s="0" t="str">
        <f aca="false">IF(OR($D1355="",单元查询!$B$3=""),"",IF($D1355&lt;&gt;单元查询!$B$3,"",IF(OR(单元查询!$D$3="",$E1355&amp;""=单元查询!$D$3&amp;""),IF(ISNUMBER($B1355),$B1355*10000,0)+ROW(),"")))</f>
        <v/>
      </c>
      <c r="U1355" s="0" t="str">
        <f aca="false">IF(OR($B1355="",$L1355="已完成"),"",IF(ISNUMBER($B1355),IF(设置!$B$6&lt;$B1355,"",(设置!$B$6-$B1355)*100000+ROW()),""))</f>
        <v/>
      </c>
      <c r="V1355" s="0" t="str">
        <f aca="false">IF(ISNUMBER($O1355),IF($O1355&gt;=2,IF(COUNTIFS($D1355:$D$2006,$D1355,$E1355:$E$2006,$E1355)=1,ROW(),""),""),"")</f>
        <v/>
      </c>
    </row>
    <row r="1356" customFormat="false" ht="15" hidden="false" customHeight="true" outlineLevel="0" collapsed="false">
      <c r="A1356" s="13" t="str">
        <f aca="false">IF(AND($B1356="",$D1356="",$E1356="",$F1356=""),"",IF(OR($B1356="",$D1356="",$E1356=""),"待补",IF($D1356="公共区域","公",IF($D1356="商铺","S",SUBSTITUTE($D1356,"栋","")))&amp;"-"&amp;$E1356&amp;"-"&amp;TEXT(MONTH($B1356),"00")&amp;TEXT(DAY($B1356),"00")&amp;IF(ISNUMBER($O1356),IF($O1356&gt;1,"-"&amp;TEXT($O1356,"00"),""),"")))</f>
        <v/>
      </c>
      <c r="B1356" s="14"/>
      <c r="C1356" s="10"/>
      <c r="D1356" s="10"/>
      <c r="E1356" s="10"/>
      <c r="F1356" s="16"/>
      <c r="G1356" s="10"/>
      <c r="H1356" s="10"/>
      <c r="I1356" s="10"/>
      <c r="J1356" s="10"/>
      <c r="K1356" s="10"/>
      <c r="L1356" s="10"/>
      <c r="M1356" s="14"/>
      <c r="N1356" s="17" t="str">
        <f aca="false">IF($B1356="","",IF($L1356="已完成",IF($M1356="","",$M1356-$B1356),IF(设置!$B$6&lt;$B1356,"",IF((设置!$B$6-$B1356)&gt;=设置!$B$5,"超期"&amp;(设置!$B$6-$B1356)&amp;"天","已等"&amp;(设置!$B$6-$B1356)&amp;"天"))))</f>
        <v/>
      </c>
      <c r="O1356" s="18" t="str">
        <f aca="false">IF(OR($D1356="",$E1356=""),"",COUNTIFS($D$7:$D1356,$D1356,$E$7:$E1356,$E1356))</f>
        <v/>
      </c>
      <c r="P1356" s="16"/>
      <c r="Q1356" s="19"/>
      <c r="R1356" s="10"/>
      <c r="S1356" s="16"/>
      <c r="T1356" s="0" t="str">
        <f aca="false">IF(OR($D1356="",单元查询!$B$3=""),"",IF($D1356&lt;&gt;单元查询!$B$3,"",IF(OR(单元查询!$D$3="",$E1356&amp;""=单元查询!$D$3&amp;""),IF(ISNUMBER($B1356),$B1356*10000,0)+ROW(),"")))</f>
        <v/>
      </c>
      <c r="U1356" s="0" t="str">
        <f aca="false">IF(OR($B1356="",$L1356="已完成"),"",IF(ISNUMBER($B1356),IF(设置!$B$6&lt;$B1356,"",(设置!$B$6-$B1356)*100000+ROW()),""))</f>
        <v/>
      </c>
      <c r="V1356" s="0" t="str">
        <f aca="false">IF(ISNUMBER($O1356),IF($O1356&gt;=2,IF(COUNTIFS($D1356:$D$2006,$D1356,$E1356:$E$2006,$E1356)=1,ROW(),""),""),"")</f>
        <v/>
      </c>
    </row>
    <row r="1357" customFormat="false" ht="15" hidden="false" customHeight="true" outlineLevel="0" collapsed="false">
      <c r="A1357" s="13" t="str">
        <f aca="false">IF(AND($B1357="",$D1357="",$E1357="",$F1357=""),"",IF(OR($B1357="",$D1357="",$E1357=""),"待补",IF($D1357="公共区域","公",IF($D1357="商铺","S",SUBSTITUTE($D1357,"栋","")))&amp;"-"&amp;$E1357&amp;"-"&amp;TEXT(MONTH($B1357),"00")&amp;TEXT(DAY($B1357),"00")&amp;IF(ISNUMBER($O1357),IF($O1357&gt;1,"-"&amp;TEXT($O1357,"00"),""),"")))</f>
        <v/>
      </c>
      <c r="B1357" s="14"/>
      <c r="C1357" s="10"/>
      <c r="D1357" s="10"/>
      <c r="E1357" s="10"/>
      <c r="F1357" s="16"/>
      <c r="G1357" s="10"/>
      <c r="H1357" s="10"/>
      <c r="I1357" s="10"/>
      <c r="J1357" s="10"/>
      <c r="K1357" s="10"/>
      <c r="L1357" s="10"/>
      <c r="M1357" s="14"/>
      <c r="N1357" s="17" t="str">
        <f aca="false">IF($B1357="","",IF($L1357="已完成",IF($M1357="","",$M1357-$B1357),IF(设置!$B$6&lt;$B1357,"",IF((设置!$B$6-$B1357)&gt;=设置!$B$5,"超期"&amp;(设置!$B$6-$B1357)&amp;"天","已等"&amp;(设置!$B$6-$B1357)&amp;"天"))))</f>
        <v/>
      </c>
      <c r="O1357" s="18" t="str">
        <f aca="false">IF(OR($D1357="",$E1357=""),"",COUNTIFS($D$7:$D1357,$D1357,$E$7:$E1357,$E1357))</f>
        <v/>
      </c>
      <c r="P1357" s="16"/>
      <c r="Q1357" s="19"/>
      <c r="R1357" s="10"/>
      <c r="S1357" s="16"/>
      <c r="T1357" s="0" t="str">
        <f aca="false">IF(OR($D1357="",单元查询!$B$3=""),"",IF($D1357&lt;&gt;单元查询!$B$3,"",IF(OR(单元查询!$D$3="",$E1357&amp;""=单元查询!$D$3&amp;""),IF(ISNUMBER($B1357),$B1357*10000,0)+ROW(),"")))</f>
        <v/>
      </c>
      <c r="U1357" s="0" t="str">
        <f aca="false">IF(OR($B1357="",$L1357="已完成"),"",IF(ISNUMBER($B1357),IF(设置!$B$6&lt;$B1357,"",(设置!$B$6-$B1357)*100000+ROW()),""))</f>
        <v/>
      </c>
      <c r="V1357" s="0" t="str">
        <f aca="false">IF(ISNUMBER($O1357),IF($O1357&gt;=2,IF(COUNTIFS($D1357:$D$2006,$D1357,$E1357:$E$2006,$E1357)=1,ROW(),""),""),"")</f>
        <v/>
      </c>
    </row>
    <row r="1358" customFormat="false" ht="15" hidden="false" customHeight="true" outlineLevel="0" collapsed="false">
      <c r="A1358" s="13" t="str">
        <f aca="false">IF(AND($B1358="",$D1358="",$E1358="",$F1358=""),"",IF(OR($B1358="",$D1358="",$E1358=""),"待补",IF($D1358="公共区域","公",IF($D1358="商铺","S",SUBSTITUTE($D1358,"栋","")))&amp;"-"&amp;$E1358&amp;"-"&amp;TEXT(MONTH($B1358),"00")&amp;TEXT(DAY($B1358),"00")&amp;IF(ISNUMBER($O1358),IF($O1358&gt;1,"-"&amp;TEXT($O1358,"00"),""),"")))</f>
        <v/>
      </c>
      <c r="B1358" s="14"/>
      <c r="C1358" s="10"/>
      <c r="D1358" s="10"/>
      <c r="E1358" s="10"/>
      <c r="F1358" s="16"/>
      <c r="G1358" s="10"/>
      <c r="H1358" s="10"/>
      <c r="I1358" s="10"/>
      <c r="J1358" s="10"/>
      <c r="K1358" s="10"/>
      <c r="L1358" s="10"/>
      <c r="M1358" s="14"/>
      <c r="N1358" s="17" t="str">
        <f aca="false">IF($B1358="","",IF($L1358="已完成",IF($M1358="","",$M1358-$B1358),IF(设置!$B$6&lt;$B1358,"",IF((设置!$B$6-$B1358)&gt;=设置!$B$5,"超期"&amp;(设置!$B$6-$B1358)&amp;"天","已等"&amp;(设置!$B$6-$B1358)&amp;"天"))))</f>
        <v/>
      </c>
      <c r="O1358" s="18" t="str">
        <f aca="false">IF(OR($D1358="",$E1358=""),"",COUNTIFS($D$7:$D1358,$D1358,$E$7:$E1358,$E1358))</f>
        <v/>
      </c>
      <c r="P1358" s="16"/>
      <c r="Q1358" s="19"/>
      <c r="R1358" s="10"/>
      <c r="S1358" s="16"/>
      <c r="T1358" s="0" t="str">
        <f aca="false">IF(OR($D1358="",单元查询!$B$3=""),"",IF($D1358&lt;&gt;单元查询!$B$3,"",IF(OR(单元查询!$D$3="",$E1358&amp;""=单元查询!$D$3&amp;""),IF(ISNUMBER($B1358),$B1358*10000,0)+ROW(),"")))</f>
        <v/>
      </c>
      <c r="U1358" s="0" t="str">
        <f aca="false">IF(OR($B1358="",$L1358="已完成"),"",IF(ISNUMBER($B1358),IF(设置!$B$6&lt;$B1358,"",(设置!$B$6-$B1358)*100000+ROW()),""))</f>
        <v/>
      </c>
      <c r="V1358" s="0" t="str">
        <f aca="false">IF(ISNUMBER($O1358),IF($O1358&gt;=2,IF(COUNTIFS($D1358:$D$2006,$D1358,$E1358:$E$2006,$E1358)=1,ROW(),""),""),"")</f>
        <v/>
      </c>
    </row>
    <row r="1359" customFormat="false" ht="15" hidden="false" customHeight="true" outlineLevel="0" collapsed="false">
      <c r="A1359" s="13" t="str">
        <f aca="false">IF(AND($B1359="",$D1359="",$E1359="",$F1359=""),"",IF(OR($B1359="",$D1359="",$E1359=""),"待补",IF($D1359="公共区域","公",IF($D1359="商铺","S",SUBSTITUTE($D1359,"栋","")))&amp;"-"&amp;$E1359&amp;"-"&amp;TEXT(MONTH($B1359),"00")&amp;TEXT(DAY($B1359),"00")&amp;IF(ISNUMBER($O1359),IF($O1359&gt;1,"-"&amp;TEXT($O1359,"00"),""),"")))</f>
        <v/>
      </c>
      <c r="B1359" s="14"/>
      <c r="C1359" s="10"/>
      <c r="D1359" s="10"/>
      <c r="E1359" s="10"/>
      <c r="F1359" s="16"/>
      <c r="G1359" s="10"/>
      <c r="H1359" s="10"/>
      <c r="I1359" s="10"/>
      <c r="J1359" s="10"/>
      <c r="K1359" s="10"/>
      <c r="L1359" s="10"/>
      <c r="M1359" s="14"/>
      <c r="N1359" s="17" t="str">
        <f aca="false">IF($B1359="","",IF($L1359="已完成",IF($M1359="","",$M1359-$B1359),IF(设置!$B$6&lt;$B1359,"",IF((设置!$B$6-$B1359)&gt;=设置!$B$5,"超期"&amp;(设置!$B$6-$B1359)&amp;"天","已等"&amp;(设置!$B$6-$B1359)&amp;"天"))))</f>
        <v/>
      </c>
      <c r="O1359" s="18" t="str">
        <f aca="false">IF(OR($D1359="",$E1359=""),"",COUNTIFS($D$7:$D1359,$D1359,$E$7:$E1359,$E1359))</f>
        <v/>
      </c>
      <c r="P1359" s="16"/>
      <c r="Q1359" s="19"/>
      <c r="R1359" s="10"/>
      <c r="S1359" s="16"/>
      <c r="T1359" s="0" t="str">
        <f aca="false">IF(OR($D1359="",单元查询!$B$3=""),"",IF($D1359&lt;&gt;单元查询!$B$3,"",IF(OR(单元查询!$D$3="",$E1359&amp;""=单元查询!$D$3&amp;""),IF(ISNUMBER($B1359),$B1359*10000,0)+ROW(),"")))</f>
        <v/>
      </c>
      <c r="U1359" s="0" t="str">
        <f aca="false">IF(OR($B1359="",$L1359="已完成"),"",IF(ISNUMBER($B1359),IF(设置!$B$6&lt;$B1359,"",(设置!$B$6-$B1359)*100000+ROW()),""))</f>
        <v/>
      </c>
      <c r="V1359" s="0" t="str">
        <f aca="false">IF(ISNUMBER($O1359),IF($O1359&gt;=2,IF(COUNTIFS($D1359:$D$2006,$D1359,$E1359:$E$2006,$E1359)=1,ROW(),""),""),"")</f>
        <v/>
      </c>
    </row>
    <row r="1360" customFormat="false" ht="15" hidden="false" customHeight="true" outlineLevel="0" collapsed="false">
      <c r="A1360" s="13" t="str">
        <f aca="false">IF(AND($B1360="",$D1360="",$E1360="",$F1360=""),"",IF(OR($B1360="",$D1360="",$E1360=""),"待补",IF($D1360="公共区域","公",IF($D1360="商铺","S",SUBSTITUTE($D1360,"栋","")))&amp;"-"&amp;$E1360&amp;"-"&amp;TEXT(MONTH($B1360),"00")&amp;TEXT(DAY($B1360),"00")&amp;IF(ISNUMBER($O1360),IF($O1360&gt;1,"-"&amp;TEXT($O1360,"00"),""),"")))</f>
        <v/>
      </c>
      <c r="B1360" s="14"/>
      <c r="C1360" s="10"/>
      <c r="D1360" s="10"/>
      <c r="E1360" s="10"/>
      <c r="F1360" s="16"/>
      <c r="G1360" s="10"/>
      <c r="H1360" s="10"/>
      <c r="I1360" s="10"/>
      <c r="J1360" s="10"/>
      <c r="K1360" s="10"/>
      <c r="L1360" s="10"/>
      <c r="M1360" s="14"/>
      <c r="N1360" s="17" t="str">
        <f aca="false">IF($B1360="","",IF($L1360="已完成",IF($M1360="","",$M1360-$B1360),IF(设置!$B$6&lt;$B1360,"",IF((设置!$B$6-$B1360)&gt;=设置!$B$5,"超期"&amp;(设置!$B$6-$B1360)&amp;"天","已等"&amp;(设置!$B$6-$B1360)&amp;"天"))))</f>
        <v/>
      </c>
      <c r="O1360" s="18" t="str">
        <f aca="false">IF(OR($D1360="",$E1360=""),"",COUNTIFS($D$7:$D1360,$D1360,$E$7:$E1360,$E1360))</f>
        <v/>
      </c>
      <c r="P1360" s="16"/>
      <c r="Q1360" s="19"/>
      <c r="R1360" s="10"/>
      <c r="S1360" s="16"/>
      <c r="T1360" s="0" t="str">
        <f aca="false">IF(OR($D1360="",单元查询!$B$3=""),"",IF($D1360&lt;&gt;单元查询!$B$3,"",IF(OR(单元查询!$D$3="",$E1360&amp;""=单元查询!$D$3&amp;""),IF(ISNUMBER($B1360),$B1360*10000,0)+ROW(),"")))</f>
        <v/>
      </c>
      <c r="U1360" s="0" t="str">
        <f aca="false">IF(OR($B1360="",$L1360="已完成"),"",IF(ISNUMBER($B1360),IF(设置!$B$6&lt;$B1360,"",(设置!$B$6-$B1360)*100000+ROW()),""))</f>
        <v/>
      </c>
      <c r="V1360" s="0" t="str">
        <f aca="false">IF(ISNUMBER($O1360),IF($O1360&gt;=2,IF(COUNTIFS($D1360:$D$2006,$D1360,$E1360:$E$2006,$E1360)=1,ROW(),""),""),"")</f>
        <v/>
      </c>
    </row>
    <row r="1361" customFormat="false" ht="15" hidden="false" customHeight="true" outlineLevel="0" collapsed="false">
      <c r="A1361" s="13" t="str">
        <f aca="false">IF(AND($B1361="",$D1361="",$E1361="",$F1361=""),"",IF(OR($B1361="",$D1361="",$E1361=""),"待补",IF($D1361="公共区域","公",IF($D1361="商铺","S",SUBSTITUTE($D1361,"栋","")))&amp;"-"&amp;$E1361&amp;"-"&amp;TEXT(MONTH($B1361),"00")&amp;TEXT(DAY($B1361),"00")&amp;IF(ISNUMBER($O1361),IF($O1361&gt;1,"-"&amp;TEXT($O1361,"00"),""),"")))</f>
        <v/>
      </c>
      <c r="B1361" s="14"/>
      <c r="C1361" s="10"/>
      <c r="D1361" s="10"/>
      <c r="E1361" s="10"/>
      <c r="F1361" s="16"/>
      <c r="G1361" s="10"/>
      <c r="H1361" s="10"/>
      <c r="I1361" s="10"/>
      <c r="J1361" s="10"/>
      <c r="K1361" s="10"/>
      <c r="L1361" s="10"/>
      <c r="M1361" s="14"/>
      <c r="N1361" s="17" t="str">
        <f aca="false">IF($B1361="","",IF($L1361="已完成",IF($M1361="","",$M1361-$B1361),IF(设置!$B$6&lt;$B1361,"",IF((设置!$B$6-$B1361)&gt;=设置!$B$5,"超期"&amp;(设置!$B$6-$B1361)&amp;"天","已等"&amp;(设置!$B$6-$B1361)&amp;"天"))))</f>
        <v/>
      </c>
      <c r="O1361" s="18" t="str">
        <f aca="false">IF(OR($D1361="",$E1361=""),"",COUNTIFS($D$7:$D1361,$D1361,$E$7:$E1361,$E1361))</f>
        <v/>
      </c>
      <c r="P1361" s="16"/>
      <c r="Q1361" s="19"/>
      <c r="R1361" s="10"/>
      <c r="S1361" s="16"/>
      <c r="T1361" s="0" t="str">
        <f aca="false">IF(OR($D1361="",单元查询!$B$3=""),"",IF($D1361&lt;&gt;单元查询!$B$3,"",IF(OR(单元查询!$D$3="",$E1361&amp;""=单元查询!$D$3&amp;""),IF(ISNUMBER($B1361),$B1361*10000,0)+ROW(),"")))</f>
        <v/>
      </c>
      <c r="U1361" s="0" t="str">
        <f aca="false">IF(OR($B1361="",$L1361="已完成"),"",IF(ISNUMBER($B1361),IF(设置!$B$6&lt;$B1361,"",(设置!$B$6-$B1361)*100000+ROW()),""))</f>
        <v/>
      </c>
      <c r="V1361" s="0" t="str">
        <f aca="false">IF(ISNUMBER($O1361),IF($O1361&gt;=2,IF(COUNTIFS($D1361:$D$2006,$D1361,$E1361:$E$2006,$E1361)=1,ROW(),""),""),"")</f>
        <v/>
      </c>
    </row>
    <row r="1362" customFormat="false" ht="15" hidden="false" customHeight="true" outlineLevel="0" collapsed="false">
      <c r="A1362" s="13" t="str">
        <f aca="false">IF(AND($B1362="",$D1362="",$E1362="",$F1362=""),"",IF(OR($B1362="",$D1362="",$E1362=""),"待补",IF($D1362="公共区域","公",IF($D1362="商铺","S",SUBSTITUTE($D1362,"栋","")))&amp;"-"&amp;$E1362&amp;"-"&amp;TEXT(MONTH($B1362),"00")&amp;TEXT(DAY($B1362),"00")&amp;IF(ISNUMBER($O1362),IF($O1362&gt;1,"-"&amp;TEXT($O1362,"00"),""),"")))</f>
        <v/>
      </c>
      <c r="B1362" s="14"/>
      <c r="C1362" s="10"/>
      <c r="D1362" s="10"/>
      <c r="E1362" s="10"/>
      <c r="F1362" s="16"/>
      <c r="G1362" s="10"/>
      <c r="H1362" s="10"/>
      <c r="I1362" s="10"/>
      <c r="J1362" s="10"/>
      <c r="K1362" s="10"/>
      <c r="L1362" s="10"/>
      <c r="M1362" s="14"/>
      <c r="N1362" s="17" t="str">
        <f aca="false">IF($B1362="","",IF($L1362="已完成",IF($M1362="","",$M1362-$B1362),IF(设置!$B$6&lt;$B1362,"",IF((设置!$B$6-$B1362)&gt;=设置!$B$5,"超期"&amp;(设置!$B$6-$B1362)&amp;"天","已等"&amp;(设置!$B$6-$B1362)&amp;"天"))))</f>
        <v/>
      </c>
      <c r="O1362" s="18" t="str">
        <f aca="false">IF(OR($D1362="",$E1362=""),"",COUNTIFS($D$7:$D1362,$D1362,$E$7:$E1362,$E1362))</f>
        <v/>
      </c>
      <c r="P1362" s="16"/>
      <c r="Q1362" s="19"/>
      <c r="R1362" s="10"/>
      <c r="S1362" s="16"/>
      <c r="T1362" s="0" t="str">
        <f aca="false">IF(OR($D1362="",单元查询!$B$3=""),"",IF($D1362&lt;&gt;单元查询!$B$3,"",IF(OR(单元查询!$D$3="",$E1362&amp;""=单元查询!$D$3&amp;""),IF(ISNUMBER($B1362),$B1362*10000,0)+ROW(),"")))</f>
        <v/>
      </c>
      <c r="U1362" s="0" t="str">
        <f aca="false">IF(OR($B1362="",$L1362="已完成"),"",IF(ISNUMBER($B1362),IF(设置!$B$6&lt;$B1362,"",(设置!$B$6-$B1362)*100000+ROW()),""))</f>
        <v/>
      </c>
      <c r="V1362" s="0" t="str">
        <f aca="false">IF(ISNUMBER($O1362),IF($O1362&gt;=2,IF(COUNTIFS($D1362:$D$2006,$D1362,$E1362:$E$2006,$E1362)=1,ROW(),""),""),"")</f>
        <v/>
      </c>
    </row>
    <row r="1363" customFormat="false" ht="15" hidden="false" customHeight="true" outlineLevel="0" collapsed="false">
      <c r="A1363" s="13" t="str">
        <f aca="false">IF(AND($B1363="",$D1363="",$E1363="",$F1363=""),"",IF(OR($B1363="",$D1363="",$E1363=""),"待补",IF($D1363="公共区域","公",IF($D1363="商铺","S",SUBSTITUTE($D1363,"栋","")))&amp;"-"&amp;$E1363&amp;"-"&amp;TEXT(MONTH($B1363),"00")&amp;TEXT(DAY($B1363),"00")&amp;IF(ISNUMBER($O1363),IF($O1363&gt;1,"-"&amp;TEXT($O1363,"00"),""),"")))</f>
        <v/>
      </c>
      <c r="B1363" s="14"/>
      <c r="C1363" s="10"/>
      <c r="D1363" s="10"/>
      <c r="E1363" s="10"/>
      <c r="F1363" s="16"/>
      <c r="G1363" s="10"/>
      <c r="H1363" s="10"/>
      <c r="I1363" s="10"/>
      <c r="J1363" s="10"/>
      <c r="K1363" s="10"/>
      <c r="L1363" s="10"/>
      <c r="M1363" s="14"/>
      <c r="N1363" s="17" t="str">
        <f aca="false">IF($B1363="","",IF($L1363="已完成",IF($M1363="","",$M1363-$B1363),IF(设置!$B$6&lt;$B1363,"",IF((设置!$B$6-$B1363)&gt;=设置!$B$5,"超期"&amp;(设置!$B$6-$B1363)&amp;"天","已等"&amp;(设置!$B$6-$B1363)&amp;"天"))))</f>
        <v/>
      </c>
      <c r="O1363" s="18" t="str">
        <f aca="false">IF(OR($D1363="",$E1363=""),"",COUNTIFS($D$7:$D1363,$D1363,$E$7:$E1363,$E1363))</f>
        <v/>
      </c>
      <c r="P1363" s="16"/>
      <c r="Q1363" s="19"/>
      <c r="R1363" s="10"/>
      <c r="S1363" s="16"/>
      <c r="T1363" s="0" t="str">
        <f aca="false">IF(OR($D1363="",单元查询!$B$3=""),"",IF($D1363&lt;&gt;单元查询!$B$3,"",IF(OR(单元查询!$D$3="",$E1363&amp;""=单元查询!$D$3&amp;""),IF(ISNUMBER($B1363),$B1363*10000,0)+ROW(),"")))</f>
        <v/>
      </c>
      <c r="U1363" s="0" t="str">
        <f aca="false">IF(OR($B1363="",$L1363="已完成"),"",IF(ISNUMBER($B1363),IF(设置!$B$6&lt;$B1363,"",(设置!$B$6-$B1363)*100000+ROW()),""))</f>
        <v/>
      </c>
      <c r="V1363" s="0" t="str">
        <f aca="false">IF(ISNUMBER($O1363),IF($O1363&gt;=2,IF(COUNTIFS($D1363:$D$2006,$D1363,$E1363:$E$2006,$E1363)=1,ROW(),""),""),"")</f>
        <v/>
      </c>
    </row>
    <row r="1364" customFormat="false" ht="15" hidden="false" customHeight="true" outlineLevel="0" collapsed="false">
      <c r="A1364" s="13" t="str">
        <f aca="false">IF(AND($B1364="",$D1364="",$E1364="",$F1364=""),"",IF(OR($B1364="",$D1364="",$E1364=""),"待补",IF($D1364="公共区域","公",IF($D1364="商铺","S",SUBSTITUTE($D1364,"栋","")))&amp;"-"&amp;$E1364&amp;"-"&amp;TEXT(MONTH($B1364),"00")&amp;TEXT(DAY($B1364),"00")&amp;IF(ISNUMBER($O1364),IF($O1364&gt;1,"-"&amp;TEXT($O1364,"00"),""),"")))</f>
        <v/>
      </c>
      <c r="B1364" s="14"/>
      <c r="C1364" s="10"/>
      <c r="D1364" s="10"/>
      <c r="E1364" s="10"/>
      <c r="F1364" s="16"/>
      <c r="G1364" s="10"/>
      <c r="H1364" s="10"/>
      <c r="I1364" s="10"/>
      <c r="J1364" s="10"/>
      <c r="K1364" s="10"/>
      <c r="L1364" s="10"/>
      <c r="M1364" s="14"/>
      <c r="N1364" s="17" t="str">
        <f aca="false">IF($B1364="","",IF($L1364="已完成",IF($M1364="","",$M1364-$B1364),IF(设置!$B$6&lt;$B1364,"",IF((设置!$B$6-$B1364)&gt;=设置!$B$5,"超期"&amp;(设置!$B$6-$B1364)&amp;"天","已等"&amp;(设置!$B$6-$B1364)&amp;"天"))))</f>
        <v/>
      </c>
      <c r="O1364" s="18" t="str">
        <f aca="false">IF(OR($D1364="",$E1364=""),"",COUNTIFS($D$7:$D1364,$D1364,$E$7:$E1364,$E1364))</f>
        <v/>
      </c>
      <c r="P1364" s="16"/>
      <c r="Q1364" s="19"/>
      <c r="R1364" s="10"/>
      <c r="S1364" s="16"/>
      <c r="T1364" s="0" t="str">
        <f aca="false">IF(OR($D1364="",单元查询!$B$3=""),"",IF($D1364&lt;&gt;单元查询!$B$3,"",IF(OR(单元查询!$D$3="",$E1364&amp;""=单元查询!$D$3&amp;""),IF(ISNUMBER($B1364),$B1364*10000,0)+ROW(),"")))</f>
        <v/>
      </c>
      <c r="U1364" s="0" t="str">
        <f aca="false">IF(OR($B1364="",$L1364="已完成"),"",IF(ISNUMBER($B1364),IF(设置!$B$6&lt;$B1364,"",(设置!$B$6-$B1364)*100000+ROW()),""))</f>
        <v/>
      </c>
      <c r="V1364" s="0" t="str">
        <f aca="false">IF(ISNUMBER($O1364),IF($O1364&gt;=2,IF(COUNTIFS($D1364:$D$2006,$D1364,$E1364:$E$2006,$E1364)=1,ROW(),""),""),"")</f>
        <v/>
      </c>
    </row>
    <row r="1365" customFormat="false" ht="15" hidden="false" customHeight="true" outlineLevel="0" collapsed="false">
      <c r="A1365" s="13" t="str">
        <f aca="false">IF(AND($B1365="",$D1365="",$E1365="",$F1365=""),"",IF(OR($B1365="",$D1365="",$E1365=""),"待补",IF($D1365="公共区域","公",IF($D1365="商铺","S",SUBSTITUTE($D1365,"栋","")))&amp;"-"&amp;$E1365&amp;"-"&amp;TEXT(MONTH($B1365),"00")&amp;TEXT(DAY($B1365),"00")&amp;IF(ISNUMBER($O1365),IF($O1365&gt;1,"-"&amp;TEXT($O1365,"00"),""),"")))</f>
        <v/>
      </c>
      <c r="B1365" s="14"/>
      <c r="C1365" s="10"/>
      <c r="D1365" s="10"/>
      <c r="E1365" s="10"/>
      <c r="F1365" s="16"/>
      <c r="G1365" s="10"/>
      <c r="H1365" s="10"/>
      <c r="I1365" s="10"/>
      <c r="J1365" s="10"/>
      <c r="K1365" s="10"/>
      <c r="L1365" s="10"/>
      <c r="M1365" s="14"/>
      <c r="N1365" s="17" t="str">
        <f aca="false">IF($B1365="","",IF($L1365="已完成",IF($M1365="","",$M1365-$B1365),IF(设置!$B$6&lt;$B1365,"",IF((设置!$B$6-$B1365)&gt;=设置!$B$5,"超期"&amp;(设置!$B$6-$B1365)&amp;"天","已等"&amp;(设置!$B$6-$B1365)&amp;"天"))))</f>
        <v/>
      </c>
      <c r="O1365" s="18" t="str">
        <f aca="false">IF(OR($D1365="",$E1365=""),"",COUNTIFS($D$7:$D1365,$D1365,$E$7:$E1365,$E1365))</f>
        <v/>
      </c>
      <c r="P1365" s="16"/>
      <c r="Q1365" s="19"/>
      <c r="R1365" s="10"/>
      <c r="S1365" s="16"/>
      <c r="T1365" s="0" t="str">
        <f aca="false">IF(OR($D1365="",单元查询!$B$3=""),"",IF($D1365&lt;&gt;单元查询!$B$3,"",IF(OR(单元查询!$D$3="",$E1365&amp;""=单元查询!$D$3&amp;""),IF(ISNUMBER($B1365),$B1365*10000,0)+ROW(),"")))</f>
        <v/>
      </c>
      <c r="U1365" s="0" t="str">
        <f aca="false">IF(OR($B1365="",$L1365="已完成"),"",IF(ISNUMBER($B1365),IF(设置!$B$6&lt;$B1365,"",(设置!$B$6-$B1365)*100000+ROW()),""))</f>
        <v/>
      </c>
      <c r="V1365" s="0" t="str">
        <f aca="false">IF(ISNUMBER($O1365),IF($O1365&gt;=2,IF(COUNTIFS($D1365:$D$2006,$D1365,$E1365:$E$2006,$E1365)=1,ROW(),""),""),"")</f>
        <v/>
      </c>
    </row>
    <row r="1366" customFormat="false" ht="15" hidden="false" customHeight="true" outlineLevel="0" collapsed="false">
      <c r="A1366" s="13" t="str">
        <f aca="false">IF(AND($B1366="",$D1366="",$E1366="",$F1366=""),"",IF(OR($B1366="",$D1366="",$E1366=""),"待补",IF($D1366="公共区域","公",IF($D1366="商铺","S",SUBSTITUTE($D1366,"栋","")))&amp;"-"&amp;$E1366&amp;"-"&amp;TEXT(MONTH($B1366),"00")&amp;TEXT(DAY($B1366),"00")&amp;IF(ISNUMBER($O1366),IF($O1366&gt;1,"-"&amp;TEXT($O1366,"00"),""),"")))</f>
        <v/>
      </c>
      <c r="B1366" s="14"/>
      <c r="C1366" s="10"/>
      <c r="D1366" s="10"/>
      <c r="E1366" s="10"/>
      <c r="F1366" s="16"/>
      <c r="G1366" s="10"/>
      <c r="H1366" s="10"/>
      <c r="I1366" s="10"/>
      <c r="J1366" s="10"/>
      <c r="K1366" s="10"/>
      <c r="L1366" s="10"/>
      <c r="M1366" s="14"/>
      <c r="N1366" s="17" t="str">
        <f aca="false">IF($B1366="","",IF($L1366="已完成",IF($M1366="","",$M1366-$B1366),IF(设置!$B$6&lt;$B1366,"",IF((设置!$B$6-$B1366)&gt;=设置!$B$5,"超期"&amp;(设置!$B$6-$B1366)&amp;"天","已等"&amp;(设置!$B$6-$B1366)&amp;"天"))))</f>
        <v/>
      </c>
      <c r="O1366" s="18" t="str">
        <f aca="false">IF(OR($D1366="",$E1366=""),"",COUNTIFS($D$7:$D1366,$D1366,$E$7:$E1366,$E1366))</f>
        <v/>
      </c>
      <c r="P1366" s="16"/>
      <c r="Q1366" s="19"/>
      <c r="R1366" s="10"/>
      <c r="S1366" s="16"/>
      <c r="T1366" s="0" t="str">
        <f aca="false">IF(OR($D1366="",单元查询!$B$3=""),"",IF($D1366&lt;&gt;单元查询!$B$3,"",IF(OR(单元查询!$D$3="",$E1366&amp;""=单元查询!$D$3&amp;""),IF(ISNUMBER($B1366),$B1366*10000,0)+ROW(),"")))</f>
        <v/>
      </c>
      <c r="U1366" s="0" t="str">
        <f aca="false">IF(OR($B1366="",$L1366="已完成"),"",IF(ISNUMBER($B1366),IF(设置!$B$6&lt;$B1366,"",(设置!$B$6-$B1366)*100000+ROW()),""))</f>
        <v/>
      </c>
      <c r="V1366" s="0" t="str">
        <f aca="false">IF(ISNUMBER($O1366),IF($O1366&gt;=2,IF(COUNTIFS($D1366:$D$2006,$D1366,$E1366:$E$2006,$E1366)=1,ROW(),""),""),"")</f>
        <v/>
      </c>
    </row>
    <row r="1367" customFormat="false" ht="15" hidden="false" customHeight="true" outlineLevel="0" collapsed="false">
      <c r="A1367" s="13" t="str">
        <f aca="false">IF(AND($B1367="",$D1367="",$E1367="",$F1367=""),"",IF(OR($B1367="",$D1367="",$E1367=""),"待补",IF($D1367="公共区域","公",IF($D1367="商铺","S",SUBSTITUTE($D1367,"栋","")))&amp;"-"&amp;$E1367&amp;"-"&amp;TEXT(MONTH($B1367),"00")&amp;TEXT(DAY($B1367),"00")&amp;IF(ISNUMBER($O1367),IF($O1367&gt;1,"-"&amp;TEXT($O1367,"00"),""),"")))</f>
        <v/>
      </c>
      <c r="B1367" s="14"/>
      <c r="C1367" s="10"/>
      <c r="D1367" s="10"/>
      <c r="E1367" s="10"/>
      <c r="F1367" s="16"/>
      <c r="G1367" s="10"/>
      <c r="H1367" s="10"/>
      <c r="I1367" s="10"/>
      <c r="J1367" s="10"/>
      <c r="K1367" s="10"/>
      <c r="L1367" s="10"/>
      <c r="M1367" s="14"/>
      <c r="N1367" s="17" t="str">
        <f aca="false">IF($B1367="","",IF($L1367="已完成",IF($M1367="","",$M1367-$B1367),IF(设置!$B$6&lt;$B1367,"",IF((设置!$B$6-$B1367)&gt;=设置!$B$5,"超期"&amp;(设置!$B$6-$B1367)&amp;"天","已等"&amp;(设置!$B$6-$B1367)&amp;"天"))))</f>
        <v/>
      </c>
      <c r="O1367" s="18" t="str">
        <f aca="false">IF(OR($D1367="",$E1367=""),"",COUNTIFS($D$7:$D1367,$D1367,$E$7:$E1367,$E1367))</f>
        <v/>
      </c>
      <c r="P1367" s="16"/>
      <c r="Q1367" s="19"/>
      <c r="R1367" s="10"/>
      <c r="S1367" s="16"/>
      <c r="T1367" s="0" t="str">
        <f aca="false">IF(OR($D1367="",单元查询!$B$3=""),"",IF($D1367&lt;&gt;单元查询!$B$3,"",IF(OR(单元查询!$D$3="",$E1367&amp;""=单元查询!$D$3&amp;""),IF(ISNUMBER($B1367),$B1367*10000,0)+ROW(),"")))</f>
        <v/>
      </c>
      <c r="U1367" s="0" t="str">
        <f aca="false">IF(OR($B1367="",$L1367="已完成"),"",IF(ISNUMBER($B1367),IF(设置!$B$6&lt;$B1367,"",(设置!$B$6-$B1367)*100000+ROW()),""))</f>
        <v/>
      </c>
      <c r="V1367" s="0" t="str">
        <f aca="false">IF(ISNUMBER($O1367),IF($O1367&gt;=2,IF(COUNTIFS($D1367:$D$2006,$D1367,$E1367:$E$2006,$E1367)=1,ROW(),""),""),"")</f>
        <v/>
      </c>
    </row>
    <row r="1368" customFormat="false" ht="15" hidden="false" customHeight="true" outlineLevel="0" collapsed="false">
      <c r="A1368" s="13" t="str">
        <f aca="false">IF(AND($B1368="",$D1368="",$E1368="",$F1368=""),"",IF(OR($B1368="",$D1368="",$E1368=""),"待补",IF($D1368="公共区域","公",IF($D1368="商铺","S",SUBSTITUTE($D1368,"栋","")))&amp;"-"&amp;$E1368&amp;"-"&amp;TEXT(MONTH($B1368),"00")&amp;TEXT(DAY($B1368),"00")&amp;IF(ISNUMBER($O1368),IF($O1368&gt;1,"-"&amp;TEXT($O1368,"00"),""),"")))</f>
        <v/>
      </c>
      <c r="B1368" s="14"/>
      <c r="C1368" s="10"/>
      <c r="D1368" s="10"/>
      <c r="E1368" s="10"/>
      <c r="F1368" s="16"/>
      <c r="G1368" s="10"/>
      <c r="H1368" s="10"/>
      <c r="I1368" s="10"/>
      <c r="J1368" s="10"/>
      <c r="K1368" s="10"/>
      <c r="L1368" s="10"/>
      <c r="M1368" s="14"/>
      <c r="N1368" s="17" t="str">
        <f aca="false">IF($B1368="","",IF($L1368="已完成",IF($M1368="","",$M1368-$B1368),IF(设置!$B$6&lt;$B1368,"",IF((设置!$B$6-$B1368)&gt;=设置!$B$5,"超期"&amp;(设置!$B$6-$B1368)&amp;"天","已等"&amp;(设置!$B$6-$B1368)&amp;"天"))))</f>
        <v/>
      </c>
      <c r="O1368" s="18" t="str">
        <f aca="false">IF(OR($D1368="",$E1368=""),"",COUNTIFS($D$7:$D1368,$D1368,$E$7:$E1368,$E1368))</f>
        <v/>
      </c>
      <c r="P1368" s="16"/>
      <c r="Q1368" s="19"/>
      <c r="R1368" s="10"/>
      <c r="S1368" s="16"/>
      <c r="T1368" s="0" t="str">
        <f aca="false">IF(OR($D1368="",单元查询!$B$3=""),"",IF($D1368&lt;&gt;单元查询!$B$3,"",IF(OR(单元查询!$D$3="",$E1368&amp;""=单元查询!$D$3&amp;""),IF(ISNUMBER($B1368),$B1368*10000,0)+ROW(),"")))</f>
        <v/>
      </c>
      <c r="U1368" s="0" t="str">
        <f aca="false">IF(OR($B1368="",$L1368="已完成"),"",IF(ISNUMBER($B1368),IF(设置!$B$6&lt;$B1368,"",(设置!$B$6-$B1368)*100000+ROW()),""))</f>
        <v/>
      </c>
      <c r="V1368" s="0" t="str">
        <f aca="false">IF(ISNUMBER($O1368),IF($O1368&gt;=2,IF(COUNTIFS($D1368:$D$2006,$D1368,$E1368:$E$2006,$E1368)=1,ROW(),""),""),"")</f>
        <v/>
      </c>
    </row>
    <row r="1369" customFormat="false" ht="15" hidden="false" customHeight="true" outlineLevel="0" collapsed="false">
      <c r="A1369" s="13" t="str">
        <f aca="false">IF(AND($B1369="",$D1369="",$E1369="",$F1369=""),"",IF(OR($B1369="",$D1369="",$E1369=""),"待补",IF($D1369="公共区域","公",IF($D1369="商铺","S",SUBSTITUTE($D1369,"栋","")))&amp;"-"&amp;$E1369&amp;"-"&amp;TEXT(MONTH($B1369),"00")&amp;TEXT(DAY($B1369),"00")&amp;IF(ISNUMBER($O1369),IF($O1369&gt;1,"-"&amp;TEXT($O1369,"00"),""),"")))</f>
        <v/>
      </c>
      <c r="B1369" s="14"/>
      <c r="C1369" s="10"/>
      <c r="D1369" s="10"/>
      <c r="E1369" s="10"/>
      <c r="F1369" s="16"/>
      <c r="G1369" s="10"/>
      <c r="H1369" s="10"/>
      <c r="I1369" s="10"/>
      <c r="J1369" s="10"/>
      <c r="K1369" s="10"/>
      <c r="L1369" s="10"/>
      <c r="M1369" s="14"/>
      <c r="N1369" s="17" t="str">
        <f aca="false">IF($B1369="","",IF($L1369="已完成",IF($M1369="","",$M1369-$B1369),IF(设置!$B$6&lt;$B1369,"",IF((设置!$B$6-$B1369)&gt;=设置!$B$5,"超期"&amp;(设置!$B$6-$B1369)&amp;"天","已等"&amp;(设置!$B$6-$B1369)&amp;"天"))))</f>
        <v/>
      </c>
      <c r="O1369" s="18" t="str">
        <f aca="false">IF(OR($D1369="",$E1369=""),"",COUNTIFS($D$7:$D1369,$D1369,$E$7:$E1369,$E1369))</f>
        <v/>
      </c>
      <c r="P1369" s="16"/>
      <c r="Q1369" s="19"/>
      <c r="R1369" s="10"/>
      <c r="S1369" s="16"/>
      <c r="T1369" s="0" t="str">
        <f aca="false">IF(OR($D1369="",单元查询!$B$3=""),"",IF($D1369&lt;&gt;单元查询!$B$3,"",IF(OR(单元查询!$D$3="",$E1369&amp;""=单元查询!$D$3&amp;""),IF(ISNUMBER($B1369),$B1369*10000,0)+ROW(),"")))</f>
        <v/>
      </c>
      <c r="U1369" s="0" t="str">
        <f aca="false">IF(OR($B1369="",$L1369="已完成"),"",IF(ISNUMBER($B1369),IF(设置!$B$6&lt;$B1369,"",(设置!$B$6-$B1369)*100000+ROW()),""))</f>
        <v/>
      </c>
      <c r="V1369" s="0" t="str">
        <f aca="false">IF(ISNUMBER($O1369),IF($O1369&gt;=2,IF(COUNTIFS($D1369:$D$2006,$D1369,$E1369:$E$2006,$E1369)=1,ROW(),""),""),"")</f>
        <v/>
      </c>
    </row>
    <row r="1370" customFormat="false" ht="15" hidden="false" customHeight="true" outlineLevel="0" collapsed="false">
      <c r="A1370" s="13" t="str">
        <f aca="false">IF(AND($B1370="",$D1370="",$E1370="",$F1370=""),"",IF(OR($B1370="",$D1370="",$E1370=""),"待补",IF($D1370="公共区域","公",IF($D1370="商铺","S",SUBSTITUTE($D1370,"栋","")))&amp;"-"&amp;$E1370&amp;"-"&amp;TEXT(MONTH($B1370),"00")&amp;TEXT(DAY($B1370),"00")&amp;IF(ISNUMBER($O1370),IF($O1370&gt;1,"-"&amp;TEXT($O1370,"00"),""),"")))</f>
        <v/>
      </c>
      <c r="B1370" s="14"/>
      <c r="C1370" s="10"/>
      <c r="D1370" s="10"/>
      <c r="E1370" s="10"/>
      <c r="F1370" s="16"/>
      <c r="G1370" s="10"/>
      <c r="H1370" s="10"/>
      <c r="I1370" s="10"/>
      <c r="J1370" s="10"/>
      <c r="K1370" s="10"/>
      <c r="L1370" s="10"/>
      <c r="M1370" s="14"/>
      <c r="N1370" s="17" t="str">
        <f aca="false">IF($B1370="","",IF($L1370="已完成",IF($M1370="","",$M1370-$B1370),IF(设置!$B$6&lt;$B1370,"",IF((设置!$B$6-$B1370)&gt;=设置!$B$5,"超期"&amp;(设置!$B$6-$B1370)&amp;"天","已等"&amp;(设置!$B$6-$B1370)&amp;"天"))))</f>
        <v/>
      </c>
      <c r="O1370" s="18" t="str">
        <f aca="false">IF(OR($D1370="",$E1370=""),"",COUNTIFS($D$7:$D1370,$D1370,$E$7:$E1370,$E1370))</f>
        <v/>
      </c>
      <c r="P1370" s="16"/>
      <c r="Q1370" s="19"/>
      <c r="R1370" s="10"/>
      <c r="S1370" s="16"/>
      <c r="T1370" s="0" t="str">
        <f aca="false">IF(OR($D1370="",单元查询!$B$3=""),"",IF($D1370&lt;&gt;单元查询!$B$3,"",IF(OR(单元查询!$D$3="",$E1370&amp;""=单元查询!$D$3&amp;""),IF(ISNUMBER($B1370),$B1370*10000,0)+ROW(),"")))</f>
        <v/>
      </c>
      <c r="U1370" s="0" t="str">
        <f aca="false">IF(OR($B1370="",$L1370="已完成"),"",IF(ISNUMBER($B1370),IF(设置!$B$6&lt;$B1370,"",(设置!$B$6-$B1370)*100000+ROW()),""))</f>
        <v/>
      </c>
      <c r="V1370" s="0" t="str">
        <f aca="false">IF(ISNUMBER($O1370),IF($O1370&gt;=2,IF(COUNTIFS($D1370:$D$2006,$D1370,$E1370:$E$2006,$E1370)=1,ROW(),""),""),"")</f>
        <v/>
      </c>
    </row>
    <row r="1371" customFormat="false" ht="15" hidden="false" customHeight="true" outlineLevel="0" collapsed="false">
      <c r="A1371" s="13" t="str">
        <f aca="false">IF(AND($B1371="",$D1371="",$E1371="",$F1371=""),"",IF(OR($B1371="",$D1371="",$E1371=""),"待补",IF($D1371="公共区域","公",IF($D1371="商铺","S",SUBSTITUTE($D1371,"栋","")))&amp;"-"&amp;$E1371&amp;"-"&amp;TEXT(MONTH($B1371),"00")&amp;TEXT(DAY($B1371),"00")&amp;IF(ISNUMBER($O1371),IF($O1371&gt;1,"-"&amp;TEXT($O1371,"00"),""),"")))</f>
        <v/>
      </c>
      <c r="B1371" s="14"/>
      <c r="C1371" s="10"/>
      <c r="D1371" s="10"/>
      <c r="E1371" s="10"/>
      <c r="F1371" s="16"/>
      <c r="G1371" s="10"/>
      <c r="H1371" s="10"/>
      <c r="I1371" s="10"/>
      <c r="J1371" s="10"/>
      <c r="K1371" s="10"/>
      <c r="L1371" s="10"/>
      <c r="M1371" s="14"/>
      <c r="N1371" s="17" t="str">
        <f aca="false">IF($B1371="","",IF($L1371="已完成",IF($M1371="","",$M1371-$B1371),IF(设置!$B$6&lt;$B1371,"",IF((设置!$B$6-$B1371)&gt;=设置!$B$5,"超期"&amp;(设置!$B$6-$B1371)&amp;"天","已等"&amp;(设置!$B$6-$B1371)&amp;"天"))))</f>
        <v/>
      </c>
      <c r="O1371" s="18" t="str">
        <f aca="false">IF(OR($D1371="",$E1371=""),"",COUNTIFS($D$7:$D1371,$D1371,$E$7:$E1371,$E1371))</f>
        <v/>
      </c>
      <c r="P1371" s="16"/>
      <c r="Q1371" s="19"/>
      <c r="R1371" s="10"/>
      <c r="S1371" s="16"/>
      <c r="T1371" s="0" t="str">
        <f aca="false">IF(OR($D1371="",单元查询!$B$3=""),"",IF($D1371&lt;&gt;单元查询!$B$3,"",IF(OR(单元查询!$D$3="",$E1371&amp;""=单元查询!$D$3&amp;""),IF(ISNUMBER($B1371),$B1371*10000,0)+ROW(),"")))</f>
        <v/>
      </c>
      <c r="U1371" s="0" t="str">
        <f aca="false">IF(OR($B1371="",$L1371="已完成"),"",IF(ISNUMBER($B1371),IF(设置!$B$6&lt;$B1371,"",(设置!$B$6-$B1371)*100000+ROW()),""))</f>
        <v/>
      </c>
      <c r="V1371" s="0" t="str">
        <f aca="false">IF(ISNUMBER($O1371),IF($O1371&gt;=2,IF(COUNTIFS($D1371:$D$2006,$D1371,$E1371:$E$2006,$E1371)=1,ROW(),""),""),"")</f>
        <v/>
      </c>
    </row>
    <row r="1372" customFormat="false" ht="15" hidden="false" customHeight="true" outlineLevel="0" collapsed="false">
      <c r="A1372" s="13" t="str">
        <f aca="false">IF(AND($B1372="",$D1372="",$E1372="",$F1372=""),"",IF(OR($B1372="",$D1372="",$E1372=""),"待补",IF($D1372="公共区域","公",IF($D1372="商铺","S",SUBSTITUTE($D1372,"栋","")))&amp;"-"&amp;$E1372&amp;"-"&amp;TEXT(MONTH($B1372),"00")&amp;TEXT(DAY($B1372),"00")&amp;IF(ISNUMBER($O1372),IF($O1372&gt;1,"-"&amp;TEXT($O1372,"00"),""),"")))</f>
        <v/>
      </c>
      <c r="B1372" s="14"/>
      <c r="C1372" s="10"/>
      <c r="D1372" s="10"/>
      <c r="E1372" s="10"/>
      <c r="F1372" s="16"/>
      <c r="G1372" s="10"/>
      <c r="H1372" s="10"/>
      <c r="I1372" s="10"/>
      <c r="J1372" s="10"/>
      <c r="K1372" s="10"/>
      <c r="L1372" s="10"/>
      <c r="M1372" s="14"/>
      <c r="N1372" s="17" t="str">
        <f aca="false">IF($B1372="","",IF($L1372="已完成",IF($M1372="","",$M1372-$B1372),IF(设置!$B$6&lt;$B1372,"",IF((设置!$B$6-$B1372)&gt;=设置!$B$5,"超期"&amp;(设置!$B$6-$B1372)&amp;"天","已等"&amp;(设置!$B$6-$B1372)&amp;"天"))))</f>
        <v/>
      </c>
      <c r="O1372" s="18" t="str">
        <f aca="false">IF(OR($D1372="",$E1372=""),"",COUNTIFS($D$7:$D1372,$D1372,$E$7:$E1372,$E1372))</f>
        <v/>
      </c>
      <c r="P1372" s="16"/>
      <c r="Q1372" s="19"/>
      <c r="R1372" s="10"/>
      <c r="S1372" s="16"/>
      <c r="T1372" s="0" t="str">
        <f aca="false">IF(OR($D1372="",单元查询!$B$3=""),"",IF($D1372&lt;&gt;单元查询!$B$3,"",IF(OR(单元查询!$D$3="",$E1372&amp;""=单元查询!$D$3&amp;""),IF(ISNUMBER($B1372),$B1372*10000,0)+ROW(),"")))</f>
        <v/>
      </c>
      <c r="U1372" s="0" t="str">
        <f aca="false">IF(OR($B1372="",$L1372="已完成"),"",IF(ISNUMBER($B1372),IF(设置!$B$6&lt;$B1372,"",(设置!$B$6-$B1372)*100000+ROW()),""))</f>
        <v/>
      </c>
      <c r="V1372" s="0" t="str">
        <f aca="false">IF(ISNUMBER($O1372),IF($O1372&gt;=2,IF(COUNTIFS($D1372:$D$2006,$D1372,$E1372:$E$2006,$E1372)=1,ROW(),""),""),"")</f>
        <v/>
      </c>
    </row>
    <row r="1373" customFormat="false" ht="15" hidden="false" customHeight="true" outlineLevel="0" collapsed="false">
      <c r="A1373" s="13" t="str">
        <f aca="false">IF(AND($B1373="",$D1373="",$E1373="",$F1373=""),"",IF(OR($B1373="",$D1373="",$E1373=""),"待补",IF($D1373="公共区域","公",IF($D1373="商铺","S",SUBSTITUTE($D1373,"栋","")))&amp;"-"&amp;$E1373&amp;"-"&amp;TEXT(MONTH($B1373),"00")&amp;TEXT(DAY($B1373),"00")&amp;IF(ISNUMBER($O1373),IF($O1373&gt;1,"-"&amp;TEXT($O1373,"00"),""),"")))</f>
        <v/>
      </c>
      <c r="B1373" s="14"/>
      <c r="C1373" s="10"/>
      <c r="D1373" s="10"/>
      <c r="E1373" s="10"/>
      <c r="F1373" s="16"/>
      <c r="G1373" s="10"/>
      <c r="H1373" s="10"/>
      <c r="I1373" s="10"/>
      <c r="J1373" s="10"/>
      <c r="K1373" s="10"/>
      <c r="L1373" s="10"/>
      <c r="M1373" s="14"/>
      <c r="N1373" s="17" t="str">
        <f aca="false">IF($B1373="","",IF($L1373="已完成",IF($M1373="","",$M1373-$B1373),IF(设置!$B$6&lt;$B1373,"",IF((设置!$B$6-$B1373)&gt;=设置!$B$5,"超期"&amp;(设置!$B$6-$B1373)&amp;"天","已等"&amp;(设置!$B$6-$B1373)&amp;"天"))))</f>
        <v/>
      </c>
      <c r="O1373" s="18" t="str">
        <f aca="false">IF(OR($D1373="",$E1373=""),"",COUNTIFS($D$7:$D1373,$D1373,$E$7:$E1373,$E1373))</f>
        <v/>
      </c>
      <c r="P1373" s="16"/>
      <c r="Q1373" s="19"/>
      <c r="R1373" s="10"/>
      <c r="S1373" s="16"/>
      <c r="T1373" s="0" t="str">
        <f aca="false">IF(OR($D1373="",单元查询!$B$3=""),"",IF($D1373&lt;&gt;单元查询!$B$3,"",IF(OR(单元查询!$D$3="",$E1373&amp;""=单元查询!$D$3&amp;""),IF(ISNUMBER($B1373),$B1373*10000,0)+ROW(),"")))</f>
        <v/>
      </c>
      <c r="U1373" s="0" t="str">
        <f aca="false">IF(OR($B1373="",$L1373="已完成"),"",IF(ISNUMBER($B1373),IF(设置!$B$6&lt;$B1373,"",(设置!$B$6-$B1373)*100000+ROW()),""))</f>
        <v/>
      </c>
      <c r="V1373" s="0" t="str">
        <f aca="false">IF(ISNUMBER($O1373),IF($O1373&gt;=2,IF(COUNTIFS($D1373:$D$2006,$D1373,$E1373:$E$2006,$E1373)=1,ROW(),""),""),"")</f>
        <v/>
      </c>
    </row>
    <row r="1374" customFormat="false" ht="15" hidden="false" customHeight="true" outlineLevel="0" collapsed="false">
      <c r="A1374" s="13" t="str">
        <f aca="false">IF(AND($B1374="",$D1374="",$E1374="",$F1374=""),"",IF(OR($B1374="",$D1374="",$E1374=""),"待补",IF($D1374="公共区域","公",IF($D1374="商铺","S",SUBSTITUTE($D1374,"栋","")))&amp;"-"&amp;$E1374&amp;"-"&amp;TEXT(MONTH($B1374),"00")&amp;TEXT(DAY($B1374),"00")&amp;IF(ISNUMBER($O1374),IF($O1374&gt;1,"-"&amp;TEXT($O1374,"00"),""),"")))</f>
        <v/>
      </c>
      <c r="B1374" s="14"/>
      <c r="C1374" s="10"/>
      <c r="D1374" s="10"/>
      <c r="E1374" s="10"/>
      <c r="F1374" s="16"/>
      <c r="G1374" s="10"/>
      <c r="H1374" s="10"/>
      <c r="I1374" s="10"/>
      <c r="J1374" s="10"/>
      <c r="K1374" s="10"/>
      <c r="L1374" s="10"/>
      <c r="M1374" s="14"/>
      <c r="N1374" s="17" t="str">
        <f aca="false">IF($B1374="","",IF($L1374="已完成",IF($M1374="","",$M1374-$B1374),IF(设置!$B$6&lt;$B1374,"",IF((设置!$B$6-$B1374)&gt;=设置!$B$5,"超期"&amp;(设置!$B$6-$B1374)&amp;"天","已等"&amp;(设置!$B$6-$B1374)&amp;"天"))))</f>
        <v/>
      </c>
      <c r="O1374" s="18" t="str">
        <f aca="false">IF(OR($D1374="",$E1374=""),"",COUNTIFS($D$7:$D1374,$D1374,$E$7:$E1374,$E1374))</f>
        <v/>
      </c>
      <c r="P1374" s="16"/>
      <c r="Q1374" s="19"/>
      <c r="R1374" s="10"/>
      <c r="S1374" s="16"/>
      <c r="T1374" s="0" t="str">
        <f aca="false">IF(OR($D1374="",单元查询!$B$3=""),"",IF($D1374&lt;&gt;单元查询!$B$3,"",IF(OR(单元查询!$D$3="",$E1374&amp;""=单元查询!$D$3&amp;""),IF(ISNUMBER($B1374),$B1374*10000,0)+ROW(),"")))</f>
        <v/>
      </c>
      <c r="U1374" s="0" t="str">
        <f aca="false">IF(OR($B1374="",$L1374="已完成"),"",IF(ISNUMBER($B1374),IF(设置!$B$6&lt;$B1374,"",(设置!$B$6-$B1374)*100000+ROW()),""))</f>
        <v/>
      </c>
      <c r="V1374" s="0" t="str">
        <f aca="false">IF(ISNUMBER($O1374),IF($O1374&gt;=2,IF(COUNTIFS($D1374:$D$2006,$D1374,$E1374:$E$2006,$E1374)=1,ROW(),""),""),"")</f>
        <v/>
      </c>
    </row>
    <row r="1375" customFormat="false" ht="15" hidden="false" customHeight="true" outlineLevel="0" collapsed="false">
      <c r="A1375" s="13" t="str">
        <f aca="false">IF(AND($B1375="",$D1375="",$E1375="",$F1375=""),"",IF(OR($B1375="",$D1375="",$E1375=""),"待补",IF($D1375="公共区域","公",IF($D1375="商铺","S",SUBSTITUTE($D1375,"栋","")))&amp;"-"&amp;$E1375&amp;"-"&amp;TEXT(MONTH($B1375),"00")&amp;TEXT(DAY($B1375),"00")&amp;IF(ISNUMBER($O1375),IF($O1375&gt;1,"-"&amp;TEXT($O1375,"00"),""),"")))</f>
        <v/>
      </c>
      <c r="B1375" s="14"/>
      <c r="C1375" s="10"/>
      <c r="D1375" s="10"/>
      <c r="E1375" s="10"/>
      <c r="F1375" s="16"/>
      <c r="G1375" s="10"/>
      <c r="H1375" s="10"/>
      <c r="I1375" s="10"/>
      <c r="J1375" s="10"/>
      <c r="K1375" s="10"/>
      <c r="L1375" s="10"/>
      <c r="M1375" s="14"/>
      <c r="N1375" s="17" t="str">
        <f aca="false">IF($B1375="","",IF($L1375="已完成",IF($M1375="","",$M1375-$B1375),IF(设置!$B$6&lt;$B1375,"",IF((设置!$B$6-$B1375)&gt;=设置!$B$5,"超期"&amp;(设置!$B$6-$B1375)&amp;"天","已等"&amp;(设置!$B$6-$B1375)&amp;"天"))))</f>
        <v/>
      </c>
      <c r="O1375" s="18" t="str">
        <f aca="false">IF(OR($D1375="",$E1375=""),"",COUNTIFS($D$7:$D1375,$D1375,$E$7:$E1375,$E1375))</f>
        <v/>
      </c>
      <c r="P1375" s="16"/>
      <c r="Q1375" s="19"/>
      <c r="R1375" s="10"/>
      <c r="S1375" s="16"/>
      <c r="T1375" s="0" t="str">
        <f aca="false">IF(OR($D1375="",单元查询!$B$3=""),"",IF($D1375&lt;&gt;单元查询!$B$3,"",IF(OR(单元查询!$D$3="",$E1375&amp;""=单元查询!$D$3&amp;""),IF(ISNUMBER($B1375),$B1375*10000,0)+ROW(),"")))</f>
        <v/>
      </c>
      <c r="U1375" s="0" t="str">
        <f aca="false">IF(OR($B1375="",$L1375="已完成"),"",IF(ISNUMBER($B1375),IF(设置!$B$6&lt;$B1375,"",(设置!$B$6-$B1375)*100000+ROW()),""))</f>
        <v/>
      </c>
      <c r="V1375" s="0" t="str">
        <f aca="false">IF(ISNUMBER($O1375),IF($O1375&gt;=2,IF(COUNTIFS($D1375:$D$2006,$D1375,$E1375:$E$2006,$E1375)=1,ROW(),""),""),"")</f>
        <v/>
      </c>
    </row>
    <row r="1376" customFormat="false" ht="15" hidden="false" customHeight="true" outlineLevel="0" collapsed="false">
      <c r="A1376" s="13" t="str">
        <f aca="false">IF(AND($B1376="",$D1376="",$E1376="",$F1376=""),"",IF(OR($B1376="",$D1376="",$E1376=""),"待补",IF($D1376="公共区域","公",IF($D1376="商铺","S",SUBSTITUTE($D1376,"栋","")))&amp;"-"&amp;$E1376&amp;"-"&amp;TEXT(MONTH($B1376),"00")&amp;TEXT(DAY($B1376),"00")&amp;IF(ISNUMBER($O1376),IF($O1376&gt;1,"-"&amp;TEXT($O1376,"00"),""),"")))</f>
        <v/>
      </c>
      <c r="B1376" s="14"/>
      <c r="C1376" s="10"/>
      <c r="D1376" s="10"/>
      <c r="E1376" s="10"/>
      <c r="F1376" s="16"/>
      <c r="G1376" s="10"/>
      <c r="H1376" s="10"/>
      <c r="I1376" s="10"/>
      <c r="J1376" s="10"/>
      <c r="K1376" s="10"/>
      <c r="L1376" s="10"/>
      <c r="M1376" s="14"/>
      <c r="N1376" s="17" t="str">
        <f aca="false">IF($B1376="","",IF($L1376="已完成",IF($M1376="","",$M1376-$B1376),IF(设置!$B$6&lt;$B1376,"",IF((设置!$B$6-$B1376)&gt;=设置!$B$5,"超期"&amp;(设置!$B$6-$B1376)&amp;"天","已等"&amp;(设置!$B$6-$B1376)&amp;"天"))))</f>
        <v/>
      </c>
      <c r="O1376" s="18" t="str">
        <f aca="false">IF(OR($D1376="",$E1376=""),"",COUNTIFS($D$7:$D1376,$D1376,$E$7:$E1376,$E1376))</f>
        <v/>
      </c>
      <c r="P1376" s="16"/>
      <c r="Q1376" s="19"/>
      <c r="R1376" s="10"/>
      <c r="S1376" s="16"/>
      <c r="T1376" s="0" t="str">
        <f aca="false">IF(OR($D1376="",单元查询!$B$3=""),"",IF($D1376&lt;&gt;单元查询!$B$3,"",IF(OR(单元查询!$D$3="",$E1376&amp;""=单元查询!$D$3&amp;""),IF(ISNUMBER($B1376),$B1376*10000,0)+ROW(),"")))</f>
        <v/>
      </c>
      <c r="U1376" s="0" t="str">
        <f aca="false">IF(OR($B1376="",$L1376="已完成"),"",IF(ISNUMBER($B1376),IF(设置!$B$6&lt;$B1376,"",(设置!$B$6-$B1376)*100000+ROW()),""))</f>
        <v/>
      </c>
      <c r="V1376" s="0" t="str">
        <f aca="false">IF(ISNUMBER($O1376),IF($O1376&gt;=2,IF(COUNTIFS($D1376:$D$2006,$D1376,$E1376:$E$2006,$E1376)=1,ROW(),""),""),"")</f>
        <v/>
      </c>
    </row>
    <row r="1377" customFormat="false" ht="15" hidden="false" customHeight="true" outlineLevel="0" collapsed="false">
      <c r="A1377" s="13" t="str">
        <f aca="false">IF(AND($B1377="",$D1377="",$E1377="",$F1377=""),"",IF(OR($B1377="",$D1377="",$E1377=""),"待补",IF($D1377="公共区域","公",IF($D1377="商铺","S",SUBSTITUTE($D1377,"栋","")))&amp;"-"&amp;$E1377&amp;"-"&amp;TEXT(MONTH($B1377),"00")&amp;TEXT(DAY($B1377),"00")&amp;IF(ISNUMBER($O1377),IF($O1377&gt;1,"-"&amp;TEXT($O1377,"00"),""),"")))</f>
        <v/>
      </c>
      <c r="B1377" s="14"/>
      <c r="C1377" s="10"/>
      <c r="D1377" s="10"/>
      <c r="E1377" s="10"/>
      <c r="F1377" s="16"/>
      <c r="G1377" s="10"/>
      <c r="H1377" s="10"/>
      <c r="I1377" s="10"/>
      <c r="J1377" s="10"/>
      <c r="K1377" s="10"/>
      <c r="L1377" s="10"/>
      <c r="M1377" s="14"/>
      <c r="N1377" s="17" t="str">
        <f aca="false">IF($B1377="","",IF($L1377="已完成",IF($M1377="","",$M1377-$B1377),IF(设置!$B$6&lt;$B1377,"",IF((设置!$B$6-$B1377)&gt;=设置!$B$5,"超期"&amp;(设置!$B$6-$B1377)&amp;"天","已等"&amp;(设置!$B$6-$B1377)&amp;"天"))))</f>
        <v/>
      </c>
      <c r="O1377" s="18" t="str">
        <f aca="false">IF(OR($D1377="",$E1377=""),"",COUNTIFS($D$7:$D1377,$D1377,$E$7:$E1377,$E1377))</f>
        <v/>
      </c>
      <c r="P1377" s="16"/>
      <c r="Q1377" s="19"/>
      <c r="R1377" s="10"/>
      <c r="S1377" s="16"/>
      <c r="T1377" s="0" t="str">
        <f aca="false">IF(OR($D1377="",单元查询!$B$3=""),"",IF($D1377&lt;&gt;单元查询!$B$3,"",IF(OR(单元查询!$D$3="",$E1377&amp;""=单元查询!$D$3&amp;""),IF(ISNUMBER($B1377),$B1377*10000,0)+ROW(),"")))</f>
        <v/>
      </c>
      <c r="U1377" s="0" t="str">
        <f aca="false">IF(OR($B1377="",$L1377="已完成"),"",IF(ISNUMBER($B1377),IF(设置!$B$6&lt;$B1377,"",(设置!$B$6-$B1377)*100000+ROW()),""))</f>
        <v/>
      </c>
      <c r="V1377" s="0" t="str">
        <f aca="false">IF(ISNUMBER($O1377),IF($O1377&gt;=2,IF(COUNTIFS($D1377:$D$2006,$D1377,$E1377:$E$2006,$E1377)=1,ROW(),""),""),"")</f>
        <v/>
      </c>
    </row>
    <row r="1378" customFormat="false" ht="15" hidden="false" customHeight="true" outlineLevel="0" collapsed="false">
      <c r="A1378" s="13" t="str">
        <f aca="false">IF(AND($B1378="",$D1378="",$E1378="",$F1378=""),"",IF(OR($B1378="",$D1378="",$E1378=""),"待补",IF($D1378="公共区域","公",IF($D1378="商铺","S",SUBSTITUTE($D1378,"栋","")))&amp;"-"&amp;$E1378&amp;"-"&amp;TEXT(MONTH($B1378),"00")&amp;TEXT(DAY($B1378),"00")&amp;IF(ISNUMBER($O1378),IF($O1378&gt;1,"-"&amp;TEXT($O1378,"00"),""),"")))</f>
        <v/>
      </c>
      <c r="B1378" s="14"/>
      <c r="C1378" s="10"/>
      <c r="D1378" s="10"/>
      <c r="E1378" s="10"/>
      <c r="F1378" s="16"/>
      <c r="G1378" s="10"/>
      <c r="H1378" s="10"/>
      <c r="I1378" s="10"/>
      <c r="J1378" s="10"/>
      <c r="K1378" s="10"/>
      <c r="L1378" s="10"/>
      <c r="M1378" s="14"/>
      <c r="N1378" s="17" t="str">
        <f aca="false">IF($B1378="","",IF($L1378="已完成",IF($M1378="","",$M1378-$B1378),IF(设置!$B$6&lt;$B1378,"",IF((设置!$B$6-$B1378)&gt;=设置!$B$5,"超期"&amp;(设置!$B$6-$B1378)&amp;"天","已等"&amp;(设置!$B$6-$B1378)&amp;"天"))))</f>
        <v/>
      </c>
      <c r="O1378" s="18" t="str">
        <f aca="false">IF(OR($D1378="",$E1378=""),"",COUNTIFS($D$7:$D1378,$D1378,$E$7:$E1378,$E1378))</f>
        <v/>
      </c>
      <c r="P1378" s="16"/>
      <c r="Q1378" s="19"/>
      <c r="R1378" s="10"/>
      <c r="S1378" s="16"/>
      <c r="T1378" s="0" t="str">
        <f aca="false">IF(OR($D1378="",单元查询!$B$3=""),"",IF($D1378&lt;&gt;单元查询!$B$3,"",IF(OR(单元查询!$D$3="",$E1378&amp;""=单元查询!$D$3&amp;""),IF(ISNUMBER($B1378),$B1378*10000,0)+ROW(),"")))</f>
        <v/>
      </c>
      <c r="U1378" s="0" t="str">
        <f aca="false">IF(OR($B1378="",$L1378="已完成"),"",IF(ISNUMBER($B1378),IF(设置!$B$6&lt;$B1378,"",(设置!$B$6-$B1378)*100000+ROW()),""))</f>
        <v/>
      </c>
      <c r="V1378" s="0" t="str">
        <f aca="false">IF(ISNUMBER($O1378),IF($O1378&gt;=2,IF(COUNTIFS($D1378:$D$2006,$D1378,$E1378:$E$2006,$E1378)=1,ROW(),""),""),"")</f>
        <v/>
      </c>
    </row>
    <row r="1379" customFormat="false" ht="15" hidden="false" customHeight="true" outlineLevel="0" collapsed="false">
      <c r="A1379" s="13" t="str">
        <f aca="false">IF(AND($B1379="",$D1379="",$E1379="",$F1379=""),"",IF(OR($B1379="",$D1379="",$E1379=""),"待补",IF($D1379="公共区域","公",IF($D1379="商铺","S",SUBSTITUTE($D1379,"栋","")))&amp;"-"&amp;$E1379&amp;"-"&amp;TEXT(MONTH($B1379),"00")&amp;TEXT(DAY($B1379),"00")&amp;IF(ISNUMBER($O1379),IF($O1379&gt;1,"-"&amp;TEXT($O1379,"00"),""),"")))</f>
        <v/>
      </c>
      <c r="B1379" s="14"/>
      <c r="C1379" s="10"/>
      <c r="D1379" s="10"/>
      <c r="E1379" s="10"/>
      <c r="F1379" s="16"/>
      <c r="G1379" s="10"/>
      <c r="H1379" s="10"/>
      <c r="I1379" s="10"/>
      <c r="J1379" s="10"/>
      <c r="K1379" s="10"/>
      <c r="L1379" s="10"/>
      <c r="M1379" s="14"/>
      <c r="N1379" s="17" t="str">
        <f aca="false">IF($B1379="","",IF($L1379="已完成",IF($M1379="","",$M1379-$B1379),IF(设置!$B$6&lt;$B1379,"",IF((设置!$B$6-$B1379)&gt;=设置!$B$5,"超期"&amp;(设置!$B$6-$B1379)&amp;"天","已等"&amp;(设置!$B$6-$B1379)&amp;"天"))))</f>
        <v/>
      </c>
      <c r="O1379" s="18" t="str">
        <f aca="false">IF(OR($D1379="",$E1379=""),"",COUNTIFS($D$7:$D1379,$D1379,$E$7:$E1379,$E1379))</f>
        <v/>
      </c>
      <c r="P1379" s="16"/>
      <c r="Q1379" s="19"/>
      <c r="R1379" s="10"/>
      <c r="S1379" s="16"/>
      <c r="T1379" s="0" t="str">
        <f aca="false">IF(OR($D1379="",单元查询!$B$3=""),"",IF($D1379&lt;&gt;单元查询!$B$3,"",IF(OR(单元查询!$D$3="",$E1379&amp;""=单元查询!$D$3&amp;""),IF(ISNUMBER($B1379),$B1379*10000,0)+ROW(),"")))</f>
        <v/>
      </c>
      <c r="U1379" s="0" t="str">
        <f aca="false">IF(OR($B1379="",$L1379="已完成"),"",IF(ISNUMBER($B1379),IF(设置!$B$6&lt;$B1379,"",(设置!$B$6-$B1379)*100000+ROW()),""))</f>
        <v/>
      </c>
      <c r="V1379" s="0" t="str">
        <f aca="false">IF(ISNUMBER($O1379),IF($O1379&gt;=2,IF(COUNTIFS($D1379:$D$2006,$D1379,$E1379:$E$2006,$E1379)=1,ROW(),""),""),"")</f>
        <v/>
      </c>
    </row>
    <row r="1380" customFormat="false" ht="15" hidden="false" customHeight="true" outlineLevel="0" collapsed="false">
      <c r="A1380" s="13" t="str">
        <f aca="false">IF(AND($B1380="",$D1380="",$E1380="",$F1380=""),"",IF(OR($B1380="",$D1380="",$E1380=""),"待补",IF($D1380="公共区域","公",IF($D1380="商铺","S",SUBSTITUTE($D1380,"栋","")))&amp;"-"&amp;$E1380&amp;"-"&amp;TEXT(MONTH($B1380),"00")&amp;TEXT(DAY($B1380),"00")&amp;IF(ISNUMBER($O1380),IF($O1380&gt;1,"-"&amp;TEXT($O1380,"00"),""),"")))</f>
        <v/>
      </c>
      <c r="B1380" s="14"/>
      <c r="C1380" s="10"/>
      <c r="D1380" s="10"/>
      <c r="E1380" s="10"/>
      <c r="F1380" s="16"/>
      <c r="G1380" s="10"/>
      <c r="H1380" s="10"/>
      <c r="I1380" s="10"/>
      <c r="J1380" s="10"/>
      <c r="K1380" s="10"/>
      <c r="L1380" s="10"/>
      <c r="M1380" s="14"/>
      <c r="N1380" s="17" t="str">
        <f aca="false">IF($B1380="","",IF($L1380="已完成",IF($M1380="","",$M1380-$B1380),IF(设置!$B$6&lt;$B1380,"",IF((设置!$B$6-$B1380)&gt;=设置!$B$5,"超期"&amp;(设置!$B$6-$B1380)&amp;"天","已等"&amp;(设置!$B$6-$B1380)&amp;"天"))))</f>
        <v/>
      </c>
      <c r="O1380" s="18" t="str">
        <f aca="false">IF(OR($D1380="",$E1380=""),"",COUNTIFS($D$7:$D1380,$D1380,$E$7:$E1380,$E1380))</f>
        <v/>
      </c>
      <c r="P1380" s="16"/>
      <c r="Q1380" s="19"/>
      <c r="R1380" s="10"/>
      <c r="S1380" s="16"/>
      <c r="T1380" s="0" t="str">
        <f aca="false">IF(OR($D1380="",单元查询!$B$3=""),"",IF($D1380&lt;&gt;单元查询!$B$3,"",IF(OR(单元查询!$D$3="",$E1380&amp;""=单元查询!$D$3&amp;""),IF(ISNUMBER($B1380),$B1380*10000,0)+ROW(),"")))</f>
        <v/>
      </c>
      <c r="U1380" s="0" t="str">
        <f aca="false">IF(OR($B1380="",$L1380="已完成"),"",IF(ISNUMBER($B1380),IF(设置!$B$6&lt;$B1380,"",(设置!$B$6-$B1380)*100000+ROW()),""))</f>
        <v/>
      </c>
      <c r="V1380" s="0" t="str">
        <f aca="false">IF(ISNUMBER($O1380),IF($O1380&gt;=2,IF(COUNTIFS($D1380:$D$2006,$D1380,$E1380:$E$2006,$E1380)=1,ROW(),""),""),"")</f>
        <v/>
      </c>
    </row>
    <row r="1381" customFormat="false" ht="15" hidden="false" customHeight="true" outlineLevel="0" collapsed="false">
      <c r="A1381" s="13" t="str">
        <f aca="false">IF(AND($B1381="",$D1381="",$E1381="",$F1381=""),"",IF(OR($B1381="",$D1381="",$E1381=""),"待补",IF($D1381="公共区域","公",IF($D1381="商铺","S",SUBSTITUTE($D1381,"栋","")))&amp;"-"&amp;$E1381&amp;"-"&amp;TEXT(MONTH($B1381),"00")&amp;TEXT(DAY($B1381),"00")&amp;IF(ISNUMBER($O1381),IF($O1381&gt;1,"-"&amp;TEXT($O1381,"00"),""),"")))</f>
        <v/>
      </c>
      <c r="B1381" s="14"/>
      <c r="C1381" s="10"/>
      <c r="D1381" s="10"/>
      <c r="E1381" s="10"/>
      <c r="F1381" s="16"/>
      <c r="G1381" s="10"/>
      <c r="H1381" s="10"/>
      <c r="I1381" s="10"/>
      <c r="J1381" s="10"/>
      <c r="K1381" s="10"/>
      <c r="L1381" s="10"/>
      <c r="M1381" s="14"/>
      <c r="N1381" s="17" t="str">
        <f aca="false">IF($B1381="","",IF($L1381="已完成",IF($M1381="","",$M1381-$B1381),IF(设置!$B$6&lt;$B1381,"",IF((设置!$B$6-$B1381)&gt;=设置!$B$5,"超期"&amp;(设置!$B$6-$B1381)&amp;"天","已等"&amp;(设置!$B$6-$B1381)&amp;"天"))))</f>
        <v/>
      </c>
      <c r="O1381" s="18" t="str">
        <f aca="false">IF(OR($D1381="",$E1381=""),"",COUNTIFS($D$7:$D1381,$D1381,$E$7:$E1381,$E1381))</f>
        <v/>
      </c>
      <c r="P1381" s="16"/>
      <c r="Q1381" s="19"/>
      <c r="R1381" s="10"/>
      <c r="S1381" s="16"/>
      <c r="T1381" s="0" t="str">
        <f aca="false">IF(OR($D1381="",单元查询!$B$3=""),"",IF($D1381&lt;&gt;单元查询!$B$3,"",IF(OR(单元查询!$D$3="",$E1381&amp;""=单元查询!$D$3&amp;""),IF(ISNUMBER($B1381),$B1381*10000,0)+ROW(),"")))</f>
        <v/>
      </c>
      <c r="U1381" s="0" t="str">
        <f aca="false">IF(OR($B1381="",$L1381="已完成"),"",IF(ISNUMBER($B1381),IF(设置!$B$6&lt;$B1381,"",(设置!$B$6-$B1381)*100000+ROW()),""))</f>
        <v/>
      </c>
      <c r="V1381" s="0" t="str">
        <f aca="false">IF(ISNUMBER($O1381),IF($O1381&gt;=2,IF(COUNTIFS($D1381:$D$2006,$D1381,$E1381:$E$2006,$E1381)=1,ROW(),""),""),"")</f>
        <v/>
      </c>
    </row>
    <row r="1382" customFormat="false" ht="15" hidden="false" customHeight="true" outlineLevel="0" collapsed="false">
      <c r="A1382" s="13" t="str">
        <f aca="false">IF(AND($B1382="",$D1382="",$E1382="",$F1382=""),"",IF(OR($B1382="",$D1382="",$E1382=""),"待补",IF($D1382="公共区域","公",IF($D1382="商铺","S",SUBSTITUTE($D1382,"栋","")))&amp;"-"&amp;$E1382&amp;"-"&amp;TEXT(MONTH($B1382),"00")&amp;TEXT(DAY($B1382),"00")&amp;IF(ISNUMBER($O1382),IF($O1382&gt;1,"-"&amp;TEXT($O1382,"00"),""),"")))</f>
        <v/>
      </c>
      <c r="B1382" s="14"/>
      <c r="C1382" s="10"/>
      <c r="D1382" s="10"/>
      <c r="E1382" s="10"/>
      <c r="F1382" s="16"/>
      <c r="G1382" s="10"/>
      <c r="H1382" s="10"/>
      <c r="I1382" s="10"/>
      <c r="J1382" s="10"/>
      <c r="K1382" s="10"/>
      <c r="L1382" s="10"/>
      <c r="M1382" s="14"/>
      <c r="N1382" s="17" t="str">
        <f aca="false">IF($B1382="","",IF($L1382="已完成",IF($M1382="","",$M1382-$B1382),IF(设置!$B$6&lt;$B1382,"",IF((设置!$B$6-$B1382)&gt;=设置!$B$5,"超期"&amp;(设置!$B$6-$B1382)&amp;"天","已等"&amp;(设置!$B$6-$B1382)&amp;"天"))))</f>
        <v/>
      </c>
      <c r="O1382" s="18" t="str">
        <f aca="false">IF(OR($D1382="",$E1382=""),"",COUNTIFS($D$7:$D1382,$D1382,$E$7:$E1382,$E1382))</f>
        <v/>
      </c>
      <c r="P1382" s="16"/>
      <c r="Q1382" s="19"/>
      <c r="R1382" s="10"/>
      <c r="S1382" s="16"/>
      <c r="T1382" s="0" t="str">
        <f aca="false">IF(OR($D1382="",单元查询!$B$3=""),"",IF($D1382&lt;&gt;单元查询!$B$3,"",IF(OR(单元查询!$D$3="",$E1382&amp;""=单元查询!$D$3&amp;""),IF(ISNUMBER($B1382),$B1382*10000,0)+ROW(),"")))</f>
        <v/>
      </c>
      <c r="U1382" s="0" t="str">
        <f aca="false">IF(OR($B1382="",$L1382="已完成"),"",IF(ISNUMBER($B1382),IF(设置!$B$6&lt;$B1382,"",(设置!$B$6-$B1382)*100000+ROW()),""))</f>
        <v/>
      </c>
      <c r="V1382" s="0" t="str">
        <f aca="false">IF(ISNUMBER($O1382),IF($O1382&gt;=2,IF(COUNTIFS($D1382:$D$2006,$D1382,$E1382:$E$2006,$E1382)=1,ROW(),""),""),"")</f>
        <v/>
      </c>
    </row>
    <row r="1383" customFormat="false" ht="15" hidden="false" customHeight="true" outlineLevel="0" collapsed="false">
      <c r="A1383" s="13" t="str">
        <f aca="false">IF(AND($B1383="",$D1383="",$E1383="",$F1383=""),"",IF(OR($B1383="",$D1383="",$E1383=""),"待补",IF($D1383="公共区域","公",IF($D1383="商铺","S",SUBSTITUTE($D1383,"栋","")))&amp;"-"&amp;$E1383&amp;"-"&amp;TEXT(MONTH($B1383),"00")&amp;TEXT(DAY($B1383),"00")&amp;IF(ISNUMBER($O1383),IF($O1383&gt;1,"-"&amp;TEXT($O1383,"00"),""),"")))</f>
        <v/>
      </c>
      <c r="B1383" s="14"/>
      <c r="C1383" s="10"/>
      <c r="D1383" s="10"/>
      <c r="E1383" s="10"/>
      <c r="F1383" s="16"/>
      <c r="G1383" s="10"/>
      <c r="H1383" s="10"/>
      <c r="I1383" s="10"/>
      <c r="J1383" s="10"/>
      <c r="K1383" s="10"/>
      <c r="L1383" s="10"/>
      <c r="M1383" s="14"/>
      <c r="N1383" s="17" t="str">
        <f aca="false">IF($B1383="","",IF($L1383="已完成",IF($M1383="","",$M1383-$B1383),IF(设置!$B$6&lt;$B1383,"",IF((设置!$B$6-$B1383)&gt;=设置!$B$5,"超期"&amp;(设置!$B$6-$B1383)&amp;"天","已等"&amp;(设置!$B$6-$B1383)&amp;"天"))))</f>
        <v/>
      </c>
      <c r="O1383" s="18" t="str">
        <f aca="false">IF(OR($D1383="",$E1383=""),"",COUNTIFS($D$7:$D1383,$D1383,$E$7:$E1383,$E1383))</f>
        <v/>
      </c>
      <c r="P1383" s="16"/>
      <c r="Q1383" s="19"/>
      <c r="R1383" s="10"/>
      <c r="S1383" s="16"/>
      <c r="T1383" s="0" t="str">
        <f aca="false">IF(OR($D1383="",单元查询!$B$3=""),"",IF($D1383&lt;&gt;单元查询!$B$3,"",IF(OR(单元查询!$D$3="",$E1383&amp;""=单元查询!$D$3&amp;""),IF(ISNUMBER($B1383),$B1383*10000,0)+ROW(),"")))</f>
        <v/>
      </c>
      <c r="U1383" s="0" t="str">
        <f aca="false">IF(OR($B1383="",$L1383="已完成"),"",IF(ISNUMBER($B1383),IF(设置!$B$6&lt;$B1383,"",(设置!$B$6-$B1383)*100000+ROW()),""))</f>
        <v/>
      </c>
      <c r="V1383" s="0" t="str">
        <f aca="false">IF(ISNUMBER($O1383),IF($O1383&gt;=2,IF(COUNTIFS($D1383:$D$2006,$D1383,$E1383:$E$2006,$E1383)=1,ROW(),""),""),"")</f>
        <v/>
      </c>
    </row>
    <row r="1384" customFormat="false" ht="15" hidden="false" customHeight="true" outlineLevel="0" collapsed="false">
      <c r="A1384" s="13" t="str">
        <f aca="false">IF(AND($B1384="",$D1384="",$E1384="",$F1384=""),"",IF(OR($B1384="",$D1384="",$E1384=""),"待补",IF($D1384="公共区域","公",IF($D1384="商铺","S",SUBSTITUTE($D1384,"栋","")))&amp;"-"&amp;$E1384&amp;"-"&amp;TEXT(MONTH($B1384),"00")&amp;TEXT(DAY($B1384),"00")&amp;IF(ISNUMBER($O1384),IF($O1384&gt;1,"-"&amp;TEXT($O1384,"00"),""),"")))</f>
        <v/>
      </c>
      <c r="B1384" s="14"/>
      <c r="C1384" s="10"/>
      <c r="D1384" s="10"/>
      <c r="E1384" s="10"/>
      <c r="F1384" s="16"/>
      <c r="G1384" s="10"/>
      <c r="H1384" s="10"/>
      <c r="I1384" s="10"/>
      <c r="J1384" s="10"/>
      <c r="K1384" s="10"/>
      <c r="L1384" s="10"/>
      <c r="M1384" s="14"/>
      <c r="N1384" s="17" t="str">
        <f aca="false">IF($B1384="","",IF($L1384="已完成",IF($M1384="","",$M1384-$B1384),IF(设置!$B$6&lt;$B1384,"",IF((设置!$B$6-$B1384)&gt;=设置!$B$5,"超期"&amp;(设置!$B$6-$B1384)&amp;"天","已等"&amp;(设置!$B$6-$B1384)&amp;"天"))))</f>
        <v/>
      </c>
      <c r="O1384" s="18" t="str">
        <f aca="false">IF(OR($D1384="",$E1384=""),"",COUNTIFS($D$7:$D1384,$D1384,$E$7:$E1384,$E1384))</f>
        <v/>
      </c>
      <c r="P1384" s="16"/>
      <c r="Q1384" s="19"/>
      <c r="R1384" s="10"/>
      <c r="S1384" s="16"/>
      <c r="T1384" s="0" t="str">
        <f aca="false">IF(OR($D1384="",单元查询!$B$3=""),"",IF($D1384&lt;&gt;单元查询!$B$3,"",IF(OR(单元查询!$D$3="",$E1384&amp;""=单元查询!$D$3&amp;""),IF(ISNUMBER($B1384),$B1384*10000,0)+ROW(),"")))</f>
        <v/>
      </c>
      <c r="U1384" s="0" t="str">
        <f aca="false">IF(OR($B1384="",$L1384="已完成"),"",IF(ISNUMBER($B1384),IF(设置!$B$6&lt;$B1384,"",(设置!$B$6-$B1384)*100000+ROW()),""))</f>
        <v/>
      </c>
      <c r="V1384" s="0" t="str">
        <f aca="false">IF(ISNUMBER($O1384),IF($O1384&gt;=2,IF(COUNTIFS($D1384:$D$2006,$D1384,$E1384:$E$2006,$E1384)=1,ROW(),""),""),"")</f>
        <v/>
      </c>
    </row>
    <row r="1385" customFormat="false" ht="15" hidden="false" customHeight="true" outlineLevel="0" collapsed="false">
      <c r="A1385" s="13" t="str">
        <f aca="false">IF(AND($B1385="",$D1385="",$E1385="",$F1385=""),"",IF(OR($B1385="",$D1385="",$E1385=""),"待补",IF($D1385="公共区域","公",IF($D1385="商铺","S",SUBSTITUTE($D1385,"栋","")))&amp;"-"&amp;$E1385&amp;"-"&amp;TEXT(MONTH($B1385),"00")&amp;TEXT(DAY($B1385),"00")&amp;IF(ISNUMBER($O1385),IF($O1385&gt;1,"-"&amp;TEXT($O1385,"00"),""),"")))</f>
        <v/>
      </c>
      <c r="B1385" s="14"/>
      <c r="C1385" s="10"/>
      <c r="D1385" s="10"/>
      <c r="E1385" s="10"/>
      <c r="F1385" s="16"/>
      <c r="G1385" s="10"/>
      <c r="H1385" s="10"/>
      <c r="I1385" s="10"/>
      <c r="J1385" s="10"/>
      <c r="K1385" s="10"/>
      <c r="L1385" s="10"/>
      <c r="M1385" s="14"/>
      <c r="N1385" s="17" t="str">
        <f aca="false">IF($B1385="","",IF($L1385="已完成",IF($M1385="","",$M1385-$B1385),IF(设置!$B$6&lt;$B1385,"",IF((设置!$B$6-$B1385)&gt;=设置!$B$5,"超期"&amp;(设置!$B$6-$B1385)&amp;"天","已等"&amp;(设置!$B$6-$B1385)&amp;"天"))))</f>
        <v/>
      </c>
      <c r="O1385" s="18" t="str">
        <f aca="false">IF(OR($D1385="",$E1385=""),"",COUNTIFS($D$7:$D1385,$D1385,$E$7:$E1385,$E1385))</f>
        <v/>
      </c>
      <c r="P1385" s="16"/>
      <c r="Q1385" s="19"/>
      <c r="R1385" s="10"/>
      <c r="S1385" s="16"/>
      <c r="T1385" s="0" t="str">
        <f aca="false">IF(OR($D1385="",单元查询!$B$3=""),"",IF($D1385&lt;&gt;单元查询!$B$3,"",IF(OR(单元查询!$D$3="",$E1385&amp;""=单元查询!$D$3&amp;""),IF(ISNUMBER($B1385),$B1385*10000,0)+ROW(),"")))</f>
        <v/>
      </c>
      <c r="U1385" s="0" t="str">
        <f aca="false">IF(OR($B1385="",$L1385="已完成"),"",IF(ISNUMBER($B1385),IF(设置!$B$6&lt;$B1385,"",(设置!$B$6-$B1385)*100000+ROW()),""))</f>
        <v/>
      </c>
      <c r="V1385" s="0" t="str">
        <f aca="false">IF(ISNUMBER($O1385),IF($O1385&gt;=2,IF(COUNTIFS($D1385:$D$2006,$D1385,$E1385:$E$2006,$E1385)=1,ROW(),""),""),"")</f>
        <v/>
      </c>
    </row>
    <row r="1386" customFormat="false" ht="15" hidden="false" customHeight="true" outlineLevel="0" collapsed="false">
      <c r="A1386" s="13" t="str">
        <f aca="false">IF(AND($B1386="",$D1386="",$E1386="",$F1386=""),"",IF(OR($B1386="",$D1386="",$E1386=""),"待补",IF($D1386="公共区域","公",IF($D1386="商铺","S",SUBSTITUTE($D1386,"栋","")))&amp;"-"&amp;$E1386&amp;"-"&amp;TEXT(MONTH($B1386),"00")&amp;TEXT(DAY($B1386),"00")&amp;IF(ISNUMBER($O1386),IF($O1386&gt;1,"-"&amp;TEXT($O1386,"00"),""),"")))</f>
        <v/>
      </c>
      <c r="B1386" s="14"/>
      <c r="C1386" s="10"/>
      <c r="D1386" s="10"/>
      <c r="E1386" s="10"/>
      <c r="F1386" s="16"/>
      <c r="G1386" s="10"/>
      <c r="H1386" s="10"/>
      <c r="I1386" s="10"/>
      <c r="J1386" s="10"/>
      <c r="K1386" s="10"/>
      <c r="L1386" s="10"/>
      <c r="M1386" s="14"/>
      <c r="N1386" s="17" t="str">
        <f aca="false">IF($B1386="","",IF($L1386="已完成",IF($M1386="","",$M1386-$B1386),IF(设置!$B$6&lt;$B1386,"",IF((设置!$B$6-$B1386)&gt;=设置!$B$5,"超期"&amp;(设置!$B$6-$B1386)&amp;"天","已等"&amp;(设置!$B$6-$B1386)&amp;"天"))))</f>
        <v/>
      </c>
      <c r="O1386" s="18" t="str">
        <f aca="false">IF(OR($D1386="",$E1386=""),"",COUNTIFS($D$7:$D1386,$D1386,$E$7:$E1386,$E1386))</f>
        <v/>
      </c>
      <c r="P1386" s="16"/>
      <c r="Q1386" s="19"/>
      <c r="R1386" s="10"/>
      <c r="S1386" s="16"/>
      <c r="T1386" s="0" t="str">
        <f aca="false">IF(OR($D1386="",单元查询!$B$3=""),"",IF($D1386&lt;&gt;单元查询!$B$3,"",IF(OR(单元查询!$D$3="",$E1386&amp;""=单元查询!$D$3&amp;""),IF(ISNUMBER($B1386),$B1386*10000,0)+ROW(),"")))</f>
        <v/>
      </c>
      <c r="U1386" s="0" t="str">
        <f aca="false">IF(OR($B1386="",$L1386="已完成"),"",IF(ISNUMBER($B1386),IF(设置!$B$6&lt;$B1386,"",(设置!$B$6-$B1386)*100000+ROW()),""))</f>
        <v/>
      </c>
      <c r="V1386" s="0" t="str">
        <f aca="false">IF(ISNUMBER($O1386),IF($O1386&gt;=2,IF(COUNTIFS($D1386:$D$2006,$D1386,$E1386:$E$2006,$E1386)=1,ROW(),""),""),"")</f>
        <v/>
      </c>
    </row>
    <row r="1387" customFormat="false" ht="15" hidden="false" customHeight="true" outlineLevel="0" collapsed="false">
      <c r="A1387" s="13" t="str">
        <f aca="false">IF(AND($B1387="",$D1387="",$E1387="",$F1387=""),"",IF(OR($B1387="",$D1387="",$E1387=""),"待补",IF($D1387="公共区域","公",IF($D1387="商铺","S",SUBSTITUTE($D1387,"栋","")))&amp;"-"&amp;$E1387&amp;"-"&amp;TEXT(MONTH($B1387),"00")&amp;TEXT(DAY($B1387),"00")&amp;IF(ISNUMBER($O1387),IF($O1387&gt;1,"-"&amp;TEXT($O1387,"00"),""),"")))</f>
        <v/>
      </c>
      <c r="B1387" s="14"/>
      <c r="C1387" s="10"/>
      <c r="D1387" s="10"/>
      <c r="E1387" s="10"/>
      <c r="F1387" s="16"/>
      <c r="G1387" s="10"/>
      <c r="H1387" s="10"/>
      <c r="I1387" s="10"/>
      <c r="J1387" s="10"/>
      <c r="K1387" s="10"/>
      <c r="L1387" s="10"/>
      <c r="M1387" s="14"/>
      <c r="N1387" s="17" t="str">
        <f aca="false">IF($B1387="","",IF($L1387="已完成",IF($M1387="","",$M1387-$B1387),IF(设置!$B$6&lt;$B1387,"",IF((设置!$B$6-$B1387)&gt;=设置!$B$5,"超期"&amp;(设置!$B$6-$B1387)&amp;"天","已等"&amp;(设置!$B$6-$B1387)&amp;"天"))))</f>
        <v/>
      </c>
      <c r="O1387" s="18" t="str">
        <f aca="false">IF(OR($D1387="",$E1387=""),"",COUNTIFS($D$7:$D1387,$D1387,$E$7:$E1387,$E1387))</f>
        <v/>
      </c>
      <c r="P1387" s="16"/>
      <c r="Q1387" s="19"/>
      <c r="R1387" s="10"/>
      <c r="S1387" s="16"/>
      <c r="T1387" s="0" t="str">
        <f aca="false">IF(OR($D1387="",单元查询!$B$3=""),"",IF($D1387&lt;&gt;单元查询!$B$3,"",IF(OR(单元查询!$D$3="",$E1387&amp;""=单元查询!$D$3&amp;""),IF(ISNUMBER($B1387),$B1387*10000,0)+ROW(),"")))</f>
        <v/>
      </c>
      <c r="U1387" s="0" t="str">
        <f aca="false">IF(OR($B1387="",$L1387="已完成"),"",IF(ISNUMBER($B1387),IF(设置!$B$6&lt;$B1387,"",(设置!$B$6-$B1387)*100000+ROW()),""))</f>
        <v/>
      </c>
      <c r="V1387" s="0" t="str">
        <f aca="false">IF(ISNUMBER($O1387),IF($O1387&gt;=2,IF(COUNTIFS($D1387:$D$2006,$D1387,$E1387:$E$2006,$E1387)=1,ROW(),""),""),"")</f>
        <v/>
      </c>
    </row>
    <row r="1388" customFormat="false" ht="15" hidden="false" customHeight="true" outlineLevel="0" collapsed="false">
      <c r="A1388" s="13" t="str">
        <f aca="false">IF(AND($B1388="",$D1388="",$E1388="",$F1388=""),"",IF(OR($B1388="",$D1388="",$E1388=""),"待补",IF($D1388="公共区域","公",IF($D1388="商铺","S",SUBSTITUTE($D1388,"栋","")))&amp;"-"&amp;$E1388&amp;"-"&amp;TEXT(MONTH($B1388),"00")&amp;TEXT(DAY($B1388),"00")&amp;IF(ISNUMBER($O1388),IF($O1388&gt;1,"-"&amp;TEXT($O1388,"00"),""),"")))</f>
        <v/>
      </c>
      <c r="B1388" s="14"/>
      <c r="C1388" s="10"/>
      <c r="D1388" s="10"/>
      <c r="E1388" s="10"/>
      <c r="F1388" s="16"/>
      <c r="G1388" s="10"/>
      <c r="H1388" s="10"/>
      <c r="I1388" s="10"/>
      <c r="J1388" s="10"/>
      <c r="K1388" s="10"/>
      <c r="L1388" s="10"/>
      <c r="M1388" s="14"/>
      <c r="N1388" s="17" t="str">
        <f aca="false">IF($B1388="","",IF($L1388="已完成",IF($M1388="","",$M1388-$B1388),IF(设置!$B$6&lt;$B1388,"",IF((设置!$B$6-$B1388)&gt;=设置!$B$5,"超期"&amp;(设置!$B$6-$B1388)&amp;"天","已等"&amp;(设置!$B$6-$B1388)&amp;"天"))))</f>
        <v/>
      </c>
      <c r="O1388" s="18" t="str">
        <f aca="false">IF(OR($D1388="",$E1388=""),"",COUNTIFS($D$7:$D1388,$D1388,$E$7:$E1388,$E1388))</f>
        <v/>
      </c>
      <c r="P1388" s="16"/>
      <c r="Q1388" s="19"/>
      <c r="R1388" s="10"/>
      <c r="S1388" s="16"/>
      <c r="T1388" s="0" t="str">
        <f aca="false">IF(OR($D1388="",单元查询!$B$3=""),"",IF($D1388&lt;&gt;单元查询!$B$3,"",IF(OR(单元查询!$D$3="",$E1388&amp;""=单元查询!$D$3&amp;""),IF(ISNUMBER($B1388),$B1388*10000,0)+ROW(),"")))</f>
        <v/>
      </c>
      <c r="U1388" s="0" t="str">
        <f aca="false">IF(OR($B1388="",$L1388="已完成"),"",IF(ISNUMBER($B1388),IF(设置!$B$6&lt;$B1388,"",(设置!$B$6-$B1388)*100000+ROW()),""))</f>
        <v/>
      </c>
      <c r="V1388" s="0" t="str">
        <f aca="false">IF(ISNUMBER($O1388),IF($O1388&gt;=2,IF(COUNTIFS($D1388:$D$2006,$D1388,$E1388:$E$2006,$E1388)=1,ROW(),""),""),"")</f>
        <v/>
      </c>
    </row>
    <row r="1389" customFormat="false" ht="15" hidden="false" customHeight="true" outlineLevel="0" collapsed="false">
      <c r="A1389" s="13" t="str">
        <f aca="false">IF(AND($B1389="",$D1389="",$E1389="",$F1389=""),"",IF(OR($B1389="",$D1389="",$E1389=""),"待补",IF($D1389="公共区域","公",IF($D1389="商铺","S",SUBSTITUTE($D1389,"栋","")))&amp;"-"&amp;$E1389&amp;"-"&amp;TEXT(MONTH($B1389),"00")&amp;TEXT(DAY($B1389),"00")&amp;IF(ISNUMBER($O1389),IF($O1389&gt;1,"-"&amp;TEXT($O1389,"00"),""),"")))</f>
        <v/>
      </c>
      <c r="B1389" s="14"/>
      <c r="C1389" s="10"/>
      <c r="D1389" s="10"/>
      <c r="E1389" s="10"/>
      <c r="F1389" s="16"/>
      <c r="G1389" s="10"/>
      <c r="H1389" s="10"/>
      <c r="I1389" s="10"/>
      <c r="J1389" s="10"/>
      <c r="K1389" s="10"/>
      <c r="L1389" s="10"/>
      <c r="M1389" s="14"/>
      <c r="N1389" s="17" t="str">
        <f aca="false">IF($B1389="","",IF($L1389="已完成",IF($M1389="","",$M1389-$B1389),IF(设置!$B$6&lt;$B1389,"",IF((设置!$B$6-$B1389)&gt;=设置!$B$5,"超期"&amp;(设置!$B$6-$B1389)&amp;"天","已等"&amp;(设置!$B$6-$B1389)&amp;"天"))))</f>
        <v/>
      </c>
      <c r="O1389" s="18" t="str">
        <f aca="false">IF(OR($D1389="",$E1389=""),"",COUNTIFS($D$7:$D1389,$D1389,$E$7:$E1389,$E1389))</f>
        <v/>
      </c>
      <c r="P1389" s="16"/>
      <c r="Q1389" s="19"/>
      <c r="R1389" s="10"/>
      <c r="S1389" s="16"/>
      <c r="T1389" s="0" t="str">
        <f aca="false">IF(OR($D1389="",单元查询!$B$3=""),"",IF($D1389&lt;&gt;单元查询!$B$3,"",IF(OR(单元查询!$D$3="",$E1389&amp;""=单元查询!$D$3&amp;""),IF(ISNUMBER($B1389),$B1389*10000,0)+ROW(),"")))</f>
        <v/>
      </c>
      <c r="U1389" s="0" t="str">
        <f aca="false">IF(OR($B1389="",$L1389="已完成"),"",IF(ISNUMBER($B1389),IF(设置!$B$6&lt;$B1389,"",(设置!$B$6-$B1389)*100000+ROW()),""))</f>
        <v/>
      </c>
      <c r="V1389" s="0" t="str">
        <f aca="false">IF(ISNUMBER($O1389),IF($O1389&gt;=2,IF(COUNTIFS($D1389:$D$2006,$D1389,$E1389:$E$2006,$E1389)=1,ROW(),""),""),"")</f>
        <v/>
      </c>
    </row>
    <row r="1390" customFormat="false" ht="15" hidden="false" customHeight="true" outlineLevel="0" collapsed="false">
      <c r="A1390" s="13" t="str">
        <f aca="false">IF(AND($B1390="",$D1390="",$E1390="",$F1390=""),"",IF(OR($B1390="",$D1390="",$E1390=""),"待补",IF($D1390="公共区域","公",IF($D1390="商铺","S",SUBSTITUTE($D1390,"栋","")))&amp;"-"&amp;$E1390&amp;"-"&amp;TEXT(MONTH($B1390),"00")&amp;TEXT(DAY($B1390),"00")&amp;IF(ISNUMBER($O1390),IF($O1390&gt;1,"-"&amp;TEXT($O1390,"00"),""),"")))</f>
        <v/>
      </c>
      <c r="B1390" s="14"/>
      <c r="C1390" s="10"/>
      <c r="D1390" s="10"/>
      <c r="E1390" s="10"/>
      <c r="F1390" s="16"/>
      <c r="G1390" s="10"/>
      <c r="H1390" s="10"/>
      <c r="I1390" s="10"/>
      <c r="J1390" s="10"/>
      <c r="K1390" s="10"/>
      <c r="L1390" s="10"/>
      <c r="M1390" s="14"/>
      <c r="N1390" s="17" t="str">
        <f aca="false">IF($B1390="","",IF($L1390="已完成",IF($M1390="","",$M1390-$B1390),IF(设置!$B$6&lt;$B1390,"",IF((设置!$B$6-$B1390)&gt;=设置!$B$5,"超期"&amp;(设置!$B$6-$B1390)&amp;"天","已等"&amp;(设置!$B$6-$B1390)&amp;"天"))))</f>
        <v/>
      </c>
      <c r="O1390" s="18" t="str">
        <f aca="false">IF(OR($D1390="",$E1390=""),"",COUNTIFS($D$7:$D1390,$D1390,$E$7:$E1390,$E1390))</f>
        <v/>
      </c>
      <c r="P1390" s="16"/>
      <c r="Q1390" s="19"/>
      <c r="R1390" s="10"/>
      <c r="S1390" s="16"/>
      <c r="T1390" s="0" t="str">
        <f aca="false">IF(OR($D1390="",单元查询!$B$3=""),"",IF($D1390&lt;&gt;单元查询!$B$3,"",IF(OR(单元查询!$D$3="",$E1390&amp;""=单元查询!$D$3&amp;""),IF(ISNUMBER($B1390),$B1390*10000,0)+ROW(),"")))</f>
        <v/>
      </c>
      <c r="U1390" s="0" t="str">
        <f aca="false">IF(OR($B1390="",$L1390="已完成"),"",IF(ISNUMBER($B1390),IF(设置!$B$6&lt;$B1390,"",(设置!$B$6-$B1390)*100000+ROW()),""))</f>
        <v/>
      </c>
      <c r="V1390" s="0" t="str">
        <f aca="false">IF(ISNUMBER($O1390),IF($O1390&gt;=2,IF(COUNTIFS($D1390:$D$2006,$D1390,$E1390:$E$2006,$E1390)=1,ROW(),""),""),"")</f>
        <v/>
      </c>
    </row>
    <row r="1391" customFormat="false" ht="15" hidden="false" customHeight="true" outlineLevel="0" collapsed="false">
      <c r="A1391" s="13" t="str">
        <f aca="false">IF(AND($B1391="",$D1391="",$E1391="",$F1391=""),"",IF(OR($B1391="",$D1391="",$E1391=""),"待补",IF($D1391="公共区域","公",IF($D1391="商铺","S",SUBSTITUTE($D1391,"栋","")))&amp;"-"&amp;$E1391&amp;"-"&amp;TEXT(MONTH($B1391),"00")&amp;TEXT(DAY($B1391),"00")&amp;IF(ISNUMBER($O1391),IF($O1391&gt;1,"-"&amp;TEXT($O1391,"00"),""),"")))</f>
        <v/>
      </c>
      <c r="B1391" s="14"/>
      <c r="C1391" s="10"/>
      <c r="D1391" s="10"/>
      <c r="E1391" s="10"/>
      <c r="F1391" s="16"/>
      <c r="G1391" s="10"/>
      <c r="H1391" s="10"/>
      <c r="I1391" s="10"/>
      <c r="J1391" s="10"/>
      <c r="K1391" s="10"/>
      <c r="L1391" s="10"/>
      <c r="M1391" s="14"/>
      <c r="N1391" s="17" t="str">
        <f aca="false">IF($B1391="","",IF($L1391="已完成",IF($M1391="","",$M1391-$B1391),IF(设置!$B$6&lt;$B1391,"",IF((设置!$B$6-$B1391)&gt;=设置!$B$5,"超期"&amp;(设置!$B$6-$B1391)&amp;"天","已等"&amp;(设置!$B$6-$B1391)&amp;"天"))))</f>
        <v/>
      </c>
      <c r="O1391" s="18" t="str">
        <f aca="false">IF(OR($D1391="",$E1391=""),"",COUNTIFS($D$7:$D1391,$D1391,$E$7:$E1391,$E1391))</f>
        <v/>
      </c>
      <c r="P1391" s="16"/>
      <c r="Q1391" s="19"/>
      <c r="R1391" s="10"/>
      <c r="S1391" s="16"/>
      <c r="T1391" s="0" t="str">
        <f aca="false">IF(OR($D1391="",单元查询!$B$3=""),"",IF($D1391&lt;&gt;单元查询!$B$3,"",IF(OR(单元查询!$D$3="",$E1391&amp;""=单元查询!$D$3&amp;""),IF(ISNUMBER($B1391),$B1391*10000,0)+ROW(),"")))</f>
        <v/>
      </c>
      <c r="U1391" s="0" t="str">
        <f aca="false">IF(OR($B1391="",$L1391="已完成"),"",IF(ISNUMBER($B1391),IF(设置!$B$6&lt;$B1391,"",(设置!$B$6-$B1391)*100000+ROW()),""))</f>
        <v/>
      </c>
      <c r="V1391" s="0" t="str">
        <f aca="false">IF(ISNUMBER($O1391),IF($O1391&gt;=2,IF(COUNTIFS($D1391:$D$2006,$D1391,$E1391:$E$2006,$E1391)=1,ROW(),""),""),"")</f>
        <v/>
      </c>
    </row>
    <row r="1392" customFormat="false" ht="15" hidden="false" customHeight="true" outlineLevel="0" collapsed="false">
      <c r="A1392" s="13" t="str">
        <f aca="false">IF(AND($B1392="",$D1392="",$E1392="",$F1392=""),"",IF(OR($B1392="",$D1392="",$E1392=""),"待补",IF($D1392="公共区域","公",IF($D1392="商铺","S",SUBSTITUTE($D1392,"栋","")))&amp;"-"&amp;$E1392&amp;"-"&amp;TEXT(MONTH($B1392),"00")&amp;TEXT(DAY($B1392),"00")&amp;IF(ISNUMBER($O1392),IF($O1392&gt;1,"-"&amp;TEXT($O1392,"00"),""),"")))</f>
        <v/>
      </c>
      <c r="B1392" s="14"/>
      <c r="C1392" s="10"/>
      <c r="D1392" s="10"/>
      <c r="E1392" s="10"/>
      <c r="F1392" s="16"/>
      <c r="G1392" s="10"/>
      <c r="H1392" s="10"/>
      <c r="I1392" s="10"/>
      <c r="J1392" s="10"/>
      <c r="K1392" s="10"/>
      <c r="L1392" s="10"/>
      <c r="M1392" s="14"/>
      <c r="N1392" s="17" t="str">
        <f aca="false">IF($B1392="","",IF($L1392="已完成",IF($M1392="","",$M1392-$B1392),IF(设置!$B$6&lt;$B1392,"",IF((设置!$B$6-$B1392)&gt;=设置!$B$5,"超期"&amp;(设置!$B$6-$B1392)&amp;"天","已等"&amp;(设置!$B$6-$B1392)&amp;"天"))))</f>
        <v/>
      </c>
      <c r="O1392" s="18" t="str">
        <f aca="false">IF(OR($D1392="",$E1392=""),"",COUNTIFS($D$7:$D1392,$D1392,$E$7:$E1392,$E1392))</f>
        <v/>
      </c>
      <c r="P1392" s="16"/>
      <c r="Q1392" s="19"/>
      <c r="R1392" s="10"/>
      <c r="S1392" s="16"/>
      <c r="T1392" s="0" t="str">
        <f aca="false">IF(OR($D1392="",单元查询!$B$3=""),"",IF($D1392&lt;&gt;单元查询!$B$3,"",IF(OR(单元查询!$D$3="",$E1392&amp;""=单元查询!$D$3&amp;""),IF(ISNUMBER($B1392),$B1392*10000,0)+ROW(),"")))</f>
        <v/>
      </c>
      <c r="U1392" s="0" t="str">
        <f aca="false">IF(OR($B1392="",$L1392="已完成"),"",IF(ISNUMBER($B1392),IF(设置!$B$6&lt;$B1392,"",(设置!$B$6-$B1392)*100000+ROW()),""))</f>
        <v/>
      </c>
      <c r="V1392" s="0" t="str">
        <f aca="false">IF(ISNUMBER($O1392),IF($O1392&gt;=2,IF(COUNTIFS($D1392:$D$2006,$D1392,$E1392:$E$2006,$E1392)=1,ROW(),""),""),"")</f>
        <v/>
      </c>
    </row>
    <row r="1393" customFormat="false" ht="15" hidden="false" customHeight="true" outlineLevel="0" collapsed="false">
      <c r="A1393" s="13" t="str">
        <f aca="false">IF(AND($B1393="",$D1393="",$E1393="",$F1393=""),"",IF(OR($B1393="",$D1393="",$E1393=""),"待补",IF($D1393="公共区域","公",IF($D1393="商铺","S",SUBSTITUTE($D1393,"栋","")))&amp;"-"&amp;$E1393&amp;"-"&amp;TEXT(MONTH($B1393),"00")&amp;TEXT(DAY($B1393),"00")&amp;IF(ISNUMBER($O1393),IF($O1393&gt;1,"-"&amp;TEXT($O1393,"00"),""),"")))</f>
        <v/>
      </c>
      <c r="B1393" s="14"/>
      <c r="C1393" s="10"/>
      <c r="D1393" s="10"/>
      <c r="E1393" s="10"/>
      <c r="F1393" s="16"/>
      <c r="G1393" s="10"/>
      <c r="H1393" s="10"/>
      <c r="I1393" s="10"/>
      <c r="J1393" s="10"/>
      <c r="K1393" s="10"/>
      <c r="L1393" s="10"/>
      <c r="M1393" s="14"/>
      <c r="N1393" s="17" t="str">
        <f aca="false">IF($B1393="","",IF($L1393="已完成",IF($M1393="","",$M1393-$B1393),IF(设置!$B$6&lt;$B1393,"",IF((设置!$B$6-$B1393)&gt;=设置!$B$5,"超期"&amp;(设置!$B$6-$B1393)&amp;"天","已等"&amp;(设置!$B$6-$B1393)&amp;"天"))))</f>
        <v/>
      </c>
      <c r="O1393" s="18" t="str">
        <f aca="false">IF(OR($D1393="",$E1393=""),"",COUNTIFS($D$7:$D1393,$D1393,$E$7:$E1393,$E1393))</f>
        <v/>
      </c>
      <c r="P1393" s="16"/>
      <c r="Q1393" s="19"/>
      <c r="R1393" s="10"/>
      <c r="S1393" s="16"/>
      <c r="T1393" s="0" t="str">
        <f aca="false">IF(OR($D1393="",单元查询!$B$3=""),"",IF($D1393&lt;&gt;单元查询!$B$3,"",IF(OR(单元查询!$D$3="",$E1393&amp;""=单元查询!$D$3&amp;""),IF(ISNUMBER($B1393),$B1393*10000,0)+ROW(),"")))</f>
        <v/>
      </c>
      <c r="U1393" s="0" t="str">
        <f aca="false">IF(OR($B1393="",$L1393="已完成"),"",IF(ISNUMBER($B1393),IF(设置!$B$6&lt;$B1393,"",(设置!$B$6-$B1393)*100000+ROW()),""))</f>
        <v/>
      </c>
      <c r="V1393" s="0" t="str">
        <f aca="false">IF(ISNUMBER($O1393),IF($O1393&gt;=2,IF(COUNTIFS($D1393:$D$2006,$D1393,$E1393:$E$2006,$E1393)=1,ROW(),""),""),"")</f>
        <v/>
      </c>
    </row>
    <row r="1394" customFormat="false" ht="15" hidden="false" customHeight="true" outlineLevel="0" collapsed="false">
      <c r="A1394" s="13" t="str">
        <f aca="false">IF(AND($B1394="",$D1394="",$E1394="",$F1394=""),"",IF(OR($B1394="",$D1394="",$E1394=""),"待补",IF($D1394="公共区域","公",IF($D1394="商铺","S",SUBSTITUTE($D1394,"栋","")))&amp;"-"&amp;$E1394&amp;"-"&amp;TEXT(MONTH($B1394),"00")&amp;TEXT(DAY($B1394),"00")&amp;IF(ISNUMBER($O1394),IF($O1394&gt;1,"-"&amp;TEXT($O1394,"00"),""),"")))</f>
        <v/>
      </c>
      <c r="B1394" s="14"/>
      <c r="C1394" s="10"/>
      <c r="D1394" s="10"/>
      <c r="E1394" s="10"/>
      <c r="F1394" s="16"/>
      <c r="G1394" s="10"/>
      <c r="H1394" s="10"/>
      <c r="I1394" s="10"/>
      <c r="J1394" s="10"/>
      <c r="K1394" s="10"/>
      <c r="L1394" s="10"/>
      <c r="M1394" s="14"/>
      <c r="N1394" s="17" t="str">
        <f aca="false">IF($B1394="","",IF($L1394="已完成",IF($M1394="","",$M1394-$B1394),IF(设置!$B$6&lt;$B1394,"",IF((设置!$B$6-$B1394)&gt;=设置!$B$5,"超期"&amp;(设置!$B$6-$B1394)&amp;"天","已等"&amp;(设置!$B$6-$B1394)&amp;"天"))))</f>
        <v/>
      </c>
      <c r="O1394" s="18" t="str">
        <f aca="false">IF(OR($D1394="",$E1394=""),"",COUNTIFS($D$7:$D1394,$D1394,$E$7:$E1394,$E1394))</f>
        <v/>
      </c>
      <c r="P1394" s="16"/>
      <c r="Q1394" s="19"/>
      <c r="R1394" s="10"/>
      <c r="S1394" s="16"/>
      <c r="T1394" s="0" t="str">
        <f aca="false">IF(OR($D1394="",单元查询!$B$3=""),"",IF($D1394&lt;&gt;单元查询!$B$3,"",IF(OR(单元查询!$D$3="",$E1394&amp;""=单元查询!$D$3&amp;""),IF(ISNUMBER($B1394),$B1394*10000,0)+ROW(),"")))</f>
        <v/>
      </c>
      <c r="U1394" s="0" t="str">
        <f aca="false">IF(OR($B1394="",$L1394="已完成"),"",IF(ISNUMBER($B1394),IF(设置!$B$6&lt;$B1394,"",(设置!$B$6-$B1394)*100000+ROW()),""))</f>
        <v/>
      </c>
      <c r="V1394" s="0" t="str">
        <f aca="false">IF(ISNUMBER($O1394),IF($O1394&gt;=2,IF(COUNTIFS($D1394:$D$2006,$D1394,$E1394:$E$2006,$E1394)=1,ROW(),""),""),"")</f>
        <v/>
      </c>
    </row>
    <row r="1395" customFormat="false" ht="15" hidden="false" customHeight="true" outlineLevel="0" collapsed="false">
      <c r="A1395" s="13" t="str">
        <f aca="false">IF(AND($B1395="",$D1395="",$E1395="",$F1395=""),"",IF(OR($B1395="",$D1395="",$E1395=""),"待补",IF($D1395="公共区域","公",IF($D1395="商铺","S",SUBSTITUTE($D1395,"栋","")))&amp;"-"&amp;$E1395&amp;"-"&amp;TEXT(MONTH($B1395),"00")&amp;TEXT(DAY($B1395),"00")&amp;IF(ISNUMBER($O1395),IF($O1395&gt;1,"-"&amp;TEXT($O1395,"00"),""),"")))</f>
        <v/>
      </c>
      <c r="B1395" s="14"/>
      <c r="C1395" s="10"/>
      <c r="D1395" s="10"/>
      <c r="E1395" s="10"/>
      <c r="F1395" s="16"/>
      <c r="G1395" s="10"/>
      <c r="H1395" s="10"/>
      <c r="I1395" s="10"/>
      <c r="J1395" s="10"/>
      <c r="K1395" s="10"/>
      <c r="L1395" s="10"/>
      <c r="M1395" s="14"/>
      <c r="N1395" s="17" t="str">
        <f aca="false">IF($B1395="","",IF($L1395="已完成",IF($M1395="","",$M1395-$B1395),IF(设置!$B$6&lt;$B1395,"",IF((设置!$B$6-$B1395)&gt;=设置!$B$5,"超期"&amp;(设置!$B$6-$B1395)&amp;"天","已等"&amp;(设置!$B$6-$B1395)&amp;"天"))))</f>
        <v/>
      </c>
      <c r="O1395" s="18" t="str">
        <f aca="false">IF(OR($D1395="",$E1395=""),"",COUNTIFS($D$7:$D1395,$D1395,$E$7:$E1395,$E1395))</f>
        <v/>
      </c>
      <c r="P1395" s="16"/>
      <c r="Q1395" s="19"/>
      <c r="R1395" s="10"/>
      <c r="S1395" s="16"/>
      <c r="T1395" s="0" t="str">
        <f aca="false">IF(OR($D1395="",单元查询!$B$3=""),"",IF($D1395&lt;&gt;单元查询!$B$3,"",IF(OR(单元查询!$D$3="",$E1395&amp;""=单元查询!$D$3&amp;""),IF(ISNUMBER($B1395),$B1395*10000,0)+ROW(),"")))</f>
        <v/>
      </c>
      <c r="U1395" s="0" t="str">
        <f aca="false">IF(OR($B1395="",$L1395="已完成"),"",IF(ISNUMBER($B1395),IF(设置!$B$6&lt;$B1395,"",(设置!$B$6-$B1395)*100000+ROW()),""))</f>
        <v/>
      </c>
      <c r="V1395" s="0" t="str">
        <f aca="false">IF(ISNUMBER($O1395),IF($O1395&gt;=2,IF(COUNTIFS($D1395:$D$2006,$D1395,$E1395:$E$2006,$E1395)=1,ROW(),""),""),"")</f>
        <v/>
      </c>
    </row>
    <row r="1396" customFormat="false" ht="15" hidden="false" customHeight="true" outlineLevel="0" collapsed="false">
      <c r="A1396" s="13" t="str">
        <f aca="false">IF(AND($B1396="",$D1396="",$E1396="",$F1396=""),"",IF(OR($B1396="",$D1396="",$E1396=""),"待补",IF($D1396="公共区域","公",IF($D1396="商铺","S",SUBSTITUTE($D1396,"栋","")))&amp;"-"&amp;$E1396&amp;"-"&amp;TEXT(MONTH($B1396),"00")&amp;TEXT(DAY($B1396),"00")&amp;IF(ISNUMBER($O1396),IF($O1396&gt;1,"-"&amp;TEXT($O1396,"00"),""),"")))</f>
        <v/>
      </c>
      <c r="B1396" s="14"/>
      <c r="C1396" s="10"/>
      <c r="D1396" s="10"/>
      <c r="E1396" s="10"/>
      <c r="F1396" s="16"/>
      <c r="G1396" s="10"/>
      <c r="H1396" s="10"/>
      <c r="I1396" s="10"/>
      <c r="J1396" s="10"/>
      <c r="K1396" s="10"/>
      <c r="L1396" s="10"/>
      <c r="M1396" s="14"/>
      <c r="N1396" s="17" t="str">
        <f aca="false">IF($B1396="","",IF($L1396="已完成",IF($M1396="","",$M1396-$B1396),IF(设置!$B$6&lt;$B1396,"",IF((设置!$B$6-$B1396)&gt;=设置!$B$5,"超期"&amp;(设置!$B$6-$B1396)&amp;"天","已等"&amp;(设置!$B$6-$B1396)&amp;"天"))))</f>
        <v/>
      </c>
      <c r="O1396" s="18" t="str">
        <f aca="false">IF(OR($D1396="",$E1396=""),"",COUNTIFS($D$7:$D1396,$D1396,$E$7:$E1396,$E1396))</f>
        <v/>
      </c>
      <c r="P1396" s="16"/>
      <c r="Q1396" s="19"/>
      <c r="R1396" s="10"/>
      <c r="S1396" s="16"/>
      <c r="T1396" s="0" t="str">
        <f aca="false">IF(OR($D1396="",单元查询!$B$3=""),"",IF($D1396&lt;&gt;单元查询!$B$3,"",IF(OR(单元查询!$D$3="",$E1396&amp;""=单元查询!$D$3&amp;""),IF(ISNUMBER($B1396),$B1396*10000,0)+ROW(),"")))</f>
        <v/>
      </c>
      <c r="U1396" s="0" t="str">
        <f aca="false">IF(OR($B1396="",$L1396="已完成"),"",IF(ISNUMBER($B1396),IF(设置!$B$6&lt;$B1396,"",(设置!$B$6-$B1396)*100000+ROW()),""))</f>
        <v/>
      </c>
      <c r="V1396" s="0" t="str">
        <f aca="false">IF(ISNUMBER($O1396),IF($O1396&gt;=2,IF(COUNTIFS($D1396:$D$2006,$D1396,$E1396:$E$2006,$E1396)=1,ROW(),""),""),"")</f>
        <v/>
      </c>
    </row>
    <row r="1397" customFormat="false" ht="15" hidden="false" customHeight="true" outlineLevel="0" collapsed="false">
      <c r="A1397" s="13" t="str">
        <f aca="false">IF(AND($B1397="",$D1397="",$E1397="",$F1397=""),"",IF(OR($B1397="",$D1397="",$E1397=""),"待补",IF($D1397="公共区域","公",IF($D1397="商铺","S",SUBSTITUTE($D1397,"栋","")))&amp;"-"&amp;$E1397&amp;"-"&amp;TEXT(MONTH($B1397),"00")&amp;TEXT(DAY($B1397),"00")&amp;IF(ISNUMBER($O1397),IF($O1397&gt;1,"-"&amp;TEXT($O1397,"00"),""),"")))</f>
        <v/>
      </c>
      <c r="B1397" s="14"/>
      <c r="C1397" s="10"/>
      <c r="D1397" s="10"/>
      <c r="E1397" s="10"/>
      <c r="F1397" s="16"/>
      <c r="G1397" s="10"/>
      <c r="H1397" s="10"/>
      <c r="I1397" s="10"/>
      <c r="J1397" s="10"/>
      <c r="K1397" s="10"/>
      <c r="L1397" s="10"/>
      <c r="M1397" s="14"/>
      <c r="N1397" s="17" t="str">
        <f aca="false">IF($B1397="","",IF($L1397="已完成",IF($M1397="","",$M1397-$B1397),IF(设置!$B$6&lt;$B1397,"",IF((设置!$B$6-$B1397)&gt;=设置!$B$5,"超期"&amp;(设置!$B$6-$B1397)&amp;"天","已等"&amp;(设置!$B$6-$B1397)&amp;"天"))))</f>
        <v/>
      </c>
      <c r="O1397" s="18" t="str">
        <f aca="false">IF(OR($D1397="",$E1397=""),"",COUNTIFS($D$7:$D1397,$D1397,$E$7:$E1397,$E1397))</f>
        <v/>
      </c>
      <c r="P1397" s="16"/>
      <c r="Q1397" s="19"/>
      <c r="R1397" s="10"/>
      <c r="S1397" s="16"/>
      <c r="T1397" s="0" t="str">
        <f aca="false">IF(OR($D1397="",单元查询!$B$3=""),"",IF($D1397&lt;&gt;单元查询!$B$3,"",IF(OR(单元查询!$D$3="",$E1397&amp;""=单元查询!$D$3&amp;""),IF(ISNUMBER($B1397),$B1397*10000,0)+ROW(),"")))</f>
        <v/>
      </c>
      <c r="U1397" s="0" t="str">
        <f aca="false">IF(OR($B1397="",$L1397="已完成"),"",IF(ISNUMBER($B1397),IF(设置!$B$6&lt;$B1397,"",(设置!$B$6-$B1397)*100000+ROW()),""))</f>
        <v/>
      </c>
      <c r="V1397" s="0" t="str">
        <f aca="false">IF(ISNUMBER($O1397),IF($O1397&gt;=2,IF(COUNTIFS($D1397:$D$2006,$D1397,$E1397:$E$2006,$E1397)=1,ROW(),""),""),"")</f>
        <v/>
      </c>
    </row>
    <row r="1398" customFormat="false" ht="15" hidden="false" customHeight="true" outlineLevel="0" collapsed="false">
      <c r="A1398" s="13" t="str">
        <f aca="false">IF(AND($B1398="",$D1398="",$E1398="",$F1398=""),"",IF(OR($B1398="",$D1398="",$E1398=""),"待补",IF($D1398="公共区域","公",IF($D1398="商铺","S",SUBSTITUTE($D1398,"栋","")))&amp;"-"&amp;$E1398&amp;"-"&amp;TEXT(MONTH($B1398),"00")&amp;TEXT(DAY($B1398),"00")&amp;IF(ISNUMBER($O1398),IF($O1398&gt;1,"-"&amp;TEXT($O1398,"00"),""),"")))</f>
        <v/>
      </c>
      <c r="B1398" s="14"/>
      <c r="C1398" s="10"/>
      <c r="D1398" s="10"/>
      <c r="E1398" s="10"/>
      <c r="F1398" s="16"/>
      <c r="G1398" s="10"/>
      <c r="H1398" s="10"/>
      <c r="I1398" s="10"/>
      <c r="J1398" s="10"/>
      <c r="K1398" s="10"/>
      <c r="L1398" s="10"/>
      <c r="M1398" s="14"/>
      <c r="N1398" s="17" t="str">
        <f aca="false">IF($B1398="","",IF($L1398="已完成",IF($M1398="","",$M1398-$B1398),IF(设置!$B$6&lt;$B1398,"",IF((设置!$B$6-$B1398)&gt;=设置!$B$5,"超期"&amp;(设置!$B$6-$B1398)&amp;"天","已等"&amp;(设置!$B$6-$B1398)&amp;"天"))))</f>
        <v/>
      </c>
      <c r="O1398" s="18" t="str">
        <f aca="false">IF(OR($D1398="",$E1398=""),"",COUNTIFS($D$7:$D1398,$D1398,$E$7:$E1398,$E1398))</f>
        <v/>
      </c>
      <c r="P1398" s="16"/>
      <c r="Q1398" s="19"/>
      <c r="R1398" s="10"/>
      <c r="S1398" s="16"/>
      <c r="T1398" s="0" t="str">
        <f aca="false">IF(OR($D1398="",单元查询!$B$3=""),"",IF($D1398&lt;&gt;单元查询!$B$3,"",IF(OR(单元查询!$D$3="",$E1398&amp;""=单元查询!$D$3&amp;""),IF(ISNUMBER($B1398),$B1398*10000,0)+ROW(),"")))</f>
        <v/>
      </c>
      <c r="U1398" s="0" t="str">
        <f aca="false">IF(OR($B1398="",$L1398="已完成"),"",IF(ISNUMBER($B1398),IF(设置!$B$6&lt;$B1398,"",(设置!$B$6-$B1398)*100000+ROW()),""))</f>
        <v/>
      </c>
      <c r="V1398" s="0" t="str">
        <f aca="false">IF(ISNUMBER($O1398),IF($O1398&gt;=2,IF(COUNTIFS($D1398:$D$2006,$D1398,$E1398:$E$2006,$E1398)=1,ROW(),""),""),"")</f>
        <v/>
      </c>
    </row>
    <row r="1399" customFormat="false" ht="15" hidden="false" customHeight="true" outlineLevel="0" collapsed="false">
      <c r="A1399" s="13" t="str">
        <f aca="false">IF(AND($B1399="",$D1399="",$E1399="",$F1399=""),"",IF(OR($B1399="",$D1399="",$E1399=""),"待补",IF($D1399="公共区域","公",IF($D1399="商铺","S",SUBSTITUTE($D1399,"栋","")))&amp;"-"&amp;$E1399&amp;"-"&amp;TEXT(MONTH($B1399),"00")&amp;TEXT(DAY($B1399),"00")&amp;IF(ISNUMBER($O1399),IF($O1399&gt;1,"-"&amp;TEXT($O1399,"00"),""),"")))</f>
        <v/>
      </c>
      <c r="B1399" s="14"/>
      <c r="C1399" s="10"/>
      <c r="D1399" s="10"/>
      <c r="E1399" s="10"/>
      <c r="F1399" s="16"/>
      <c r="G1399" s="10"/>
      <c r="H1399" s="10"/>
      <c r="I1399" s="10"/>
      <c r="J1399" s="10"/>
      <c r="K1399" s="10"/>
      <c r="L1399" s="10"/>
      <c r="M1399" s="14"/>
      <c r="N1399" s="17" t="str">
        <f aca="false">IF($B1399="","",IF($L1399="已完成",IF($M1399="","",$M1399-$B1399),IF(设置!$B$6&lt;$B1399,"",IF((设置!$B$6-$B1399)&gt;=设置!$B$5,"超期"&amp;(设置!$B$6-$B1399)&amp;"天","已等"&amp;(设置!$B$6-$B1399)&amp;"天"))))</f>
        <v/>
      </c>
      <c r="O1399" s="18" t="str">
        <f aca="false">IF(OR($D1399="",$E1399=""),"",COUNTIFS($D$7:$D1399,$D1399,$E$7:$E1399,$E1399))</f>
        <v/>
      </c>
      <c r="P1399" s="16"/>
      <c r="Q1399" s="19"/>
      <c r="R1399" s="10"/>
      <c r="S1399" s="16"/>
      <c r="T1399" s="0" t="str">
        <f aca="false">IF(OR($D1399="",单元查询!$B$3=""),"",IF($D1399&lt;&gt;单元查询!$B$3,"",IF(OR(单元查询!$D$3="",$E1399&amp;""=单元查询!$D$3&amp;""),IF(ISNUMBER($B1399),$B1399*10000,0)+ROW(),"")))</f>
        <v/>
      </c>
      <c r="U1399" s="0" t="str">
        <f aca="false">IF(OR($B1399="",$L1399="已完成"),"",IF(ISNUMBER($B1399),IF(设置!$B$6&lt;$B1399,"",(设置!$B$6-$B1399)*100000+ROW()),""))</f>
        <v/>
      </c>
      <c r="V1399" s="0" t="str">
        <f aca="false">IF(ISNUMBER($O1399),IF($O1399&gt;=2,IF(COUNTIFS($D1399:$D$2006,$D1399,$E1399:$E$2006,$E1399)=1,ROW(),""),""),"")</f>
        <v/>
      </c>
    </row>
    <row r="1400" customFormat="false" ht="15" hidden="false" customHeight="true" outlineLevel="0" collapsed="false">
      <c r="A1400" s="13" t="str">
        <f aca="false">IF(AND($B1400="",$D1400="",$E1400="",$F1400=""),"",IF(OR($B1400="",$D1400="",$E1400=""),"待补",IF($D1400="公共区域","公",IF($D1400="商铺","S",SUBSTITUTE($D1400,"栋","")))&amp;"-"&amp;$E1400&amp;"-"&amp;TEXT(MONTH($B1400),"00")&amp;TEXT(DAY($B1400),"00")&amp;IF(ISNUMBER($O1400),IF($O1400&gt;1,"-"&amp;TEXT($O1400,"00"),""),"")))</f>
        <v/>
      </c>
      <c r="B1400" s="14"/>
      <c r="C1400" s="10"/>
      <c r="D1400" s="10"/>
      <c r="E1400" s="10"/>
      <c r="F1400" s="16"/>
      <c r="G1400" s="10"/>
      <c r="H1400" s="10"/>
      <c r="I1400" s="10"/>
      <c r="J1400" s="10"/>
      <c r="K1400" s="10"/>
      <c r="L1400" s="10"/>
      <c r="M1400" s="14"/>
      <c r="N1400" s="17" t="str">
        <f aca="false">IF($B1400="","",IF($L1400="已完成",IF($M1400="","",$M1400-$B1400),IF(设置!$B$6&lt;$B1400,"",IF((设置!$B$6-$B1400)&gt;=设置!$B$5,"超期"&amp;(设置!$B$6-$B1400)&amp;"天","已等"&amp;(设置!$B$6-$B1400)&amp;"天"))))</f>
        <v/>
      </c>
      <c r="O1400" s="18" t="str">
        <f aca="false">IF(OR($D1400="",$E1400=""),"",COUNTIFS($D$7:$D1400,$D1400,$E$7:$E1400,$E1400))</f>
        <v/>
      </c>
      <c r="P1400" s="16"/>
      <c r="Q1400" s="19"/>
      <c r="R1400" s="10"/>
      <c r="S1400" s="16"/>
      <c r="T1400" s="0" t="str">
        <f aca="false">IF(OR($D1400="",单元查询!$B$3=""),"",IF($D1400&lt;&gt;单元查询!$B$3,"",IF(OR(单元查询!$D$3="",$E1400&amp;""=单元查询!$D$3&amp;""),IF(ISNUMBER($B1400),$B1400*10000,0)+ROW(),"")))</f>
        <v/>
      </c>
      <c r="U1400" s="0" t="str">
        <f aca="false">IF(OR($B1400="",$L1400="已完成"),"",IF(ISNUMBER($B1400),IF(设置!$B$6&lt;$B1400,"",(设置!$B$6-$B1400)*100000+ROW()),""))</f>
        <v/>
      </c>
      <c r="V1400" s="0" t="str">
        <f aca="false">IF(ISNUMBER($O1400),IF($O1400&gt;=2,IF(COUNTIFS($D1400:$D$2006,$D1400,$E1400:$E$2006,$E1400)=1,ROW(),""),""),"")</f>
        <v/>
      </c>
    </row>
    <row r="1401" customFormat="false" ht="15" hidden="false" customHeight="true" outlineLevel="0" collapsed="false">
      <c r="A1401" s="13" t="str">
        <f aca="false">IF(AND($B1401="",$D1401="",$E1401="",$F1401=""),"",IF(OR($B1401="",$D1401="",$E1401=""),"待补",IF($D1401="公共区域","公",IF($D1401="商铺","S",SUBSTITUTE($D1401,"栋","")))&amp;"-"&amp;$E1401&amp;"-"&amp;TEXT(MONTH($B1401),"00")&amp;TEXT(DAY($B1401),"00")&amp;IF(ISNUMBER($O1401),IF($O1401&gt;1,"-"&amp;TEXT($O1401,"00"),""),"")))</f>
        <v/>
      </c>
      <c r="B1401" s="14"/>
      <c r="C1401" s="10"/>
      <c r="D1401" s="10"/>
      <c r="E1401" s="10"/>
      <c r="F1401" s="16"/>
      <c r="G1401" s="10"/>
      <c r="H1401" s="10"/>
      <c r="I1401" s="10"/>
      <c r="J1401" s="10"/>
      <c r="K1401" s="10"/>
      <c r="L1401" s="10"/>
      <c r="M1401" s="14"/>
      <c r="N1401" s="17" t="str">
        <f aca="false">IF($B1401="","",IF($L1401="已完成",IF($M1401="","",$M1401-$B1401),IF(设置!$B$6&lt;$B1401,"",IF((设置!$B$6-$B1401)&gt;=设置!$B$5,"超期"&amp;(设置!$B$6-$B1401)&amp;"天","已等"&amp;(设置!$B$6-$B1401)&amp;"天"))))</f>
        <v/>
      </c>
      <c r="O1401" s="18" t="str">
        <f aca="false">IF(OR($D1401="",$E1401=""),"",COUNTIFS($D$7:$D1401,$D1401,$E$7:$E1401,$E1401))</f>
        <v/>
      </c>
      <c r="P1401" s="16"/>
      <c r="Q1401" s="19"/>
      <c r="R1401" s="10"/>
      <c r="S1401" s="16"/>
      <c r="T1401" s="0" t="str">
        <f aca="false">IF(OR($D1401="",单元查询!$B$3=""),"",IF($D1401&lt;&gt;单元查询!$B$3,"",IF(OR(单元查询!$D$3="",$E1401&amp;""=单元查询!$D$3&amp;""),IF(ISNUMBER($B1401),$B1401*10000,0)+ROW(),"")))</f>
        <v/>
      </c>
      <c r="U1401" s="0" t="str">
        <f aca="false">IF(OR($B1401="",$L1401="已完成"),"",IF(ISNUMBER($B1401),IF(设置!$B$6&lt;$B1401,"",(设置!$B$6-$B1401)*100000+ROW()),""))</f>
        <v/>
      </c>
      <c r="V1401" s="0" t="str">
        <f aca="false">IF(ISNUMBER($O1401),IF($O1401&gt;=2,IF(COUNTIFS($D1401:$D$2006,$D1401,$E1401:$E$2006,$E1401)=1,ROW(),""),""),"")</f>
        <v/>
      </c>
    </row>
    <row r="1402" customFormat="false" ht="15" hidden="false" customHeight="true" outlineLevel="0" collapsed="false">
      <c r="A1402" s="13" t="str">
        <f aca="false">IF(AND($B1402="",$D1402="",$E1402="",$F1402=""),"",IF(OR($B1402="",$D1402="",$E1402=""),"待补",IF($D1402="公共区域","公",IF($D1402="商铺","S",SUBSTITUTE($D1402,"栋","")))&amp;"-"&amp;$E1402&amp;"-"&amp;TEXT(MONTH($B1402),"00")&amp;TEXT(DAY($B1402),"00")&amp;IF(ISNUMBER($O1402),IF($O1402&gt;1,"-"&amp;TEXT($O1402,"00"),""),"")))</f>
        <v/>
      </c>
      <c r="B1402" s="14"/>
      <c r="C1402" s="10"/>
      <c r="D1402" s="10"/>
      <c r="E1402" s="10"/>
      <c r="F1402" s="16"/>
      <c r="G1402" s="10"/>
      <c r="H1402" s="10"/>
      <c r="I1402" s="10"/>
      <c r="J1402" s="10"/>
      <c r="K1402" s="10"/>
      <c r="L1402" s="10"/>
      <c r="M1402" s="14"/>
      <c r="N1402" s="17" t="str">
        <f aca="false">IF($B1402="","",IF($L1402="已完成",IF($M1402="","",$M1402-$B1402),IF(设置!$B$6&lt;$B1402,"",IF((设置!$B$6-$B1402)&gt;=设置!$B$5,"超期"&amp;(设置!$B$6-$B1402)&amp;"天","已等"&amp;(设置!$B$6-$B1402)&amp;"天"))))</f>
        <v/>
      </c>
      <c r="O1402" s="18" t="str">
        <f aca="false">IF(OR($D1402="",$E1402=""),"",COUNTIFS($D$7:$D1402,$D1402,$E$7:$E1402,$E1402))</f>
        <v/>
      </c>
      <c r="P1402" s="16"/>
      <c r="Q1402" s="19"/>
      <c r="R1402" s="10"/>
      <c r="S1402" s="16"/>
      <c r="T1402" s="0" t="str">
        <f aca="false">IF(OR($D1402="",单元查询!$B$3=""),"",IF($D1402&lt;&gt;单元查询!$B$3,"",IF(OR(单元查询!$D$3="",$E1402&amp;""=单元查询!$D$3&amp;""),IF(ISNUMBER($B1402),$B1402*10000,0)+ROW(),"")))</f>
        <v/>
      </c>
      <c r="U1402" s="0" t="str">
        <f aca="false">IF(OR($B1402="",$L1402="已完成"),"",IF(ISNUMBER($B1402),IF(设置!$B$6&lt;$B1402,"",(设置!$B$6-$B1402)*100000+ROW()),""))</f>
        <v/>
      </c>
      <c r="V1402" s="0" t="str">
        <f aca="false">IF(ISNUMBER($O1402),IF($O1402&gt;=2,IF(COUNTIFS($D1402:$D$2006,$D1402,$E1402:$E$2006,$E1402)=1,ROW(),""),""),"")</f>
        <v/>
      </c>
    </row>
    <row r="1403" customFormat="false" ht="15" hidden="false" customHeight="true" outlineLevel="0" collapsed="false">
      <c r="A1403" s="13" t="str">
        <f aca="false">IF(AND($B1403="",$D1403="",$E1403="",$F1403=""),"",IF(OR($B1403="",$D1403="",$E1403=""),"待补",IF($D1403="公共区域","公",IF($D1403="商铺","S",SUBSTITUTE($D1403,"栋","")))&amp;"-"&amp;$E1403&amp;"-"&amp;TEXT(MONTH($B1403),"00")&amp;TEXT(DAY($B1403),"00")&amp;IF(ISNUMBER($O1403),IF($O1403&gt;1,"-"&amp;TEXT($O1403,"00"),""),"")))</f>
        <v/>
      </c>
      <c r="B1403" s="14"/>
      <c r="C1403" s="10"/>
      <c r="D1403" s="10"/>
      <c r="E1403" s="10"/>
      <c r="F1403" s="16"/>
      <c r="G1403" s="10"/>
      <c r="H1403" s="10"/>
      <c r="I1403" s="10"/>
      <c r="J1403" s="10"/>
      <c r="K1403" s="10"/>
      <c r="L1403" s="10"/>
      <c r="M1403" s="14"/>
      <c r="N1403" s="17" t="str">
        <f aca="false">IF($B1403="","",IF($L1403="已完成",IF($M1403="","",$M1403-$B1403),IF(设置!$B$6&lt;$B1403,"",IF((设置!$B$6-$B1403)&gt;=设置!$B$5,"超期"&amp;(设置!$B$6-$B1403)&amp;"天","已等"&amp;(设置!$B$6-$B1403)&amp;"天"))))</f>
        <v/>
      </c>
      <c r="O1403" s="18" t="str">
        <f aca="false">IF(OR($D1403="",$E1403=""),"",COUNTIFS($D$7:$D1403,$D1403,$E$7:$E1403,$E1403))</f>
        <v/>
      </c>
      <c r="P1403" s="16"/>
      <c r="Q1403" s="19"/>
      <c r="R1403" s="10"/>
      <c r="S1403" s="16"/>
      <c r="T1403" s="0" t="str">
        <f aca="false">IF(OR($D1403="",单元查询!$B$3=""),"",IF($D1403&lt;&gt;单元查询!$B$3,"",IF(OR(单元查询!$D$3="",$E1403&amp;""=单元查询!$D$3&amp;""),IF(ISNUMBER($B1403),$B1403*10000,0)+ROW(),"")))</f>
        <v/>
      </c>
      <c r="U1403" s="0" t="str">
        <f aca="false">IF(OR($B1403="",$L1403="已完成"),"",IF(ISNUMBER($B1403),IF(设置!$B$6&lt;$B1403,"",(设置!$B$6-$B1403)*100000+ROW()),""))</f>
        <v/>
      </c>
      <c r="V1403" s="0" t="str">
        <f aca="false">IF(ISNUMBER($O1403),IF($O1403&gt;=2,IF(COUNTIFS($D1403:$D$2006,$D1403,$E1403:$E$2006,$E1403)=1,ROW(),""),""),"")</f>
        <v/>
      </c>
    </row>
    <row r="1404" customFormat="false" ht="15" hidden="false" customHeight="true" outlineLevel="0" collapsed="false">
      <c r="A1404" s="13" t="str">
        <f aca="false">IF(AND($B1404="",$D1404="",$E1404="",$F1404=""),"",IF(OR($B1404="",$D1404="",$E1404=""),"待补",IF($D1404="公共区域","公",IF($D1404="商铺","S",SUBSTITUTE($D1404,"栋","")))&amp;"-"&amp;$E1404&amp;"-"&amp;TEXT(MONTH($B1404),"00")&amp;TEXT(DAY($B1404),"00")&amp;IF(ISNUMBER($O1404),IF($O1404&gt;1,"-"&amp;TEXT($O1404,"00"),""),"")))</f>
        <v/>
      </c>
      <c r="B1404" s="14"/>
      <c r="C1404" s="10"/>
      <c r="D1404" s="10"/>
      <c r="E1404" s="10"/>
      <c r="F1404" s="16"/>
      <c r="G1404" s="10"/>
      <c r="H1404" s="10"/>
      <c r="I1404" s="10"/>
      <c r="J1404" s="10"/>
      <c r="K1404" s="10"/>
      <c r="L1404" s="10"/>
      <c r="M1404" s="14"/>
      <c r="N1404" s="17" t="str">
        <f aca="false">IF($B1404="","",IF($L1404="已完成",IF($M1404="","",$M1404-$B1404),IF(设置!$B$6&lt;$B1404,"",IF((设置!$B$6-$B1404)&gt;=设置!$B$5,"超期"&amp;(设置!$B$6-$B1404)&amp;"天","已等"&amp;(设置!$B$6-$B1404)&amp;"天"))))</f>
        <v/>
      </c>
      <c r="O1404" s="18" t="str">
        <f aca="false">IF(OR($D1404="",$E1404=""),"",COUNTIFS($D$7:$D1404,$D1404,$E$7:$E1404,$E1404))</f>
        <v/>
      </c>
      <c r="P1404" s="16"/>
      <c r="Q1404" s="19"/>
      <c r="R1404" s="10"/>
      <c r="S1404" s="16"/>
      <c r="T1404" s="0" t="str">
        <f aca="false">IF(OR($D1404="",单元查询!$B$3=""),"",IF($D1404&lt;&gt;单元查询!$B$3,"",IF(OR(单元查询!$D$3="",$E1404&amp;""=单元查询!$D$3&amp;""),IF(ISNUMBER($B1404),$B1404*10000,0)+ROW(),"")))</f>
        <v/>
      </c>
      <c r="U1404" s="0" t="str">
        <f aca="false">IF(OR($B1404="",$L1404="已完成"),"",IF(ISNUMBER($B1404),IF(设置!$B$6&lt;$B1404,"",(设置!$B$6-$B1404)*100000+ROW()),""))</f>
        <v/>
      </c>
      <c r="V1404" s="0" t="str">
        <f aca="false">IF(ISNUMBER($O1404),IF($O1404&gt;=2,IF(COUNTIFS($D1404:$D$2006,$D1404,$E1404:$E$2006,$E1404)=1,ROW(),""),""),"")</f>
        <v/>
      </c>
    </row>
    <row r="1405" customFormat="false" ht="15" hidden="false" customHeight="true" outlineLevel="0" collapsed="false">
      <c r="A1405" s="13" t="str">
        <f aca="false">IF(AND($B1405="",$D1405="",$E1405="",$F1405=""),"",IF(OR($B1405="",$D1405="",$E1405=""),"待补",IF($D1405="公共区域","公",IF($D1405="商铺","S",SUBSTITUTE($D1405,"栋","")))&amp;"-"&amp;$E1405&amp;"-"&amp;TEXT(MONTH($B1405),"00")&amp;TEXT(DAY($B1405),"00")&amp;IF(ISNUMBER($O1405),IF($O1405&gt;1,"-"&amp;TEXT($O1405,"00"),""),"")))</f>
        <v/>
      </c>
      <c r="B1405" s="14"/>
      <c r="C1405" s="10"/>
      <c r="D1405" s="10"/>
      <c r="E1405" s="10"/>
      <c r="F1405" s="16"/>
      <c r="G1405" s="10"/>
      <c r="H1405" s="10"/>
      <c r="I1405" s="10"/>
      <c r="J1405" s="10"/>
      <c r="K1405" s="10"/>
      <c r="L1405" s="10"/>
      <c r="M1405" s="14"/>
      <c r="N1405" s="17" t="str">
        <f aca="false">IF($B1405="","",IF($L1405="已完成",IF($M1405="","",$M1405-$B1405),IF(设置!$B$6&lt;$B1405,"",IF((设置!$B$6-$B1405)&gt;=设置!$B$5,"超期"&amp;(设置!$B$6-$B1405)&amp;"天","已等"&amp;(设置!$B$6-$B1405)&amp;"天"))))</f>
        <v/>
      </c>
      <c r="O1405" s="18" t="str">
        <f aca="false">IF(OR($D1405="",$E1405=""),"",COUNTIFS($D$7:$D1405,$D1405,$E$7:$E1405,$E1405))</f>
        <v/>
      </c>
      <c r="P1405" s="16"/>
      <c r="Q1405" s="19"/>
      <c r="R1405" s="10"/>
      <c r="S1405" s="16"/>
      <c r="T1405" s="0" t="str">
        <f aca="false">IF(OR($D1405="",单元查询!$B$3=""),"",IF($D1405&lt;&gt;单元查询!$B$3,"",IF(OR(单元查询!$D$3="",$E1405&amp;""=单元查询!$D$3&amp;""),IF(ISNUMBER($B1405),$B1405*10000,0)+ROW(),"")))</f>
        <v/>
      </c>
      <c r="U1405" s="0" t="str">
        <f aca="false">IF(OR($B1405="",$L1405="已完成"),"",IF(ISNUMBER($B1405),IF(设置!$B$6&lt;$B1405,"",(设置!$B$6-$B1405)*100000+ROW()),""))</f>
        <v/>
      </c>
      <c r="V1405" s="0" t="str">
        <f aca="false">IF(ISNUMBER($O1405),IF($O1405&gt;=2,IF(COUNTIFS($D1405:$D$2006,$D1405,$E1405:$E$2006,$E1405)=1,ROW(),""),""),"")</f>
        <v/>
      </c>
    </row>
    <row r="1406" customFormat="false" ht="15" hidden="false" customHeight="true" outlineLevel="0" collapsed="false">
      <c r="A1406" s="13" t="str">
        <f aca="false">IF(AND($B1406="",$D1406="",$E1406="",$F1406=""),"",IF(OR($B1406="",$D1406="",$E1406=""),"待补",IF($D1406="公共区域","公",IF($D1406="商铺","S",SUBSTITUTE($D1406,"栋","")))&amp;"-"&amp;$E1406&amp;"-"&amp;TEXT(MONTH($B1406),"00")&amp;TEXT(DAY($B1406),"00")&amp;IF(ISNUMBER($O1406),IF($O1406&gt;1,"-"&amp;TEXT($O1406,"00"),""),"")))</f>
        <v/>
      </c>
      <c r="B1406" s="14"/>
      <c r="C1406" s="10"/>
      <c r="D1406" s="10"/>
      <c r="E1406" s="10"/>
      <c r="F1406" s="16"/>
      <c r="G1406" s="10"/>
      <c r="H1406" s="10"/>
      <c r="I1406" s="10"/>
      <c r="J1406" s="10"/>
      <c r="K1406" s="10"/>
      <c r="L1406" s="10"/>
      <c r="M1406" s="14"/>
      <c r="N1406" s="17" t="str">
        <f aca="false">IF($B1406="","",IF($L1406="已完成",IF($M1406="","",$M1406-$B1406),IF(设置!$B$6&lt;$B1406,"",IF((设置!$B$6-$B1406)&gt;=设置!$B$5,"超期"&amp;(设置!$B$6-$B1406)&amp;"天","已等"&amp;(设置!$B$6-$B1406)&amp;"天"))))</f>
        <v/>
      </c>
      <c r="O1406" s="18" t="str">
        <f aca="false">IF(OR($D1406="",$E1406=""),"",COUNTIFS($D$7:$D1406,$D1406,$E$7:$E1406,$E1406))</f>
        <v/>
      </c>
      <c r="P1406" s="16"/>
      <c r="Q1406" s="19"/>
      <c r="R1406" s="10"/>
      <c r="S1406" s="16"/>
      <c r="T1406" s="0" t="str">
        <f aca="false">IF(OR($D1406="",单元查询!$B$3=""),"",IF($D1406&lt;&gt;单元查询!$B$3,"",IF(OR(单元查询!$D$3="",$E1406&amp;""=单元查询!$D$3&amp;""),IF(ISNUMBER($B1406),$B1406*10000,0)+ROW(),"")))</f>
        <v/>
      </c>
      <c r="U1406" s="0" t="str">
        <f aca="false">IF(OR($B1406="",$L1406="已完成"),"",IF(ISNUMBER($B1406),IF(设置!$B$6&lt;$B1406,"",(设置!$B$6-$B1406)*100000+ROW()),""))</f>
        <v/>
      </c>
      <c r="V1406" s="0" t="str">
        <f aca="false">IF(ISNUMBER($O1406),IF($O1406&gt;=2,IF(COUNTIFS($D1406:$D$2006,$D1406,$E1406:$E$2006,$E1406)=1,ROW(),""),""),"")</f>
        <v/>
      </c>
    </row>
    <row r="1407" customFormat="false" ht="15" hidden="false" customHeight="true" outlineLevel="0" collapsed="false">
      <c r="A1407" s="13" t="str">
        <f aca="false">IF(AND($B1407="",$D1407="",$E1407="",$F1407=""),"",IF(OR($B1407="",$D1407="",$E1407=""),"待补",IF($D1407="公共区域","公",IF($D1407="商铺","S",SUBSTITUTE($D1407,"栋","")))&amp;"-"&amp;$E1407&amp;"-"&amp;TEXT(MONTH($B1407),"00")&amp;TEXT(DAY($B1407),"00")&amp;IF(ISNUMBER($O1407),IF($O1407&gt;1,"-"&amp;TEXT($O1407,"00"),""),"")))</f>
        <v/>
      </c>
      <c r="B1407" s="14"/>
      <c r="C1407" s="10"/>
      <c r="D1407" s="10"/>
      <c r="E1407" s="10"/>
      <c r="F1407" s="16"/>
      <c r="G1407" s="10"/>
      <c r="H1407" s="10"/>
      <c r="I1407" s="10"/>
      <c r="J1407" s="10"/>
      <c r="K1407" s="10"/>
      <c r="L1407" s="10"/>
      <c r="M1407" s="14"/>
      <c r="N1407" s="17" t="str">
        <f aca="false">IF($B1407="","",IF($L1407="已完成",IF($M1407="","",$M1407-$B1407),IF(设置!$B$6&lt;$B1407,"",IF((设置!$B$6-$B1407)&gt;=设置!$B$5,"超期"&amp;(设置!$B$6-$B1407)&amp;"天","已等"&amp;(设置!$B$6-$B1407)&amp;"天"))))</f>
        <v/>
      </c>
      <c r="O1407" s="18" t="str">
        <f aca="false">IF(OR($D1407="",$E1407=""),"",COUNTIFS($D$7:$D1407,$D1407,$E$7:$E1407,$E1407))</f>
        <v/>
      </c>
      <c r="P1407" s="16"/>
      <c r="Q1407" s="19"/>
      <c r="R1407" s="10"/>
      <c r="S1407" s="16"/>
      <c r="T1407" s="0" t="str">
        <f aca="false">IF(OR($D1407="",单元查询!$B$3=""),"",IF($D1407&lt;&gt;单元查询!$B$3,"",IF(OR(单元查询!$D$3="",$E1407&amp;""=单元查询!$D$3&amp;""),IF(ISNUMBER($B1407),$B1407*10000,0)+ROW(),"")))</f>
        <v/>
      </c>
      <c r="U1407" s="0" t="str">
        <f aca="false">IF(OR($B1407="",$L1407="已完成"),"",IF(ISNUMBER($B1407),IF(设置!$B$6&lt;$B1407,"",(设置!$B$6-$B1407)*100000+ROW()),""))</f>
        <v/>
      </c>
      <c r="V1407" s="0" t="str">
        <f aca="false">IF(ISNUMBER($O1407),IF($O1407&gt;=2,IF(COUNTIFS($D1407:$D$2006,$D1407,$E1407:$E$2006,$E1407)=1,ROW(),""),""),"")</f>
        <v/>
      </c>
    </row>
    <row r="1408" customFormat="false" ht="15" hidden="false" customHeight="true" outlineLevel="0" collapsed="false">
      <c r="A1408" s="13" t="str">
        <f aca="false">IF(AND($B1408="",$D1408="",$E1408="",$F1408=""),"",IF(OR($B1408="",$D1408="",$E1408=""),"待补",IF($D1408="公共区域","公",IF($D1408="商铺","S",SUBSTITUTE($D1408,"栋","")))&amp;"-"&amp;$E1408&amp;"-"&amp;TEXT(MONTH($B1408),"00")&amp;TEXT(DAY($B1408),"00")&amp;IF(ISNUMBER($O1408),IF($O1408&gt;1,"-"&amp;TEXT($O1408,"00"),""),"")))</f>
        <v/>
      </c>
      <c r="B1408" s="14"/>
      <c r="C1408" s="10"/>
      <c r="D1408" s="10"/>
      <c r="E1408" s="10"/>
      <c r="F1408" s="16"/>
      <c r="G1408" s="10"/>
      <c r="H1408" s="10"/>
      <c r="I1408" s="10"/>
      <c r="J1408" s="10"/>
      <c r="K1408" s="10"/>
      <c r="L1408" s="10"/>
      <c r="M1408" s="14"/>
      <c r="N1408" s="17" t="str">
        <f aca="false">IF($B1408="","",IF($L1408="已完成",IF($M1408="","",$M1408-$B1408),IF(设置!$B$6&lt;$B1408,"",IF((设置!$B$6-$B1408)&gt;=设置!$B$5,"超期"&amp;(设置!$B$6-$B1408)&amp;"天","已等"&amp;(设置!$B$6-$B1408)&amp;"天"))))</f>
        <v/>
      </c>
      <c r="O1408" s="18" t="str">
        <f aca="false">IF(OR($D1408="",$E1408=""),"",COUNTIFS($D$7:$D1408,$D1408,$E$7:$E1408,$E1408))</f>
        <v/>
      </c>
      <c r="P1408" s="16"/>
      <c r="Q1408" s="19"/>
      <c r="R1408" s="10"/>
      <c r="S1408" s="16"/>
      <c r="T1408" s="0" t="str">
        <f aca="false">IF(OR($D1408="",单元查询!$B$3=""),"",IF($D1408&lt;&gt;单元查询!$B$3,"",IF(OR(单元查询!$D$3="",$E1408&amp;""=单元查询!$D$3&amp;""),IF(ISNUMBER($B1408),$B1408*10000,0)+ROW(),"")))</f>
        <v/>
      </c>
      <c r="U1408" s="0" t="str">
        <f aca="false">IF(OR($B1408="",$L1408="已完成"),"",IF(ISNUMBER($B1408),IF(设置!$B$6&lt;$B1408,"",(设置!$B$6-$B1408)*100000+ROW()),""))</f>
        <v/>
      </c>
      <c r="V1408" s="0" t="str">
        <f aca="false">IF(ISNUMBER($O1408),IF($O1408&gt;=2,IF(COUNTIFS($D1408:$D$2006,$D1408,$E1408:$E$2006,$E1408)=1,ROW(),""),""),"")</f>
        <v/>
      </c>
    </row>
    <row r="1409" customFormat="false" ht="15" hidden="false" customHeight="true" outlineLevel="0" collapsed="false">
      <c r="A1409" s="13" t="str">
        <f aca="false">IF(AND($B1409="",$D1409="",$E1409="",$F1409=""),"",IF(OR($B1409="",$D1409="",$E1409=""),"待补",IF($D1409="公共区域","公",IF($D1409="商铺","S",SUBSTITUTE($D1409,"栋","")))&amp;"-"&amp;$E1409&amp;"-"&amp;TEXT(MONTH($B1409),"00")&amp;TEXT(DAY($B1409),"00")&amp;IF(ISNUMBER($O1409),IF($O1409&gt;1,"-"&amp;TEXT($O1409,"00"),""),"")))</f>
        <v/>
      </c>
      <c r="B1409" s="14"/>
      <c r="C1409" s="10"/>
      <c r="D1409" s="10"/>
      <c r="E1409" s="10"/>
      <c r="F1409" s="16"/>
      <c r="G1409" s="10"/>
      <c r="H1409" s="10"/>
      <c r="I1409" s="10"/>
      <c r="J1409" s="10"/>
      <c r="K1409" s="10"/>
      <c r="L1409" s="10"/>
      <c r="M1409" s="14"/>
      <c r="N1409" s="17" t="str">
        <f aca="false">IF($B1409="","",IF($L1409="已完成",IF($M1409="","",$M1409-$B1409),IF(设置!$B$6&lt;$B1409,"",IF((设置!$B$6-$B1409)&gt;=设置!$B$5,"超期"&amp;(设置!$B$6-$B1409)&amp;"天","已等"&amp;(设置!$B$6-$B1409)&amp;"天"))))</f>
        <v/>
      </c>
      <c r="O1409" s="18" t="str">
        <f aca="false">IF(OR($D1409="",$E1409=""),"",COUNTIFS($D$7:$D1409,$D1409,$E$7:$E1409,$E1409))</f>
        <v/>
      </c>
      <c r="P1409" s="16"/>
      <c r="Q1409" s="19"/>
      <c r="R1409" s="10"/>
      <c r="S1409" s="16"/>
      <c r="T1409" s="0" t="str">
        <f aca="false">IF(OR($D1409="",单元查询!$B$3=""),"",IF($D1409&lt;&gt;单元查询!$B$3,"",IF(OR(单元查询!$D$3="",$E1409&amp;""=单元查询!$D$3&amp;""),IF(ISNUMBER($B1409),$B1409*10000,0)+ROW(),"")))</f>
        <v/>
      </c>
      <c r="U1409" s="0" t="str">
        <f aca="false">IF(OR($B1409="",$L1409="已完成"),"",IF(ISNUMBER($B1409),IF(设置!$B$6&lt;$B1409,"",(设置!$B$6-$B1409)*100000+ROW()),""))</f>
        <v/>
      </c>
      <c r="V1409" s="0" t="str">
        <f aca="false">IF(ISNUMBER($O1409),IF($O1409&gt;=2,IF(COUNTIFS($D1409:$D$2006,$D1409,$E1409:$E$2006,$E1409)=1,ROW(),""),""),"")</f>
        <v/>
      </c>
    </row>
    <row r="1410" customFormat="false" ht="15" hidden="false" customHeight="true" outlineLevel="0" collapsed="false">
      <c r="A1410" s="13" t="str">
        <f aca="false">IF(AND($B1410="",$D1410="",$E1410="",$F1410=""),"",IF(OR($B1410="",$D1410="",$E1410=""),"待补",IF($D1410="公共区域","公",IF($D1410="商铺","S",SUBSTITUTE($D1410,"栋","")))&amp;"-"&amp;$E1410&amp;"-"&amp;TEXT(MONTH($B1410),"00")&amp;TEXT(DAY($B1410),"00")&amp;IF(ISNUMBER($O1410),IF($O1410&gt;1,"-"&amp;TEXT($O1410,"00"),""),"")))</f>
        <v/>
      </c>
      <c r="B1410" s="14"/>
      <c r="C1410" s="10"/>
      <c r="D1410" s="10"/>
      <c r="E1410" s="10"/>
      <c r="F1410" s="16"/>
      <c r="G1410" s="10"/>
      <c r="H1410" s="10"/>
      <c r="I1410" s="10"/>
      <c r="J1410" s="10"/>
      <c r="K1410" s="10"/>
      <c r="L1410" s="10"/>
      <c r="M1410" s="14"/>
      <c r="N1410" s="17" t="str">
        <f aca="false">IF($B1410="","",IF($L1410="已完成",IF($M1410="","",$M1410-$B1410),IF(设置!$B$6&lt;$B1410,"",IF((设置!$B$6-$B1410)&gt;=设置!$B$5,"超期"&amp;(设置!$B$6-$B1410)&amp;"天","已等"&amp;(设置!$B$6-$B1410)&amp;"天"))))</f>
        <v/>
      </c>
      <c r="O1410" s="18" t="str">
        <f aca="false">IF(OR($D1410="",$E1410=""),"",COUNTIFS($D$7:$D1410,$D1410,$E$7:$E1410,$E1410))</f>
        <v/>
      </c>
      <c r="P1410" s="16"/>
      <c r="Q1410" s="19"/>
      <c r="R1410" s="10"/>
      <c r="S1410" s="16"/>
      <c r="T1410" s="0" t="str">
        <f aca="false">IF(OR($D1410="",单元查询!$B$3=""),"",IF($D1410&lt;&gt;单元查询!$B$3,"",IF(OR(单元查询!$D$3="",$E1410&amp;""=单元查询!$D$3&amp;""),IF(ISNUMBER($B1410),$B1410*10000,0)+ROW(),"")))</f>
        <v/>
      </c>
      <c r="U1410" s="0" t="str">
        <f aca="false">IF(OR($B1410="",$L1410="已完成"),"",IF(ISNUMBER($B1410),IF(设置!$B$6&lt;$B1410,"",(设置!$B$6-$B1410)*100000+ROW()),""))</f>
        <v/>
      </c>
      <c r="V1410" s="0" t="str">
        <f aca="false">IF(ISNUMBER($O1410),IF($O1410&gt;=2,IF(COUNTIFS($D1410:$D$2006,$D1410,$E1410:$E$2006,$E1410)=1,ROW(),""),""),"")</f>
        <v/>
      </c>
    </row>
    <row r="1411" customFormat="false" ht="15" hidden="false" customHeight="true" outlineLevel="0" collapsed="false">
      <c r="A1411" s="13" t="str">
        <f aca="false">IF(AND($B1411="",$D1411="",$E1411="",$F1411=""),"",IF(OR($B1411="",$D1411="",$E1411=""),"待补",IF($D1411="公共区域","公",IF($D1411="商铺","S",SUBSTITUTE($D1411,"栋","")))&amp;"-"&amp;$E1411&amp;"-"&amp;TEXT(MONTH($B1411),"00")&amp;TEXT(DAY($B1411),"00")&amp;IF(ISNUMBER($O1411),IF($O1411&gt;1,"-"&amp;TEXT($O1411,"00"),""),"")))</f>
        <v/>
      </c>
      <c r="B1411" s="14"/>
      <c r="C1411" s="10"/>
      <c r="D1411" s="10"/>
      <c r="E1411" s="10"/>
      <c r="F1411" s="16"/>
      <c r="G1411" s="10"/>
      <c r="H1411" s="10"/>
      <c r="I1411" s="10"/>
      <c r="J1411" s="10"/>
      <c r="K1411" s="10"/>
      <c r="L1411" s="10"/>
      <c r="M1411" s="14"/>
      <c r="N1411" s="17" t="str">
        <f aca="false">IF($B1411="","",IF($L1411="已完成",IF($M1411="","",$M1411-$B1411),IF(设置!$B$6&lt;$B1411,"",IF((设置!$B$6-$B1411)&gt;=设置!$B$5,"超期"&amp;(设置!$B$6-$B1411)&amp;"天","已等"&amp;(设置!$B$6-$B1411)&amp;"天"))))</f>
        <v/>
      </c>
      <c r="O1411" s="18" t="str">
        <f aca="false">IF(OR($D1411="",$E1411=""),"",COUNTIFS($D$7:$D1411,$D1411,$E$7:$E1411,$E1411))</f>
        <v/>
      </c>
      <c r="P1411" s="16"/>
      <c r="Q1411" s="19"/>
      <c r="R1411" s="10"/>
      <c r="S1411" s="16"/>
      <c r="T1411" s="0" t="str">
        <f aca="false">IF(OR($D1411="",单元查询!$B$3=""),"",IF($D1411&lt;&gt;单元查询!$B$3,"",IF(OR(单元查询!$D$3="",$E1411&amp;""=单元查询!$D$3&amp;""),IF(ISNUMBER($B1411),$B1411*10000,0)+ROW(),"")))</f>
        <v/>
      </c>
      <c r="U1411" s="0" t="str">
        <f aca="false">IF(OR($B1411="",$L1411="已完成"),"",IF(ISNUMBER($B1411),IF(设置!$B$6&lt;$B1411,"",(设置!$B$6-$B1411)*100000+ROW()),""))</f>
        <v/>
      </c>
      <c r="V1411" s="0" t="str">
        <f aca="false">IF(ISNUMBER($O1411),IF($O1411&gt;=2,IF(COUNTIFS($D1411:$D$2006,$D1411,$E1411:$E$2006,$E1411)=1,ROW(),""),""),"")</f>
        <v/>
      </c>
    </row>
    <row r="1412" customFormat="false" ht="15" hidden="false" customHeight="true" outlineLevel="0" collapsed="false">
      <c r="A1412" s="13" t="str">
        <f aca="false">IF(AND($B1412="",$D1412="",$E1412="",$F1412=""),"",IF(OR($B1412="",$D1412="",$E1412=""),"待补",IF($D1412="公共区域","公",IF($D1412="商铺","S",SUBSTITUTE($D1412,"栋","")))&amp;"-"&amp;$E1412&amp;"-"&amp;TEXT(MONTH($B1412),"00")&amp;TEXT(DAY($B1412),"00")&amp;IF(ISNUMBER($O1412),IF($O1412&gt;1,"-"&amp;TEXT($O1412,"00"),""),"")))</f>
        <v/>
      </c>
      <c r="B1412" s="14"/>
      <c r="C1412" s="10"/>
      <c r="D1412" s="10"/>
      <c r="E1412" s="10"/>
      <c r="F1412" s="16"/>
      <c r="G1412" s="10"/>
      <c r="H1412" s="10"/>
      <c r="I1412" s="10"/>
      <c r="J1412" s="10"/>
      <c r="K1412" s="10"/>
      <c r="L1412" s="10"/>
      <c r="M1412" s="14"/>
      <c r="N1412" s="17" t="str">
        <f aca="false">IF($B1412="","",IF($L1412="已完成",IF($M1412="","",$M1412-$B1412),IF(设置!$B$6&lt;$B1412,"",IF((设置!$B$6-$B1412)&gt;=设置!$B$5,"超期"&amp;(设置!$B$6-$B1412)&amp;"天","已等"&amp;(设置!$B$6-$B1412)&amp;"天"))))</f>
        <v/>
      </c>
      <c r="O1412" s="18" t="str">
        <f aca="false">IF(OR($D1412="",$E1412=""),"",COUNTIFS($D$7:$D1412,$D1412,$E$7:$E1412,$E1412))</f>
        <v/>
      </c>
      <c r="P1412" s="16"/>
      <c r="Q1412" s="19"/>
      <c r="R1412" s="10"/>
      <c r="S1412" s="16"/>
      <c r="T1412" s="0" t="str">
        <f aca="false">IF(OR($D1412="",单元查询!$B$3=""),"",IF($D1412&lt;&gt;单元查询!$B$3,"",IF(OR(单元查询!$D$3="",$E1412&amp;""=单元查询!$D$3&amp;""),IF(ISNUMBER($B1412),$B1412*10000,0)+ROW(),"")))</f>
        <v/>
      </c>
      <c r="U1412" s="0" t="str">
        <f aca="false">IF(OR($B1412="",$L1412="已完成"),"",IF(ISNUMBER($B1412),IF(设置!$B$6&lt;$B1412,"",(设置!$B$6-$B1412)*100000+ROW()),""))</f>
        <v/>
      </c>
      <c r="V1412" s="0" t="str">
        <f aca="false">IF(ISNUMBER($O1412),IF($O1412&gt;=2,IF(COUNTIFS($D1412:$D$2006,$D1412,$E1412:$E$2006,$E1412)=1,ROW(),""),""),"")</f>
        <v/>
      </c>
    </row>
    <row r="1413" customFormat="false" ht="15" hidden="false" customHeight="true" outlineLevel="0" collapsed="false">
      <c r="A1413" s="13" t="str">
        <f aca="false">IF(AND($B1413="",$D1413="",$E1413="",$F1413=""),"",IF(OR($B1413="",$D1413="",$E1413=""),"待补",IF($D1413="公共区域","公",IF($D1413="商铺","S",SUBSTITUTE($D1413,"栋","")))&amp;"-"&amp;$E1413&amp;"-"&amp;TEXT(MONTH($B1413),"00")&amp;TEXT(DAY($B1413),"00")&amp;IF(ISNUMBER($O1413),IF($O1413&gt;1,"-"&amp;TEXT($O1413,"00"),""),"")))</f>
        <v/>
      </c>
      <c r="B1413" s="14"/>
      <c r="C1413" s="10"/>
      <c r="D1413" s="10"/>
      <c r="E1413" s="10"/>
      <c r="F1413" s="16"/>
      <c r="G1413" s="10"/>
      <c r="H1413" s="10"/>
      <c r="I1413" s="10"/>
      <c r="J1413" s="10"/>
      <c r="K1413" s="10"/>
      <c r="L1413" s="10"/>
      <c r="M1413" s="14"/>
      <c r="N1413" s="17" t="str">
        <f aca="false">IF($B1413="","",IF($L1413="已完成",IF($M1413="","",$M1413-$B1413),IF(设置!$B$6&lt;$B1413,"",IF((设置!$B$6-$B1413)&gt;=设置!$B$5,"超期"&amp;(设置!$B$6-$B1413)&amp;"天","已等"&amp;(设置!$B$6-$B1413)&amp;"天"))))</f>
        <v/>
      </c>
      <c r="O1413" s="18" t="str">
        <f aca="false">IF(OR($D1413="",$E1413=""),"",COUNTIFS($D$7:$D1413,$D1413,$E$7:$E1413,$E1413))</f>
        <v/>
      </c>
      <c r="P1413" s="16"/>
      <c r="Q1413" s="19"/>
      <c r="R1413" s="10"/>
      <c r="S1413" s="16"/>
      <c r="T1413" s="0" t="str">
        <f aca="false">IF(OR($D1413="",单元查询!$B$3=""),"",IF($D1413&lt;&gt;单元查询!$B$3,"",IF(OR(单元查询!$D$3="",$E1413&amp;""=单元查询!$D$3&amp;""),IF(ISNUMBER($B1413),$B1413*10000,0)+ROW(),"")))</f>
        <v/>
      </c>
      <c r="U1413" s="0" t="str">
        <f aca="false">IF(OR($B1413="",$L1413="已完成"),"",IF(ISNUMBER($B1413),IF(设置!$B$6&lt;$B1413,"",(设置!$B$6-$B1413)*100000+ROW()),""))</f>
        <v/>
      </c>
      <c r="V1413" s="0" t="str">
        <f aca="false">IF(ISNUMBER($O1413),IF($O1413&gt;=2,IF(COUNTIFS($D1413:$D$2006,$D1413,$E1413:$E$2006,$E1413)=1,ROW(),""),""),"")</f>
        <v/>
      </c>
    </row>
    <row r="1414" customFormat="false" ht="15" hidden="false" customHeight="true" outlineLevel="0" collapsed="false">
      <c r="A1414" s="13" t="str">
        <f aca="false">IF(AND($B1414="",$D1414="",$E1414="",$F1414=""),"",IF(OR($B1414="",$D1414="",$E1414=""),"待补",IF($D1414="公共区域","公",IF($D1414="商铺","S",SUBSTITUTE($D1414,"栋","")))&amp;"-"&amp;$E1414&amp;"-"&amp;TEXT(MONTH($B1414),"00")&amp;TEXT(DAY($B1414),"00")&amp;IF(ISNUMBER($O1414),IF($O1414&gt;1,"-"&amp;TEXT($O1414,"00"),""),"")))</f>
        <v/>
      </c>
      <c r="B1414" s="14"/>
      <c r="C1414" s="10"/>
      <c r="D1414" s="10"/>
      <c r="E1414" s="10"/>
      <c r="F1414" s="16"/>
      <c r="G1414" s="10"/>
      <c r="H1414" s="10"/>
      <c r="I1414" s="10"/>
      <c r="J1414" s="10"/>
      <c r="K1414" s="10"/>
      <c r="L1414" s="10"/>
      <c r="M1414" s="14"/>
      <c r="N1414" s="17" t="str">
        <f aca="false">IF($B1414="","",IF($L1414="已完成",IF($M1414="","",$M1414-$B1414),IF(设置!$B$6&lt;$B1414,"",IF((设置!$B$6-$B1414)&gt;=设置!$B$5,"超期"&amp;(设置!$B$6-$B1414)&amp;"天","已等"&amp;(设置!$B$6-$B1414)&amp;"天"))))</f>
        <v/>
      </c>
      <c r="O1414" s="18" t="str">
        <f aca="false">IF(OR($D1414="",$E1414=""),"",COUNTIFS($D$7:$D1414,$D1414,$E$7:$E1414,$E1414))</f>
        <v/>
      </c>
      <c r="P1414" s="16"/>
      <c r="Q1414" s="19"/>
      <c r="R1414" s="10"/>
      <c r="S1414" s="16"/>
      <c r="T1414" s="0" t="str">
        <f aca="false">IF(OR($D1414="",单元查询!$B$3=""),"",IF($D1414&lt;&gt;单元查询!$B$3,"",IF(OR(单元查询!$D$3="",$E1414&amp;""=单元查询!$D$3&amp;""),IF(ISNUMBER($B1414),$B1414*10000,0)+ROW(),"")))</f>
        <v/>
      </c>
      <c r="U1414" s="0" t="str">
        <f aca="false">IF(OR($B1414="",$L1414="已完成"),"",IF(ISNUMBER($B1414),IF(设置!$B$6&lt;$B1414,"",(设置!$B$6-$B1414)*100000+ROW()),""))</f>
        <v/>
      </c>
      <c r="V1414" s="0" t="str">
        <f aca="false">IF(ISNUMBER($O1414),IF($O1414&gt;=2,IF(COUNTIFS($D1414:$D$2006,$D1414,$E1414:$E$2006,$E1414)=1,ROW(),""),""),"")</f>
        <v/>
      </c>
    </row>
    <row r="1415" customFormat="false" ht="15" hidden="false" customHeight="true" outlineLevel="0" collapsed="false">
      <c r="A1415" s="13" t="str">
        <f aca="false">IF(AND($B1415="",$D1415="",$E1415="",$F1415=""),"",IF(OR($B1415="",$D1415="",$E1415=""),"待补",IF($D1415="公共区域","公",IF($D1415="商铺","S",SUBSTITUTE($D1415,"栋","")))&amp;"-"&amp;$E1415&amp;"-"&amp;TEXT(MONTH($B1415),"00")&amp;TEXT(DAY($B1415),"00")&amp;IF(ISNUMBER($O1415),IF($O1415&gt;1,"-"&amp;TEXT($O1415,"00"),""),"")))</f>
        <v/>
      </c>
      <c r="B1415" s="14"/>
      <c r="C1415" s="10"/>
      <c r="D1415" s="10"/>
      <c r="E1415" s="10"/>
      <c r="F1415" s="16"/>
      <c r="G1415" s="10"/>
      <c r="H1415" s="10"/>
      <c r="I1415" s="10"/>
      <c r="J1415" s="10"/>
      <c r="K1415" s="10"/>
      <c r="L1415" s="10"/>
      <c r="M1415" s="14"/>
      <c r="N1415" s="17" t="str">
        <f aca="false">IF($B1415="","",IF($L1415="已完成",IF($M1415="","",$M1415-$B1415),IF(设置!$B$6&lt;$B1415,"",IF((设置!$B$6-$B1415)&gt;=设置!$B$5,"超期"&amp;(设置!$B$6-$B1415)&amp;"天","已等"&amp;(设置!$B$6-$B1415)&amp;"天"))))</f>
        <v/>
      </c>
      <c r="O1415" s="18" t="str">
        <f aca="false">IF(OR($D1415="",$E1415=""),"",COUNTIFS($D$7:$D1415,$D1415,$E$7:$E1415,$E1415))</f>
        <v/>
      </c>
      <c r="P1415" s="16"/>
      <c r="Q1415" s="19"/>
      <c r="R1415" s="10"/>
      <c r="S1415" s="16"/>
      <c r="T1415" s="0" t="str">
        <f aca="false">IF(OR($D1415="",单元查询!$B$3=""),"",IF($D1415&lt;&gt;单元查询!$B$3,"",IF(OR(单元查询!$D$3="",$E1415&amp;""=单元查询!$D$3&amp;""),IF(ISNUMBER($B1415),$B1415*10000,0)+ROW(),"")))</f>
        <v/>
      </c>
      <c r="U1415" s="0" t="str">
        <f aca="false">IF(OR($B1415="",$L1415="已完成"),"",IF(ISNUMBER($B1415),IF(设置!$B$6&lt;$B1415,"",(设置!$B$6-$B1415)*100000+ROW()),""))</f>
        <v/>
      </c>
      <c r="V1415" s="0" t="str">
        <f aca="false">IF(ISNUMBER($O1415),IF($O1415&gt;=2,IF(COUNTIFS($D1415:$D$2006,$D1415,$E1415:$E$2006,$E1415)=1,ROW(),""),""),"")</f>
        <v/>
      </c>
    </row>
    <row r="1416" customFormat="false" ht="15" hidden="false" customHeight="true" outlineLevel="0" collapsed="false">
      <c r="A1416" s="13" t="str">
        <f aca="false">IF(AND($B1416="",$D1416="",$E1416="",$F1416=""),"",IF(OR($B1416="",$D1416="",$E1416=""),"待补",IF($D1416="公共区域","公",IF($D1416="商铺","S",SUBSTITUTE($D1416,"栋","")))&amp;"-"&amp;$E1416&amp;"-"&amp;TEXT(MONTH($B1416),"00")&amp;TEXT(DAY($B1416),"00")&amp;IF(ISNUMBER($O1416),IF($O1416&gt;1,"-"&amp;TEXT($O1416,"00"),""),"")))</f>
        <v/>
      </c>
      <c r="B1416" s="14"/>
      <c r="C1416" s="10"/>
      <c r="D1416" s="10"/>
      <c r="E1416" s="10"/>
      <c r="F1416" s="16"/>
      <c r="G1416" s="10"/>
      <c r="H1416" s="10"/>
      <c r="I1416" s="10"/>
      <c r="J1416" s="10"/>
      <c r="K1416" s="10"/>
      <c r="L1416" s="10"/>
      <c r="M1416" s="14"/>
      <c r="N1416" s="17" t="str">
        <f aca="false">IF($B1416="","",IF($L1416="已完成",IF($M1416="","",$M1416-$B1416),IF(设置!$B$6&lt;$B1416,"",IF((设置!$B$6-$B1416)&gt;=设置!$B$5,"超期"&amp;(设置!$B$6-$B1416)&amp;"天","已等"&amp;(设置!$B$6-$B1416)&amp;"天"))))</f>
        <v/>
      </c>
      <c r="O1416" s="18" t="str">
        <f aca="false">IF(OR($D1416="",$E1416=""),"",COUNTIFS($D$7:$D1416,$D1416,$E$7:$E1416,$E1416))</f>
        <v/>
      </c>
      <c r="P1416" s="16"/>
      <c r="Q1416" s="19"/>
      <c r="R1416" s="10"/>
      <c r="S1416" s="16"/>
      <c r="T1416" s="0" t="str">
        <f aca="false">IF(OR($D1416="",单元查询!$B$3=""),"",IF($D1416&lt;&gt;单元查询!$B$3,"",IF(OR(单元查询!$D$3="",$E1416&amp;""=单元查询!$D$3&amp;""),IF(ISNUMBER($B1416),$B1416*10000,0)+ROW(),"")))</f>
        <v/>
      </c>
      <c r="U1416" s="0" t="str">
        <f aca="false">IF(OR($B1416="",$L1416="已完成"),"",IF(ISNUMBER($B1416),IF(设置!$B$6&lt;$B1416,"",(设置!$B$6-$B1416)*100000+ROW()),""))</f>
        <v/>
      </c>
      <c r="V1416" s="0" t="str">
        <f aca="false">IF(ISNUMBER($O1416),IF($O1416&gt;=2,IF(COUNTIFS($D1416:$D$2006,$D1416,$E1416:$E$2006,$E1416)=1,ROW(),""),""),"")</f>
        <v/>
      </c>
    </row>
    <row r="1417" customFormat="false" ht="15" hidden="false" customHeight="true" outlineLevel="0" collapsed="false">
      <c r="A1417" s="13" t="str">
        <f aca="false">IF(AND($B1417="",$D1417="",$E1417="",$F1417=""),"",IF(OR($B1417="",$D1417="",$E1417=""),"待补",IF($D1417="公共区域","公",IF($D1417="商铺","S",SUBSTITUTE($D1417,"栋","")))&amp;"-"&amp;$E1417&amp;"-"&amp;TEXT(MONTH($B1417),"00")&amp;TEXT(DAY($B1417),"00")&amp;IF(ISNUMBER($O1417),IF($O1417&gt;1,"-"&amp;TEXT($O1417,"00"),""),"")))</f>
        <v/>
      </c>
      <c r="B1417" s="14"/>
      <c r="C1417" s="10"/>
      <c r="D1417" s="10"/>
      <c r="E1417" s="10"/>
      <c r="F1417" s="16"/>
      <c r="G1417" s="10"/>
      <c r="H1417" s="10"/>
      <c r="I1417" s="10"/>
      <c r="J1417" s="10"/>
      <c r="K1417" s="10"/>
      <c r="L1417" s="10"/>
      <c r="M1417" s="14"/>
      <c r="N1417" s="17" t="str">
        <f aca="false">IF($B1417="","",IF($L1417="已完成",IF($M1417="","",$M1417-$B1417),IF(设置!$B$6&lt;$B1417,"",IF((设置!$B$6-$B1417)&gt;=设置!$B$5,"超期"&amp;(设置!$B$6-$B1417)&amp;"天","已等"&amp;(设置!$B$6-$B1417)&amp;"天"))))</f>
        <v/>
      </c>
      <c r="O1417" s="18" t="str">
        <f aca="false">IF(OR($D1417="",$E1417=""),"",COUNTIFS($D$7:$D1417,$D1417,$E$7:$E1417,$E1417))</f>
        <v/>
      </c>
      <c r="P1417" s="16"/>
      <c r="Q1417" s="19"/>
      <c r="R1417" s="10"/>
      <c r="S1417" s="16"/>
      <c r="T1417" s="0" t="str">
        <f aca="false">IF(OR($D1417="",单元查询!$B$3=""),"",IF($D1417&lt;&gt;单元查询!$B$3,"",IF(OR(单元查询!$D$3="",$E1417&amp;""=单元查询!$D$3&amp;""),IF(ISNUMBER($B1417),$B1417*10000,0)+ROW(),"")))</f>
        <v/>
      </c>
      <c r="U1417" s="0" t="str">
        <f aca="false">IF(OR($B1417="",$L1417="已完成"),"",IF(ISNUMBER($B1417),IF(设置!$B$6&lt;$B1417,"",(设置!$B$6-$B1417)*100000+ROW()),""))</f>
        <v/>
      </c>
      <c r="V1417" s="0" t="str">
        <f aca="false">IF(ISNUMBER($O1417),IF($O1417&gt;=2,IF(COUNTIFS($D1417:$D$2006,$D1417,$E1417:$E$2006,$E1417)=1,ROW(),""),""),"")</f>
        <v/>
      </c>
    </row>
    <row r="1418" customFormat="false" ht="15" hidden="false" customHeight="true" outlineLevel="0" collapsed="false">
      <c r="A1418" s="13" t="str">
        <f aca="false">IF(AND($B1418="",$D1418="",$E1418="",$F1418=""),"",IF(OR($B1418="",$D1418="",$E1418=""),"待补",IF($D1418="公共区域","公",IF($D1418="商铺","S",SUBSTITUTE($D1418,"栋","")))&amp;"-"&amp;$E1418&amp;"-"&amp;TEXT(MONTH($B1418),"00")&amp;TEXT(DAY($B1418),"00")&amp;IF(ISNUMBER($O1418),IF($O1418&gt;1,"-"&amp;TEXT($O1418,"00"),""),"")))</f>
        <v/>
      </c>
      <c r="B1418" s="14"/>
      <c r="C1418" s="10"/>
      <c r="D1418" s="10"/>
      <c r="E1418" s="10"/>
      <c r="F1418" s="16"/>
      <c r="G1418" s="10"/>
      <c r="H1418" s="10"/>
      <c r="I1418" s="10"/>
      <c r="J1418" s="10"/>
      <c r="K1418" s="10"/>
      <c r="L1418" s="10"/>
      <c r="M1418" s="14"/>
      <c r="N1418" s="17" t="str">
        <f aca="false">IF($B1418="","",IF($L1418="已完成",IF($M1418="","",$M1418-$B1418),IF(设置!$B$6&lt;$B1418,"",IF((设置!$B$6-$B1418)&gt;=设置!$B$5,"超期"&amp;(设置!$B$6-$B1418)&amp;"天","已等"&amp;(设置!$B$6-$B1418)&amp;"天"))))</f>
        <v/>
      </c>
      <c r="O1418" s="18" t="str">
        <f aca="false">IF(OR($D1418="",$E1418=""),"",COUNTIFS($D$7:$D1418,$D1418,$E$7:$E1418,$E1418))</f>
        <v/>
      </c>
      <c r="P1418" s="16"/>
      <c r="Q1418" s="19"/>
      <c r="R1418" s="10"/>
      <c r="S1418" s="16"/>
      <c r="T1418" s="0" t="str">
        <f aca="false">IF(OR($D1418="",单元查询!$B$3=""),"",IF($D1418&lt;&gt;单元查询!$B$3,"",IF(OR(单元查询!$D$3="",$E1418&amp;""=单元查询!$D$3&amp;""),IF(ISNUMBER($B1418),$B1418*10000,0)+ROW(),"")))</f>
        <v/>
      </c>
      <c r="U1418" s="0" t="str">
        <f aca="false">IF(OR($B1418="",$L1418="已完成"),"",IF(ISNUMBER($B1418),IF(设置!$B$6&lt;$B1418,"",(设置!$B$6-$B1418)*100000+ROW()),""))</f>
        <v/>
      </c>
      <c r="V1418" s="0" t="str">
        <f aca="false">IF(ISNUMBER($O1418),IF($O1418&gt;=2,IF(COUNTIFS($D1418:$D$2006,$D1418,$E1418:$E$2006,$E1418)=1,ROW(),""),""),"")</f>
        <v/>
      </c>
    </row>
    <row r="1419" customFormat="false" ht="15" hidden="false" customHeight="true" outlineLevel="0" collapsed="false">
      <c r="A1419" s="13" t="str">
        <f aca="false">IF(AND($B1419="",$D1419="",$E1419="",$F1419=""),"",IF(OR($B1419="",$D1419="",$E1419=""),"待补",IF($D1419="公共区域","公",IF($D1419="商铺","S",SUBSTITUTE($D1419,"栋","")))&amp;"-"&amp;$E1419&amp;"-"&amp;TEXT(MONTH($B1419),"00")&amp;TEXT(DAY($B1419),"00")&amp;IF(ISNUMBER($O1419),IF($O1419&gt;1,"-"&amp;TEXT($O1419,"00"),""),"")))</f>
        <v/>
      </c>
      <c r="B1419" s="14"/>
      <c r="C1419" s="10"/>
      <c r="D1419" s="10"/>
      <c r="E1419" s="10"/>
      <c r="F1419" s="16"/>
      <c r="G1419" s="10"/>
      <c r="H1419" s="10"/>
      <c r="I1419" s="10"/>
      <c r="J1419" s="10"/>
      <c r="K1419" s="10"/>
      <c r="L1419" s="10"/>
      <c r="M1419" s="14"/>
      <c r="N1419" s="17" t="str">
        <f aca="false">IF($B1419="","",IF($L1419="已完成",IF($M1419="","",$M1419-$B1419),IF(设置!$B$6&lt;$B1419,"",IF((设置!$B$6-$B1419)&gt;=设置!$B$5,"超期"&amp;(设置!$B$6-$B1419)&amp;"天","已等"&amp;(设置!$B$6-$B1419)&amp;"天"))))</f>
        <v/>
      </c>
      <c r="O1419" s="18" t="str">
        <f aca="false">IF(OR($D1419="",$E1419=""),"",COUNTIFS($D$7:$D1419,$D1419,$E$7:$E1419,$E1419))</f>
        <v/>
      </c>
      <c r="P1419" s="16"/>
      <c r="Q1419" s="19"/>
      <c r="R1419" s="10"/>
      <c r="S1419" s="16"/>
      <c r="T1419" s="0" t="str">
        <f aca="false">IF(OR($D1419="",单元查询!$B$3=""),"",IF($D1419&lt;&gt;单元查询!$B$3,"",IF(OR(单元查询!$D$3="",$E1419&amp;""=单元查询!$D$3&amp;""),IF(ISNUMBER($B1419),$B1419*10000,0)+ROW(),"")))</f>
        <v/>
      </c>
      <c r="U1419" s="0" t="str">
        <f aca="false">IF(OR($B1419="",$L1419="已完成"),"",IF(ISNUMBER($B1419),IF(设置!$B$6&lt;$B1419,"",(设置!$B$6-$B1419)*100000+ROW()),""))</f>
        <v/>
      </c>
      <c r="V1419" s="0" t="str">
        <f aca="false">IF(ISNUMBER($O1419),IF($O1419&gt;=2,IF(COUNTIFS($D1419:$D$2006,$D1419,$E1419:$E$2006,$E1419)=1,ROW(),""),""),"")</f>
        <v/>
      </c>
    </row>
    <row r="1420" customFormat="false" ht="15" hidden="false" customHeight="true" outlineLevel="0" collapsed="false">
      <c r="A1420" s="13" t="str">
        <f aca="false">IF(AND($B1420="",$D1420="",$E1420="",$F1420=""),"",IF(OR($B1420="",$D1420="",$E1420=""),"待补",IF($D1420="公共区域","公",IF($D1420="商铺","S",SUBSTITUTE($D1420,"栋","")))&amp;"-"&amp;$E1420&amp;"-"&amp;TEXT(MONTH($B1420),"00")&amp;TEXT(DAY($B1420),"00")&amp;IF(ISNUMBER($O1420),IF($O1420&gt;1,"-"&amp;TEXT($O1420,"00"),""),"")))</f>
        <v/>
      </c>
      <c r="B1420" s="14"/>
      <c r="C1420" s="10"/>
      <c r="D1420" s="10"/>
      <c r="E1420" s="10"/>
      <c r="F1420" s="16"/>
      <c r="G1420" s="10"/>
      <c r="H1420" s="10"/>
      <c r="I1420" s="10"/>
      <c r="J1420" s="10"/>
      <c r="K1420" s="10"/>
      <c r="L1420" s="10"/>
      <c r="M1420" s="14"/>
      <c r="N1420" s="17" t="str">
        <f aca="false">IF($B1420="","",IF($L1420="已完成",IF($M1420="","",$M1420-$B1420),IF(设置!$B$6&lt;$B1420,"",IF((设置!$B$6-$B1420)&gt;=设置!$B$5,"超期"&amp;(设置!$B$6-$B1420)&amp;"天","已等"&amp;(设置!$B$6-$B1420)&amp;"天"))))</f>
        <v/>
      </c>
      <c r="O1420" s="18" t="str">
        <f aca="false">IF(OR($D1420="",$E1420=""),"",COUNTIFS($D$7:$D1420,$D1420,$E$7:$E1420,$E1420))</f>
        <v/>
      </c>
      <c r="P1420" s="16"/>
      <c r="Q1420" s="19"/>
      <c r="R1420" s="10"/>
      <c r="S1420" s="16"/>
      <c r="T1420" s="0" t="str">
        <f aca="false">IF(OR($D1420="",单元查询!$B$3=""),"",IF($D1420&lt;&gt;单元查询!$B$3,"",IF(OR(单元查询!$D$3="",$E1420&amp;""=单元查询!$D$3&amp;""),IF(ISNUMBER($B1420),$B1420*10000,0)+ROW(),"")))</f>
        <v/>
      </c>
      <c r="U1420" s="0" t="str">
        <f aca="false">IF(OR($B1420="",$L1420="已完成"),"",IF(ISNUMBER($B1420),IF(设置!$B$6&lt;$B1420,"",(设置!$B$6-$B1420)*100000+ROW()),""))</f>
        <v/>
      </c>
      <c r="V1420" s="0" t="str">
        <f aca="false">IF(ISNUMBER($O1420),IF($O1420&gt;=2,IF(COUNTIFS($D1420:$D$2006,$D1420,$E1420:$E$2006,$E1420)=1,ROW(),""),""),"")</f>
        <v/>
      </c>
    </row>
    <row r="1421" customFormat="false" ht="15" hidden="false" customHeight="true" outlineLevel="0" collapsed="false">
      <c r="A1421" s="13" t="str">
        <f aca="false">IF(AND($B1421="",$D1421="",$E1421="",$F1421=""),"",IF(OR($B1421="",$D1421="",$E1421=""),"待补",IF($D1421="公共区域","公",IF($D1421="商铺","S",SUBSTITUTE($D1421,"栋","")))&amp;"-"&amp;$E1421&amp;"-"&amp;TEXT(MONTH($B1421),"00")&amp;TEXT(DAY($B1421),"00")&amp;IF(ISNUMBER($O1421),IF($O1421&gt;1,"-"&amp;TEXT($O1421,"00"),""),"")))</f>
        <v/>
      </c>
      <c r="B1421" s="14"/>
      <c r="C1421" s="10"/>
      <c r="D1421" s="10"/>
      <c r="E1421" s="10"/>
      <c r="F1421" s="16"/>
      <c r="G1421" s="10"/>
      <c r="H1421" s="10"/>
      <c r="I1421" s="10"/>
      <c r="J1421" s="10"/>
      <c r="K1421" s="10"/>
      <c r="L1421" s="10"/>
      <c r="M1421" s="14"/>
      <c r="N1421" s="17" t="str">
        <f aca="false">IF($B1421="","",IF($L1421="已完成",IF($M1421="","",$M1421-$B1421),IF(设置!$B$6&lt;$B1421,"",IF((设置!$B$6-$B1421)&gt;=设置!$B$5,"超期"&amp;(设置!$B$6-$B1421)&amp;"天","已等"&amp;(设置!$B$6-$B1421)&amp;"天"))))</f>
        <v/>
      </c>
      <c r="O1421" s="18" t="str">
        <f aca="false">IF(OR($D1421="",$E1421=""),"",COUNTIFS($D$7:$D1421,$D1421,$E$7:$E1421,$E1421))</f>
        <v/>
      </c>
      <c r="P1421" s="16"/>
      <c r="Q1421" s="19"/>
      <c r="R1421" s="10"/>
      <c r="S1421" s="16"/>
      <c r="T1421" s="0" t="str">
        <f aca="false">IF(OR($D1421="",单元查询!$B$3=""),"",IF($D1421&lt;&gt;单元查询!$B$3,"",IF(OR(单元查询!$D$3="",$E1421&amp;""=单元查询!$D$3&amp;""),IF(ISNUMBER($B1421),$B1421*10000,0)+ROW(),"")))</f>
        <v/>
      </c>
      <c r="U1421" s="0" t="str">
        <f aca="false">IF(OR($B1421="",$L1421="已完成"),"",IF(ISNUMBER($B1421),IF(设置!$B$6&lt;$B1421,"",(设置!$B$6-$B1421)*100000+ROW()),""))</f>
        <v/>
      </c>
      <c r="V1421" s="0" t="str">
        <f aca="false">IF(ISNUMBER($O1421),IF($O1421&gt;=2,IF(COUNTIFS($D1421:$D$2006,$D1421,$E1421:$E$2006,$E1421)=1,ROW(),""),""),"")</f>
        <v/>
      </c>
    </row>
    <row r="1422" customFormat="false" ht="15" hidden="false" customHeight="true" outlineLevel="0" collapsed="false">
      <c r="A1422" s="13" t="str">
        <f aca="false">IF(AND($B1422="",$D1422="",$E1422="",$F1422=""),"",IF(OR($B1422="",$D1422="",$E1422=""),"待补",IF($D1422="公共区域","公",IF($D1422="商铺","S",SUBSTITUTE($D1422,"栋","")))&amp;"-"&amp;$E1422&amp;"-"&amp;TEXT(MONTH($B1422),"00")&amp;TEXT(DAY($B1422),"00")&amp;IF(ISNUMBER($O1422),IF($O1422&gt;1,"-"&amp;TEXT($O1422,"00"),""),"")))</f>
        <v/>
      </c>
      <c r="B1422" s="14"/>
      <c r="C1422" s="10"/>
      <c r="D1422" s="10"/>
      <c r="E1422" s="10"/>
      <c r="F1422" s="16"/>
      <c r="G1422" s="10"/>
      <c r="H1422" s="10"/>
      <c r="I1422" s="10"/>
      <c r="J1422" s="10"/>
      <c r="K1422" s="10"/>
      <c r="L1422" s="10"/>
      <c r="M1422" s="14"/>
      <c r="N1422" s="17" t="str">
        <f aca="false">IF($B1422="","",IF($L1422="已完成",IF($M1422="","",$M1422-$B1422),IF(设置!$B$6&lt;$B1422,"",IF((设置!$B$6-$B1422)&gt;=设置!$B$5,"超期"&amp;(设置!$B$6-$B1422)&amp;"天","已等"&amp;(设置!$B$6-$B1422)&amp;"天"))))</f>
        <v/>
      </c>
      <c r="O1422" s="18" t="str">
        <f aca="false">IF(OR($D1422="",$E1422=""),"",COUNTIFS($D$7:$D1422,$D1422,$E$7:$E1422,$E1422))</f>
        <v/>
      </c>
      <c r="P1422" s="16"/>
      <c r="Q1422" s="19"/>
      <c r="R1422" s="10"/>
      <c r="S1422" s="16"/>
      <c r="T1422" s="0" t="str">
        <f aca="false">IF(OR($D1422="",单元查询!$B$3=""),"",IF($D1422&lt;&gt;单元查询!$B$3,"",IF(OR(单元查询!$D$3="",$E1422&amp;""=单元查询!$D$3&amp;""),IF(ISNUMBER($B1422),$B1422*10000,0)+ROW(),"")))</f>
        <v/>
      </c>
      <c r="U1422" s="0" t="str">
        <f aca="false">IF(OR($B1422="",$L1422="已完成"),"",IF(ISNUMBER($B1422),IF(设置!$B$6&lt;$B1422,"",(设置!$B$6-$B1422)*100000+ROW()),""))</f>
        <v/>
      </c>
      <c r="V1422" s="0" t="str">
        <f aca="false">IF(ISNUMBER($O1422),IF($O1422&gt;=2,IF(COUNTIFS($D1422:$D$2006,$D1422,$E1422:$E$2006,$E1422)=1,ROW(),""),""),"")</f>
        <v/>
      </c>
    </row>
    <row r="1423" customFormat="false" ht="15" hidden="false" customHeight="true" outlineLevel="0" collapsed="false">
      <c r="A1423" s="13" t="str">
        <f aca="false">IF(AND($B1423="",$D1423="",$E1423="",$F1423=""),"",IF(OR($B1423="",$D1423="",$E1423=""),"待补",IF($D1423="公共区域","公",IF($D1423="商铺","S",SUBSTITUTE($D1423,"栋","")))&amp;"-"&amp;$E1423&amp;"-"&amp;TEXT(MONTH($B1423),"00")&amp;TEXT(DAY($B1423),"00")&amp;IF(ISNUMBER($O1423),IF($O1423&gt;1,"-"&amp;TEXT($O1423,"00"),""),"")))</f>
        <v/>
      </c>
      <c r="B1423" s="14"/>
      <c r="C1423" s="10"/>
      <c r="D1423" s="10"/>
      <c r="E1423" s="10"/>
      <c r="F1423" s="16"/>
      <c r="G1423" s="10"/>
      <c r="H1423" s="10"/>
      <c r="I1423" s="10"/>
      <c r="J1423" s="10"/>
      <c r="K1423" s="10"/>
      <c r="L1423" s="10"/>
      <c r="M1423" s="14"/>
      <c r="N1423" s="17" t="str">
        <f aca="false">IF($B1423="","",IF($L1423="已完成",IF($M1423="","",$M1423-$B1423),IF(设置!$B$6&lt;$B1423,"",IF((设置!$B$6-$B1423)&gt;=设置!$B$5,"超期"&amp;(设置!$B$6-$B1423)&amp;"天","已等"&amp;(设置!$B$6-$B1423)&amp;"天"))))</f>
        <v/>
      </c>
      <c r="O1423" s="18" t="str">
        <f aca="false">IF(OR($D1423="",$E1423=""),"",COUNTIFS($D$7:$D1423,$D1423,$E$7:$E1423,$E1423))</f>
        <v/>
      </c>
      <c r="P1423" s="16"/>
      <c r="Q1423" s="19"/>
      <c r="R1423" s="10"/>
      <c r="S1423" s="16"/>
      <c r="T1423" s="0" t="str">
        <f aca="false">IF(OR($D1423="",单元查询!$B$3=""),"",IF($D1423&lt;&gt;单元查询!$B$3,"",IF(OR(单元查询!$D$3="",$E1423&amp;""=单元查询!$D$3&amp;""),IF(ISNUMBER($B1423),$B1423*10000,0)+ROW(),"")))</f>
        <v/>
      </c>
      <c r="U1423" s="0" t="str">
        <f aca="false">IF(OR($B1423="",$L1423="已完成"),"",IF(ISNUMBER($B1423),IF(设置!$B$6&lt;$B1423,"",(设置!$B$6-$B1423)*100000+ROW()),""))</f>
        <v/>
      </c>
      <c r="V1423" s="0" t="str">
        <f aca="false">IF(ISNUMBER($O1423),IF($O1423&gt;=2,IF(COUNTIFS($D1423:$D$2006,$D1423,$E1423:$E$2006,$E1423)=1,ROW(),""),""),"")</f>
        <v/>
      </c>
    </row>
    <row r="1424" customFormat="false" ht="15" hidden="false" customHeight="true" outlineLevel="0" collapsed="false">
      <c r="A1424" s="13" t="str">
        <f aca="false">IF(AND($B1424="",$D1424="",$E1424="",$F1424=""),"",IF(OR($B1424="",$D1424="",$E1424=""),"待补",IF($D1424="公共区域","公",IF($D1424="商铺","S",SUBSTITUTE($D1424,"栋","")))&amp;"-"&amp;$E1424&amp;"-"&amp;TEXT(MONTH($B1424),"00")&amp;TEXT(DAY($B1424),"00")&amp;IF(ISNUMBER($O1424),IF($O1424&gt;1,"-"&amp;TEXT($O1424,"00"),""),"")))</f>
        <v/>
      </c>
      <c r="B1424" s="14"/>
      <c r="C1424" s="10"/>
      <c r="D1424" s="10"/>
      <c r="E1424" s="10"/>
      <c r="F1424" s="16"/>
      <c r="G1424" s="10"/>
      <c r="H1424" s="10"/>
      <c r="I1424" s="10"/>
      <c r="J1424" s="10"/>
      <c r="K1424" s="10"/>
      <c r="L1424" s="10"/>
      <c r="M1424" s="14"/>
      <c r="N1424" s="17" t="str">
        <f aca="false">IF($B1424="","",IF($L1424="已完成",IF($M1424="","",$M1424-$B1424),IF(设置!$B$6&lt;$B1424,"",IF((设置!$B$6-$B1424)&gt;=设置!$B$5,"超期"&amp;(设置!$B$6-$B1424)&amp;"天","已等"&amp;(设置!$B$6-$B1424)&amp;"天"))))</f>
        <v/>
      </c>
      <c r="O1424" s="18" t="str">
        <f aca="false">IF(OR($D1424="",$E1424=""),"",COUNTIFS($D$7:$D1424,$D1424,$E$7:$E1424,$E1424))</f>
        <v/>
      </c>
      <c r="P1424" s="16"/>
      <c r="Q1424" s="19"/>
      <c r="R1424" s="10"/>
      <c r="S1424" s="16"/>
      <c r="T1424" s="0" t="str">
        <f aca="false">IF(OR($D1424="",单元查询!$B$3=""),"",IF($D1424&lt;&gt;单元查询!$B$3,"",IF(OR(单元查询!$D$3="",$E1424&amp;""=单元查询!$D$3&amp;""),IF(ISNUMBER($B1424),$B1424*10000,0)+ROW(),"")))</f>
        <v/>
      </c>
      <c r="U1424" s="0" t="str">
        <f aca="false">IF(OR($B1424="",$L1424="已完成"),"",IF(ISNUMBER($B1424),IF(设置!$B$6&lt;$B1424,"",(设置!$B$6-$B1424)*100000+ROW()),""))</f>
        <v/>
      </c>
      <c r="V1424" s="0" t="str">
        <f aca="false">IF(ISNUMBER($O1424),IF($O1424&gt;=2,IF(COUNTIFS($D1424:$D$2006,$D1424,$E1424:$E$2006,$E1424)=1,ROW(),""),""),"")</f>
        <v/>
      </c>
    </row>
    <row r="1425" customFormat="false" ht="15" hidden="false" customHeight="true" outlineLevel="0" collapsed="false">
      <c r="A1425" s="13" t="str">
        <f aca="false">IF(AND($B1425="",$D1425="",$E1425="",$F1425=""),"",IF(OR($B1425="",$D1425="",$E1425=""),"待补",IF($D1425="公共区域","公",IF($D1425="商铺","S",SUBSTITUTE($D1425,"栋","")))&amp;"-"&amp;$E1425&amp;"-"&amp;TEXT(MONTH($B1425),"00")&amp;TEXT(DAY($B1425),"00")&amp;IF(ISNUMBER($O1425),IF($O1425&gt;1,"-"&amp;TEXT($O1425,"00"),""),"")))</f>
        <v/>
      </c>
      <c r="B1425" s="14"/>
      <c r="C1425" s="10"/>
      <c r="D1425" s="10"/>
      <c r="E1425" s="10"/>
      <c r="F1425" s="16"/>
      <c r="G1425" s="10"/>
      <c r="H1425" s="10"/>
      <c r="I1425" s="10"/>
      <c r="J1425" s="10"/>
      <c r="K1425" s="10"/>
      <c r="L1425" s="10"/>
      <c r="M1425" s="14"/>
      <c r="N1425" s="17" t="str">
        <f aca="false">IF($B1425="","",IF($L1425="已完成",IF($M1425="","",$M1425-$B1425),IF(设置!$B$6&lt;$B1425,"",IF((设置!$B$6-$B1425)&gt;=设置!$B$5,"超期"&amp;(设置!$B$6-$B1425)&amp;"天","已等"&amp;(设置!$B$6-$B1425)&amp;"天"))))</f>
        <v/>
      </c>
      <c r="O1425" s="18" t="str">
        <f aca="false">IF(OR($D1425="",$E1425=""),"",COUNTIFS($D$7:$D1425,$D1425,$E$7:$E1425,$E1425))</f>
        <v/>
      </c>
      <c r="P1425" s="16"/>
      <c r="Q1425" s="19"/>
      <c r="R1425" s="10"/>
      <c r="S1425" s="16"/>
      <c r="T1425" s="0" t="str">
        <f aca="false">IF(OR($D1425="",单元查询!$B$3=""),"",IF($D1425&lt;&gt;单元查询!$B$3,"",IF(OR(单元查询!$D$3="",$E1425&amp;""=单元查询!$D$3&amp;""),IF(ISNUMBER($B1425),$B1425*10000,0)+ROW(),"")))</f>
        <v/>
      </c>
      <c r="U1425" s="0" t="str">
        <f aca="false">IF(OR($B1425="",$L1425="已完成"),"",IF(ISNUMBER($B1425),IF(设置!$B$6&lt;$B1425,"",(设置!$B$6-$B1425)*100000+ROW()),""))</f>
        <v/>
      </c>
      <c r="V1425" s="0" t="str">
        <f aca="false">IF(ISNUMBER($O1425),IF($O1425&gt;=2,IF(COUNTIFS($D1425:$D$2006,$D1425,$E1425:$E$2006,$E1425)=1,ROW(),""),""),"")</f>
        <v/>
      </c>
    </row>
    <row r="1426" customFormat="false" ht="15" hidden="false" customHeight="true" outlineLevel="0" collapsed="false">
      <c r="A1426" s="13" t="str">
        <f aca="false">IF(AND($B1426="",$D1426="",$E1426="",$F1426=""),"",IF(OR($B1426="",$D1426="",$E1426=""),"待补",IF($D1426="公共区域","公",IF($D1426="商铺","S",SUBSTITUTE($D1426,"栋","")))&amp;"-"&amp;$E1426&amp;"-"&amp;TEXT(MONTH($B1426),"00")&amp;TEXT(DAY($B1426),"00")&amp;IF(ISNUMBER($O1426),IF($O1426&gt;1,"-"&amp;TEXT($O1426,"00"),""),"")))</f>
        <v/>
      </c>
      <c r="B1426" s="14"/>
      <c r="C1426" s="10"/>
      <c r="D1426" s="10"/>
      <c r="E1426" s="10"/>
      <c r="F1426" s="16"/>
      <c r="G1426" s="10"/>
      <c r="H1426" s="10"/>
      <c r="I1426" s="10"/>
      <c r="J1426" s="10"/>
      <c r="K1426" s="10"/>
      <c r="L1426" s="10"/>
      <c r="M1426" s="14"/>
      <c r="N1426" s="17" t="str">
        <f aca="false">IF($B1426="","",IF($L1426="已完成",IF($M1426="","",$M1426-$B1426),IF(设置!$B$6&lt;$B1426,"",IF((设置!$B$6-$B1426)&gt;=设置!$B$5,"超期"&amp;(设置!$B$6-$B1426)&amp;"天","已等"&amp;(设置!$B$6-$B1426)&amp;"天"))))</f>
        <v/>
      </c>
      <c r="O1426" s="18" t="str">
        <f aca="false">IF(OR($D1426="",$E1426=""),"",COUNTIFS($D$7:$D1426,$D1426,$E$7:$E1426,$E1426))</f>
        <v/>
      </c>
      <c r="P1426" s="16"/>
      <c r="Q1426" s="19"/>
      <c r="R1426" s="10"/>
      <c r="S1426" s="16"/>
      <c r="T1426" s="0" t="str">
        <f aca="false">IF(OR($D1426="",单元查询!$B$3=""),"",IF($D1426&lt;&gt;单元查询!$B$3,"",IF(OR(单元查询!$D$3="",$E1426&amp;""=单元查询!$D$3&amp;""),IF(ISNUMBER($B1426),$B1426*10000,0)+ROW(),"")))</f>
        <v/>
      </c>
      <c r="U1426" s="0" t="str">
        <f aca="false">IF(OR($B1426="",$L1426="已完成"),"",IF(ISNUMBER($B1426),IF(设置!$B$6&lt;$B1426,"",(设置!$B$6-$B1426)*100000+ROW()),""))</f>
        <v/>
      </c>
      <c r="V1426" s="0" t="str">
        <f aca="false">IF(ISNUMBER($O1426),IF($O1426&gt;=2,IF(COUNTIFS($D1426:$D$2006,$D1426,$E1426:$E$2006,$E1426)=1,ROW(),""),""),"")</f>
        <v/>
      </c>
    </row>
    <row r="1427" customFormat="false" ht="15" hidden="false" customHeight="true" outlineLevel="0" collapsed="false">
      <c r="A1427" s="13" t="str">
        <f aca="false">IF(AND($B1427="",$D1427="",$E1427="",$F1427=""),"",IF(OR($B1427="",$D1427="",$E1427=""),"待补",IF($D1427="公共区域","公",IF($D1427="商铺","S",SUBSTITUTE($D1427,"栋","")))&amp;"-"&amp;$E1427&amp;"-"&amp;TEXT(MONTH($B1427),"00")&amp;TEXT(DAY($B1427),"00")&amp;IF(ISNUMBER($O1427),IF($O1427&gt;1,"-"&amp;TEXT($O1427,"00"),""),"")))</f>
        <v/>
      </c>
      <c r="B1427" s="14"/>
      <c r="C1427" s="10"/>
      <c r="D1427" s="10"/>
      <c r="E1427" s="10"/>
      <c r="F1427" s="16"/>
      <c r="G1427" s="10"/>
      <c r="H1427" s="10"/>
      <c r="I1427" s="10"/>
      <c r="J1427" s="10"/>
      <c r="K1427" s="10"/>
      <c r="L1427" s="10"/>
      <c r="M1427" s="14"/>
      <c r="N1427" s="17" t="str">
        <f aca="false">IF($B1427="","",IF($L1427="已完成",IF($M1427="","",$M1427-$B1427),IF(设置!$B$6&lt;$B1427,"",IF((设置!$B$6-$B1427)&gt;=设置!$B$5,"超期"&amp;(设置!$B$6-$B1427)&amp;"天","已等"&amp;(设置!$B$6-$B1427)&amp;"天"))))</f>
        <v/>
      </c>
      <c r="O1427" s="18" t="str">
        <f aca="false">IF(OR($D1427="",$E1427=""),"",COUNTIFS($D$7:$D1427,$D1427,$E$7:$E1427,$E1427))</f>
        <v/>
      </c>
      <c r="P1427" s="16"/>
      <c r="Q1427" s="19"/>
      <c r="R1427" s="10"/>
      <c r="S1427" s="16"/>
      <c r="T1427" s="0" t="str">
        <f aca="false">IF(OR($D1427="",单元查询!$B$3=""),"",IF($D1427&lt;&gt;单元查询!$B$3,"",IF(OR(单元查询!$D$3="",$E1427&amp;""=单元查询!$D$3&amp;""),IF(ISNUMBER($B1427),$B1427*10000,0)+ROW(),"")))</f>
        <v/>
      </c>
      <c r="U1427" s="0" t="str">
        <f aca="false">IF(OR($B1427="",$L1427="已完成"),"",IF(ISNUMBER($B1427),IF(设置!$B$6&lt;$B1427,"",(设置!$B$6-$B1427)*100000+ROW()),""))</f>
        <v/>
      </c>
      <c r="V1427" s="0" t="str">
        <f aca="false">IF(ISNUMBER($O1427),IF($O1427&gt;=2,IF(COUNTIFS($D1427:$D$2006,$D1427,$E1427:$E$2006,$E1427)=1,ROW(),""),""),"")</f>
        <v/>
      </c>
    </row>
    <row r="1428" customFormat="false" ht="15" hidden="false" customHeight="true" outlineLevel="0" collapsed="false">
      <c r="A1428" s="13" t="str">
        <f aca="false">IF(AND($B1428="",$D1428="",$E1428="",$F1428=""),"",IF(OR($B1428="",$D1428="",$E1428=""),"待补",IF($D1428="公共区域","公",IF($D1428="商铺","S",SUBSTITUTE($D1428,"栋","")))&amp;"-"&amp;$E1428&amp;"-"&amp;TEXT(MONTH($B1428),"00")&amp;TEXT(DAY($B1428),"00")&amp;IF(ISNUMBER($O1428),IF($O1428&gt;1,"-"&amp;TEXT($O1428,"00"),""),"")))</f>
        <v/>
      </c>
      <c r="B1428" s="14"/>
      <c r="C1428" s="10"/>
      <c r="D1428" s="10"/>
      <c r="E1428" s="10"/>
      <c r="F1428" s="16"/>
      <c r="G1428" s="10"/>
      <c r="H1428" s="10"/>
      <c r="I1428" s="10"/>
      <c r="J1428" s="10"/>
      <c r="K1428" s="10"/>
      <c r="L1428" s="10"/>
      <c r="M1428" s="14"/>
      <c r="N1428" s="17" t="str">
        <f aca="false">IF($B1428="","",IF($L1428="已完成",IF($M1428="","",$M1428-$B1428),IF(设置!$B$6&lt;$B1428,"",IF((设置!$B$6-$B1428)&gt;=设置!$B$5,"超期"&amp;(设置!$B$6-$B1428)&amp;"天","已等"&amp;(设置!$B$6-$B1428)&amp;"天"))))</f>
        <v/>
      </c>
      <c r="O1428" s="18" t="str">
        <f aca="false">IF(OR($D1428="",$E1428=""),"",COUNTIFS($D$7:$D1428,$D1428,$E$7:$E1428,$E1428))</f>
        <v/>
      </c>
      <c r="P1428" s="16"/>
      <c r="Q1428" s="19"/>
      <c r="R1428" s="10"/>
      <c r="S1428" s="16"/>
      <c r="T1428" s="0" t="str">
        <f aca="false">IF(OR($D1428="",单元查询!$B$3=""),"",IF($D1428&lt;&gt;单元查询!$B$3,"",IF(OR(单元查询!$D$3="",$E1428&amp;""=单元查询!$D$3&amp;""),IF(ISNUMBER($B1428),$B1428*10000,0)+ROW(),"")))</f>
        <v/>
      </c>
      <c r="U1428" s="0" t="str">
        <f aca="false">IF(OR($B1428="",$L1428="已完成"),"",IF(ISNUMBER($B1428),IF(设置!$B$6&lt;$B1428,"",(设置!$B$6-$B1428)*100000+ROW()),""))</f>
        <v/>
      </c>
      <c r="V1428" s="0" t="str">
        <f aca="false">IF(ISNUMBER($O1428),IF($O1428&gt;=2,IF(COUNTIFS($D1428:$D$2006,$D1428,$E1428:$E$2006,$E1428)=1,ROW(),""),""),"")</f>
        <v/>
      </c>
    </row>
    <row r="1429" customFormat="false" ht="15" hidden="false" customHeight="true" outlineLevel="0" collapsed="false">
      <c r="A1429" s="13" t="str">
        <f aca="false">IF(AND($B1429="",$D1429="",$E1429="",$F1429=""),"",IF(OR($B1429="",$D1429="",$E1429=""),"待补",IF($D1429="公共区域","公",IF($D1429="商铺","S",SUBSTITUTE($D1429,"栋","")))&amp;"-"&amp;$E1429&amp;"-"&amp;TEXT(MONTH($B1429),"00")&amp;TEXT(DAY($B1429),"00")&amp;IF(ISNUMBER($O1429),IF($O1429&gt;1,"-"&amp;TEXT($O1429,"00"),""),"")))</f>
        <v/>
      </c>
      <c r="B1429" s="14"/>
      <c r="C1429" s="10"/>
      <c r="D1429" s="10"/>
      <c r="E1429" s="10"/>
      <c r="F1429" s="16"/>
      <c r="G1429" s="10"/>
      <c r="H1429" s="10"/>
      <c r="I1429" s="10"/>
      <c r="J1429" s="10"/>
      <c r="K1429" s="10"/>
      <c r="L1429" s="10"/>
      <c r="M1429" s="14"/>
      <c r="N1429" s="17" t="str">
        <f aca="false">IF($B1429="","",IF($L1429="已完成",IF($M1429="","",$M1429-$B1429),IF(设置!$B$6&lt;$B1429,"",IF((设置!$B$6-$B1429)&gt;=设置!$B$5,"超期"&amp;(设置!$B$6-$B1429)&amp;"天","已等"&amp;(设置!$B$6-$B1429)&amp;"天"))))</f>
        <v/>
      </c>
      <c r="O1429" s="18" t="str">
        <f aca="false">IF(OR($D1429="",$E1429=""),"",COUNTIFS($D$7:$D1429,$D1429,$E$7:$E1429,$E1429))</f>
        <v/>
      </c>
      <c r="P1429" s="16"/>
      <c r="Q1429" s="19"/>
      <c r="R1429" s="10"/>
      <c r="S1429" s="16"/>
      <c r="T1429" s="0" t="str">
        <f aca="false">IF(OR($D1429="",单元查询!$B$3=""),"",IF($D1429&lt;&gt;单元查询!$B$3,"",IF(OR(单元查询!$D$3="",$E1429&amp;""=单元查询!$D$3&amp;""),IF(ISNUMBER($B1429),$B1429*10000,0)+ROW(),"")))</f>
        <v/>
      </c>
      <c r="U1429" s="0" t="str">
        <f aca="false">IF(OR($B1429="",$L1429="已完成"),"",IF(ISNUMBER($B1429),IF(设置!$B$6&lt;$B1429,"",(设置!$B$6-$B1429)*100000+ROW()),""))</f>
        <v/>
      </c>
      <c r="V1429" s="0" t="str">
        <f aca="false">IF(ISNUMBER($O1429),IF($O1429&gt;=2,IF(COUNTIFS($D1429:$D$2006,$D1429,$E1429:$E$2006,$E1429)=1,ROW(),""),""),"")</f>
        <v/>
      </c>
    </row>
    <row r="1430" customFormat="false" ht="15" hidden="false" customHeight="true" outlineLevel="0" collapsed="false">
      <c r="A1430" s="13" t="str">
        <f aca="false">IF(AND($B1430="",$D1430="",$E1430="",$F1430=""),"",IF(OR($B1430="",$D1430="",$E1430=""),"待补",IF($D1430="公共区域","公",IF($D1430="商铺","S",SUBSTITUTE($D1430,"栋","")))&amp;"-"&amp;$E1430&amp;"-"&amp;TEXT(MONTH($B1430),"00")&amp;TEXT(DAY($B1430),"00")&amp;IF(ISNUMBER($O1430),IF($O1430&gt;1,"-"&amp;TEXT($O1430,"00"),""),"")))</f>
        <v/>
      </c>
      <c r="B1430" s="14"/>
      <c r="C1430" s="10"/>
      <c r="D1430" s="10"/>
      <c r="E1430" s="10"/>
      <c r="F1430" s="16"/>
      <c r="G1430" s="10"/>
      <c r="H1430" s="10"/>
      <c r="I1430" s="10"/>
      <c r="J1430" s="10"/>
      <c r="K1430" s="10"/>
      <c r="L1430" s="10"/>
      <c r="M1430" s="14"/>
      <c r="N1430" s="17" t="str">
        <f aca="false">IF($B1430="","",IF($L1430="已完成",IF($M1430="","",$M1430-$B1430),IF(设置!$B$6&lt;$B1430,"",IF((设置!$B$6-$B1430)&gt;=设置!$B$5,"超期"&amp;(设置!$B$6-$B1430)&amp;"天","已等"&amp;(设置!$B$6-$B1430)&amp;"天"))))</f>
        <v/>
      </c>
      <c r="O1430" s="18" t="str">
        <f aca="false">IF(OR($D1430="",$E1430=""),"",COUNTIFS($D$7:$D1430,$D1430,$E$7:$E1430,$E1430))</f>
        <v/>
      </c>
      <c r="P1430" s="16"/>
      <c r="Q1430" s="19"/>
      <c r="R1430" s="10"/>
      <c r="S1430" s="16"/>
      <c r="T1430" s="0" t="str">
        <f aca="false">IF(OR($D1430="",单元查询!$B$3=""),"",IF($D1430&lt;&gt;单元查询!$B$3,"",IF(OR(单元查询!$D$3="",$E1430&amp;""=单元查询!$D$3&amp;""),IF(ISNUMBER($B1430),$B1430*10000,0)+ROW(),"")))</f>
        <v/>
      </c>
      <c r="U1430" s="0" t="str">
        <f aca="false">IF(OR($B1430="",$L1430="已完成"),"",IF(ISNUMBER($B1430),IF(设置!$B$6&lt;$B1430,"",(设置!$B$6-$B1430)*100000+ROW()),""))</f>
        <v/>
      </c>
      <c r="V1430" s="0" t="str">
        <f aca="false">IF(ISNUMBER($O1430),IF($O1430&gt;=2,IF(COUNTIFS($D1430:$D$2006,$D1430,$E1430:$E$2006,$E1430)=1,ROW(),""),""),"")</f>
        <v/>
      </c>
    </row>
    <row r="1431" customFormat="false" ht="15" hidden="false" customHeight="true" outlineLevel="0" collapsed="false">
      <c r="A1431" s="13" t="str">
        <f aca="false">IF(AND($B1431="",$D1431="",$E1431="",$F1431=""),"",IF(OR($B1431="",$D1431="",$E1431=""),"待补",IF($D1431="公共区域","公",IF($D1431="商铺","S",SUBSTITUTE($D1431,"栋","")))&amp;"-"&amp;$E1431&amp;"-"&amp;TEXT(MONTH($B1431),"00")&amp;TEXT(DAY($B1431),"00")&amp;IF(ISNUMBER($O1431),IF($O1431&gt;1,"-"&amp;TEXT($O1431,"00"),""),"")))</f>
        <v/>
      </c>
      <c r="B1431" s="14"/>
      <c r="C1431" s="10"/>
      <c r="D1431" s="10"/>
      <c r="E1431" s="10"/>
      <c r="F1431" s="16"/>
      <c r="G1431" s="10"/>
      <c r="H1431" s="10"/>
      <c r="I1431" s="10"/>
      <c r="J1431" s="10"/>
      <c r="K1431" s="10"/>
      <c r="L1431" s="10"/>
      <c r="M1431" s="14"/>
      <c r="N1431" s="17" t="str">
        <f aca="false">IF($B1431="","",IF($L1431="已完成",IF($M1431="","",$M1431-$B1431),IF(设置!$B$6&lt;$B1431,"",IF((设置!$B$6-$B1431)&gt;=设置!$B$5,"超期"&amp;(设置!$B$6-$B1431)&amp;"天","已等"&amp;(设置!$B$6-$B1431)&amp;"天"))))</f>
        <v/>
      </c>
      <c r="O1431" s="18" t="str">
        <f aca="false">IF(OR($D1431="",$E1431=""),"",COUNTIFS($D$7:$D1431,$D1431,$E$7:$E1431,$E1431))</f>
        <v/>
      </c>
      <c r="P1431" s="16"/>
      <c r="Q1431" s="19"/>
      <c r="R1431" s="10"/>
      <c r="S1431" s="16"/>
      <c r="T1431" s="0" t="str">
        <f aca="false">IF(OR($D1431="",单元查询!$B$3=""),"",IF($D1431&lt;&gt;单元查询!$B$3,"",IF(OR(单元查询!$D$3="",$E1431&amp;""=单元查询!$D$3&amp;""),IF(ISNUMBER($B1431),$B1431*10000,0)+ROW(),"")))</f>
        <v/>
      </c>
      <c r="U1431" s="0" t="str">
        <f aca="false">IF(OR($B1431="",$L1431="已完成"),"",IF(ISNUMBER($B1431),IF(设置!$B$6&lt;$B1431,"",(设置!$B$6-$B1431)*100000+ROW()),""))</f>
        <v/>
      </c>
      <c r="V1431" s="0" t="str">
        <f aca="false">IF(ISNUMBER($O1431),IF($O1431&gt;=2,IF(COUNTIFS($D1431:$D$2006,$D1431,$E1431:$E$2006,$E1431)=1,ROW(),""),""),"")</f>
        <v/>
      </c>
    </row>
    <row r="1432" customFormat="false" ht="15" hidden="false" customHeight="true" outlineLevel="0" collapsed="false">
      <c r="A1432" s="13" t="str">
        <f aca="false">IF(AND($B1432="",$D1432="",$E1432="",$F1432=""),"",IF(OR($B1432="",$D1432="",$E1432=""),"待补",IF($D1432="公共区域","公",IF($D1432="商铺","S",SUBSTITUTE($D1432,"栋","")))&amp;"-"&amp;$E1432&amp;"-"&amp;TEXT(MONTH($B1432),"00")&amp;TEXT(DAY($B1432),"00")&amp;IF(ISNUMBER($O1432),IF($O1432&gt;1,"-"&amp;TEXT($O1432,"00"),""),"")))</f>
        <v/>
      </c>
      <c r="B1432" s="14"/>
      <c r="C1432" s="10"/>
      <c r="D1432" s="10"/>
      <c r="E1432" s="10"/>
      <c r="F1432" s="16"/>
      <c r="G1432" s="10"/>
      <c r="H1432" s="10"/>
      <c r="I1432" s="10"/>
      <c r="J1432" s="10"/>
      <c r="K1432" s="10"/>
      <c r="L1432" s="10"/>
      <c r="M1432" s="14"/>
      <c r="N1432" s="17" t="str">
        <f aca="false">IF($B1432="","",IF($L1432="已完成",IF($M1432="","",$M1432-$B1432),IF(设置!$B$6&lt;$B1432,"",IF((设置!$B$6-$B1432)&gt;=设置!$B$5,"超期"&amp;(设置!$B$6-$B1432)&amp;"天","已等"&amp;(设置!$B$6-$B1432)&amp;"天"))))</f>
        <v/>
      </c>
      <c r="O1432" s="18" t="str">
        <f aca="false">IF(OR($D1432="",$E1432=""),"",COUNTIFS($D$7:$D1432,$D1432,$E$7:$E1432,$E1432))</f>
        <v/>
      </c>
      <c r="P1432" s="16"/>
      <c r="Q1432" s="19"/>
      <c r="R1432" s="10"/>
      <c r="S1432" s="16"/>
      <c r="T1432" s="0" t="str">
        <f aca="false">IF(OR($D1432="",单元查询!$B$3=""),"",IF($D1432&lt;&gt;单元查询!$B$3,"",IF(OR(单元查询!$D$3="",$E1432&amp;""=单元查询!$D$3&amp;""),IF(ISNUMBER($B1432),$B1432*10000,0)+ROW(),"")))</f>
        <v/>
      </c>
      <c r="U1432" s="0" t="str">
        <f aca="false">IF(OR($B1432="",$L1432="已完成"),"",IF(ISNUMBER($B1432),IF(设置!$B$6&lt;$B1432,"",(设置!$B$6-$B1432)*100000+ROW()),""))</f>
        <v/>
      </c>
      <c r="V1432" s="0" t="str">
        <f aca="false">IF(ISNUMBER($O1432),IF($O1432&gt;=2,IF(COUNTIFS($D1432:$D$2006,$D1432,$E1432:$E$2006,$E1432)=1,ROW(),""),""),"")</f>
        <v/>
      </c>
    </row>
    <row r="1433" customFormat="false" ht="15" hidden="false" customHeight="true" outlineLevel="0" collapsed="false">
      <c r="A1433" s="13" t="str">
        <f aca="false">IF(AND($B1433="",$D1433="",$E1433="",$F1433=""),"",IF(OR($B1433="",$D1433="",$E1433=""),"待补",IF($D1433="公共区域","公",IF($D1433="商铺","S",SUBSTITUTE($D1433,"栋","")))&amp;"-"&amp;$E1433&amp;"-"&amp;TEXT(MONTH($B1433),"00")&amp;TEXT(DAY($B1433),"00")&amp;IF(ISNUMBER($O1433),IF($O1433&gt;1,"-"&amp;TEXT($O1433,"00"),""),"")))</f>
        <v/>
      </c>
      <c r="B1433" s="14"/>
      <c r="C1433" s="10"/>
      <c r="D1433" s="10"/>
      <c r="E1433" s="10"/>
      <c r="F1433" s="16"/>
      <c r="G1433" s="10"/>
      <c r="H1433" s="10"/>
      <c r="I1433" s="10"/>
      <c r="J1433" s="10"/>
      <c r="K1433" s="10"/>
      <c r="L1433" s="10"/>
      <c r="M1433" s="14"/>
      <c r="N1433" s="17" t="str">
        <f aca="false">IF($B1433="","",IF($L1433="已完成",IF($M1433="","",$M1433-$B1433),IF(设置!$B$6&lt;$B1433,"",IF((设置!$B$6-$B1433)&gt;=设置!$B$5,"超期"&amp;(设置!$B$6-$B1433)&amp;"天","已等"&amp;(设置!$B$6-$B1433)&amp;"天"))))</f>
        <v/>
      </c>
      <c r="O1433" s="18" t="str">
        <f aca="false">IF(OR($D1433="",$E1433=""),"",COUNTIFS($D$7:$D1433,$D1433,$E$7:$E1433,$E1433))</f>
        <v/>
      </c>
      <c r="P1433" s="16"/>
      <c r="Q1433" s="19"/>
      <c r="R1433" s="10"/>
      <c r="S1433" s="16"/>
      <c r="T1433" s="0" t="str">
        <f aca="false">IF(OR($D1433="",单元查询!$B$3=""),"",IF($D1433&lt;&gt;单元查询!$B$3,"",IF(OR(单元查询!$D$3="",$E1433&amp;""=单元查询!$D$3&amp;""),IF(ISNUMBER($B1433),$B1433*10000,0)+ROW(),"")))</f>
        <v/>
      </c>
      <c r="U1433" s="0" t="str">
        <f aca="false">IF(OR($B1433="",$L1433="已完成"),"",IF(ISNUMBER($B1433),IF(设置!$B$6&lt;$B1433,"",(设置!$B$6-$B1433)*100000+ROW()),""))</f>
        <v/>
      </c>
      <c r="V1433" s="0" t="str">
        <f aca="false">IF(ISNUMBER($O1433),IF($O1433&gt;=2,IF(COUNTIFS($D1433:$D$2006,$D1433,$E1433:$E$2006,$E1433)=1,ROW(),""),""),"")</f>
        <v/>
      </c>
    </row>
    <row r="1434" customFormat="false" ht="15" hidden="false" customHeight="true" outlineLevel="0" collapsed="false">
      <c r="A1434" s="13" t="str">
        <f aca="false">IF(AND($B1434="",$D1434="",$E1434="",$F1434=""),"",IF(OR($B1434="",$D1434="",$E1434=""),"待补",IF($D1434="公共区域","公",IF($D1434="商铺","S",SUBSTITUTE($D1434,"栋","")))&amp;"-"&amp;$E1434&amp;"-"&amp;TEXT(MONTH($B1434),"00")&amp;TEXT(DAY($B1434),"00")&amp;IF(ISNUMBER($O1434),IF($O1434&gt;1,"-"&amp;TEXT($O1434,"00"),""),"")))</f>
        <v/>
      </c>
      <c r="B1434" s="14"/>
      <c r="C1434" s="10"/>
      <c r="D1434" s="10"/>
      <c r="E1434" s="10"/>
      <c r="F1434" s="16"/>
      <c r="G1434" s="10"/>
      <c r="H1434" s="10"/>
      <c r="I1434" s="10"/>
      <c r="J1434" s="10"/>
      <c r="K1434" s="10"/>
      <c r="L1434" s="10"/>
      <c r="M1434" s="14"/>
      <c r="N1434" s="17" t="str">
        <f aca="false">IF($B1434="","",IF($L1434="已完成",IF($M1434="","",$M1434-$B1434),IF(设置!$B$6&lt;$B1434,"",IF((设置!$B$6-$B1434)&gt;=设置!$B$5,"超期"&amp;(设置!$B$6-$B1434)&amp;"天","已等"&amp;(设置!$B$6-$B1434)&amp;"天"))))</f>
        <v/>
      </c>
      <c r="O1434" s="18" t="str">
        <f aca="false">IF(OR($D1434="",$E1434=""),"",COUNTIFS($D$7:$D1434,$D1434,$E$7:$E1434,$E1434))</f>
        <v/>
      </c>
      <c r="P1434" s="16"/>
      <c r="Q1434" s="19"/>
      <c r="R1434" s="10"/>
      <c r="S1434" s="16"/>
      <c r="T1434" s="0" t="str">
        <f aca="false">IF(OR($D1434="",单元查询!$B$3=""),"",IF($D1434&lt;&gt;单元查询!$B$3,"",IF(OR(单元查询!$D$3="",$E1434&amp;""=单元查询!$D$3&amp;""),IF(ISNUMBER($B1434),$B1434*10000,0)+ROW(),"")))</f>
        <v/>
      </c>
      <c r="U1434" s="0" t="str">
        <f aca="false">IF(OR($B1434="",$L1434="已完成"),"",IF(ISNUMBER($B1434),IF(设置!$B$6&lt;$B1434,"",(设置!$B$6-$B1434)*100000+ROW()),""))</f>
        <v/>
      </c>
      <c r="V1434" s="0" t="str">
        <f aca="false">IF(ISNUMBER($O1434),IF($O1434&gt;=2,IF(COUNTIFS($D1434:$D$2006,$D1434,$E1434:$E$2006,$E1434)=1,ROW(),""),""),"")</f>
        <v/>
      </c>
    </row>
    <row r="1435" customFormat="false" ht="15" hidden="false" customHeight="true" outlineLevel="0" collapsed="false">
      <c r="A1435" s="13" t="str">
        <f aca="false">IF(AND($B1435="",$D1435="",$E1435="",$F1435=""),"",IF(OR($B1435="",$D1435="",$E1435=""),"待补",IF($D1435="公共区域","公",IF($D1435="商铺","S",SUBSTITUTE($D1435,"栋","")))&amp;"-"&amp;$E1435&amp;"-"&amp;TEXT(MONTH($B1435),"00")&amp;TEXT(DAY($B1435),"00")&amp;IF(ISNUMBER($O1435),IF($O1435&gt;1,"-"&amp;TEXT($O1435,"00"),""),"")))</f>
        <v/>
      </c>
      <c r="B1435" s="14"/>
      <c r="C1435" s="10"/>
      <c r="D1435" s="10"/>
      <c r="E1435" s="10"/>
      <c r="F1435" s="16"/>
      <c r="G1435" s="10"/>
      <c r="H1435" s="10"/>
      <c r="I1435" s="10"/>
      <c r="J1435" s="10"/>
      <c r="K1435" s="10"/>
      <c r="L1435" s="10"/>
      <c r="M1435" s="14"/>
      <c r="N1435" s="17" t="str">
        <f aca="false">IF($B1435="","",IF($L1435="已完成",IF($M1435="","",$M1435-$B1435),IF(设置!$B$6&lt;$B1435,"",IF((设置!$B$6-$B1435)&gt;=设置!$B$5,"超期"&amp;(设置!$B$6-$B1435)&amp;"天","已等"&amp;(设置!$B$6-$B1435)&amp;"天"))))</f>
        <v/>
      </c>
      <c r="O1435" s="18" t="str">
        <f aca="false">IF(OR($D1435="",$E1435=""),"",COUNTIFS($D$7:$D1435,$D1435,$E$7:$E1435,$E1435))</f>
        <v/>
      </c>
      <c r="P1435" s="16"/>
      <c r="Q1435" s="19"/>
      <c r="R1435" s="10"/>
      <c r="S1435" s="16"/>
      <c r="T1435" s="0" t="str">
        <f aca="false">IF(OR($D1435="",单元查询!$B$3=""),"",IF($D1435&lt;&gt;单元查询!$B$3,"",IF(OR(单元查询!$D$3="",$E1435&amp;""=单元查询!$D$3&amp;""),IF(ISNUMBER($B1435),$B1435*10000,0)+ROW(),"")))</f>
        <v/>
      </c>
      <c r="U1435" s="0" t="str">
        <f aca="false">IF(OR($B1435="",$L1435="已完成"),"",IF(ISNUMBER($B1435),IF(设置!$B$6&lt;$B1435,"",(设置!$B$6-$B1435)*100000+ROW()),""))</f>
        <v/>
      </c>
      <c r="V1435" s="0" t="str">
        <f aca="false">IF(ISNUMBER($O1435),IF($O1435&gt;=2,IF(COUNTIFS($D1435:$D$2006,$D1435,$E1435:$E$2006,$E1435)=1,ROW(),""),""),"")</f>
        <v/>
      </c>
    </row>
    <row r="1436" customFormat="false" ht="15" hidden="false" customHeight="true" outlineLevel="0" collapsed="false">
      <c r="A1436" s="13" t="str">
        <f aca="false">IF(AND($B1436="",$D1436="",$E1436="",$F1436=""),"",IF(OR($B1436="",$D1436="",$E1436=""),"待补",IF($D1436="公共区域","公",IF($D1436="商铺","S",SUBSTITUTE($D1436,"栋","")))&amp;"-"&amp;$E1436&amp;"-"&amp;TEXT(MONTH($B1436),"00")&amp;TEXT(DAY($B1436),"00")&amp;IF(ISNUMBER($O1436),IF($O1436&gt;1,"-"&amp;TEXT($O1436,"00"),""),"")))</f>
        <v/>
      </c>
      <c r="B1436" s="14"/>
      <c r="C1436" s="10"/>
      <c r="D1436" s="10"/>
      <c r="E1436" s="10"/>
      <c r="F1436" s="16"/>
      <c r="G1436" s="10"/>
      <c r="H1436" s="10"/>
      <c r="I1436" s="10"/>
      <c r="J1436" s="10"/>
      <c r="K1436" s="10"/>
      <c r="L1436" s="10"/>
      <c r="M1436" s="14"/>
      <c r="N1436" s="17" t="str">
        <f aca="false">IF($B1436="","",IF($L1436="已完成",IF($M1436="","",$M1436-$B1436),IF(设置!$B$6&lt;$B1436,"",IF((设置!$B$6-$B1436)&gt;=设置!$B$5,"超期"&amp;(设置!$B$6-$B1436)&amp;"天","已等"&amp;(设置!$B$6-$B1436)&amp;"天"))))</f>
        <v/>
      </c>
      <c r="O1436" s="18" t="str">
        <f aca="false">IF(OR($D1436="",$E1436=""),"",COUNTIFS($D$7:$D1436,$D1436,$E$7:$E1436,$E1436))</f>
        <v/>
      </c>
      <c r="P1436" s="16"/>
      <c r="Q1436" s="19"/>
      <c r="R1436" s="10"/>
      <c r="S1436" s="16"/>
      <c r="T1436" s="0" t="str">
        <f aca="false">IF(OR($D1436="",单元查询!$B$3=""),"",IF($D1436&lt;&gt;单元查询!$B$3,"",IF(OR(单元查询!$D$3="",$E1436&amp;""=单元查询!$D$3&amp;""),IF(ISNUMBER($B1436),$B1436*10000,0)+ROW(),"")))</f>
        <v/>
      </c>
      <c r="U1436" s="0" t="str">
        <f aca="false">IF(OR($B1436="",$L1436="已完成"),"",IF(ISNUMBER($B1436),IF(设置!$B$6&lt;$B1436,"",(设置!$B$6-$B1436)*100000+ROW()),""))</f>
        <v/>
      </c>
      <c r="V1436" s="0" t="str">
        <f aca="false">IF(ISNUMBER($O1436),IF($O1436&gt;=2,IF(COUNTIFS($D1436:$D$2006,$D1436,$E1436:$E$2006,$E1436)=1,ROW(),""),""),"")</f>
        <v/>
      </c>
    </row>
    <row r="1437" customFormat="false" ht="15" hidden="false" customHeight="true" outlineLevel="0" collapsed="false">
      <c r="A1437" s="13" t="str">
        <f aca="false">IF(AND($B1437="",$D1437="",$E1437="",$F1437=""),"",IF(OR($B1437="",$D1437="",$E1437=""),"待补",IF($D1437="公共区域","公",IF($D1437="商铺","S",SUBSTITUTE($D1437,"栋","")))&amp;"-"&amp;$E1437&amp;"-"&amp;TEXT(MONTH($B1437),"00")&amp;TEXT(DAY($B1437),"00")&amp;IF(ISNUMBER($O1437),IF($O1437&gt;1,"-"&amp;TEXT($O1437,"00"),""),"")))</f>
        <v/>
      </c>
      <c r="B1437" s="14"/>
      <c r="C1437" s="10"/>
      <c r="D1437" s="10"/>
      <c r="E1437" s="10"/>
      <c r="F1437" s="16"/>
      <c r="G1437" s="10"/>
      <c r="H1437" s="10"/>
      <c r="I1437" s="10"/>
      <c r="J1437" s="10"/>
      <c r="K1437" s="10"/>
      <c r="L1437" s="10"/>
      <c r="M1437" s="14"/>
      <c r="N1437" s="17" t="str">
        <f aca="false">IF($B1437="","",IF($L1437="已完成",IF($M1437="","",$M1437-$B1437),IF(设置!$B$6&lt;$B1437,"",IF((设置!$B$6-$B1437)&gt;=设置!$B$5,"超期"&amp;(设置!$B$6-$B1437)&amp;"天","已等"&amp;(设置!$B$6-$B1437)&amp;"天"))))</f>
        <v/>
      </c>
      <c r="O1437" s="18" t="str">
        <f aca="false">IF(OR($D1437="",$E1437=""),"",COUNTIFS($D$7:$D1437,$D1437,$E$7:$E1437,$E1437))</f>
        <v/>
      </c>
      <c r="P1437" s="16"/>
      <c r="Q1437" s="19"/>
      <c r="R1437" s="10"/>
      <c r="S1437" s="16"/>
      <c r="T1437" s="0" t="str">
        <f aca="false">IF(OR($D1437="",单元查询!$B$3=""),"",IF($D1437&lt;&gt;单元查询!$B$3,"",IF(OR(单元查询!$D$3="",$E1437&amp;""=单元查询!$D$3&amp;""),IF(ISNUMBER($B1437),$B1437*10000,0)+ROW(),"")))</f>
        <v/>
      </c>
      <c r="U1437" s="0" t="str">
        <f aca="false">IF(OR($B1437="",$L1437="已完成"),"",IF(ISNUMBER($B1437),IF(设置!$B$6&lt;$B1437,"",(设置!$B$6-$B1437)*100000+ROW()),""))</f>
        <v/>
      </c>
      <c r="V1437" s="0" t="str">
        <f aca="false">IF(ISNUMBER($O1437),IF($O1437&gt;=2,IF(COUNTIFS($D1437:$D$2006,$D1437,$E1437:$E$2006,$E1437)=1,ROW(),""),""),"")</f>
        <v/>
      </c>
    </row>
    <row r="1438" customFormat="false" ht="15" hidden="false" customHeight="true" outlineLevel="0" collapsed="false">
      <c r="A1438" s="13" t="str">
        <f aca="false">IF(AND($B1438="",$D1438="",$E1438="",$F1438=""),"",IF(OR($B1438="",$D1438="",$E1438=""),"待补",IF($D1438="公共区域","公",IF($D1438="商铺","S",SUBSTITUTE($D1438,"栋","")))&amp;"-"&amp;$E1438&amp;"-"&amp;TEXT(MONTH($B1438),"00")&amp;TEXT(DAY($B1438),"00")&amp;IF(ISNUMBER($O1438),IF($O1438&gt;1,"-"&amp;TEXT($O1438,"00"),""),"")))</f>
        <v/>
      </c>
      <c r="B1438" s="14"/>
      <c r="C1438" s="10"/>
      <c r="D1438" s="10"/>
      <c r="E1438" s="10"/>
      <c r="F1438" s="16"/>
      <c r="G1438" s="10"/>
      <c r="H1438" s="10"/>
      <c r="I1438" s="10"/>
      <c r="J1438" s="10"/>
      <c r="K1438" s="10"/>
      <c r="L1438" s="10"/>
      <c r="M1438" s="14"/>
      <c r="N1438" s="17" t="str">
        <f aca="false">IF($B1438="","",IF($L1438="已完成",IF($M1438="","",$M1438-$B1438),IF(设置!$B$6&lt;$B1438,"",IF((设置!$B$6-$B1438)&gt;=设置!$B$5,"超期"&amp;(设置!$B$6-$B1438)&amp;"天","已等"&amp;(设置!$B$6-$B1438)&amp;"天"))))</f>
        <v/>
      </c>
      <c r="O1438" s="18" t="str">
        <f aca="false">IF(OR($D1438="",$E1438=""),"",COUNTIFS($D$7:$D1438,$D1438,$E$7:$E1438,$E1438))</f>
        <v/>
      </c>
      <c r="P1438" s="16"/>
      <c r="Q1438" s="19"/>
      <c r="R1438" s="10"/>
      <c r="S1438" s="16"/>
      <c r="T1438" s="0" t="str">
        <f aca="false">IF(OR($D1438="",单元查询!$B$3=""),"",IF($D1438&lt;&gt;单元查询!$B$3,"",IF(OR(单元查询!$D$3="",$E1438&amp;""=单元查询!$D$3&amp;""),IF(ISNUMBER($B1438),$B1438*10000,0)+ROW(),"")))</f>
        <v/>
      </c>
      <c r="U1438" s="0" t="str">
        <f aca="false">IF(OR($B1438="",$L1438="已完成"),"",IF(ISNUMBER($B1438),IF(设置!$B$6&lt;$B1438,"",(设置!$B$6-$B1438)*100000+ROW()),""))</f>
        <v/>
      </c>
      <c r="V1438" s="0" t="str">
        <f aca="false">IF(ISNUMBER($O1438),IF($O1438&gt;=2,IF(COUNTIFS($D1438:$D$2006,$D1438,$E1438:$E$2006,$E1438)=1,ROW(),""),""),"")</f>
        <v/>
      </c>
    </row>
    <row r="1439" customFormat="false" ht="15" hidden="false" customHeight="true" outlineLevel="0" collapsed="false">
      <c r="A1439" s="13" t="str">
        <f aca="false">IF(AND($B1439="",$D1439="",$E1439="",$F1439=""),"",IF(OR($B1439="",$D1439="",$E1439=""),"待补",IF($D1439="公共区域","公",IF($D1439="商铺","S",SUBSTITUTE($D1439,"栋","")))&amp;"-"&amp;$E1439&amp;"-"&amp;TEXT(MONTH($B1439),"00")&amp;TEXT(DAY($B1439),"00")&amp;IF(ISNUMBER($O1439),IF($O1439&gt;1,"-"&amp;TEXT($O1439,"00"),""),"")))</f>
        <v/>
      </c>
      <c r="B1439" s="14"/>
      <c r="C1439" s="10"/>
      <c r="D1439" s="10"/>
      <c r="E1439" s="10"/>
      <c r="F1439" s="16"/>
      <c r="G1439" s="10"/>
      <c r="H1439" s="10"/>
      <c r="I1439" s="10"/>
      <c r="J1439" s="10"/>
      <c r="K1439" s="10"/>
      <c r="L1439" s="10"/>
      <c r="M1439" s="14"/>
      <c r="N1439" s="17" t="str">
        <f aca="false">IF($B1439="","",IF($L1439="已完成",IF($M1439="","",$M1439-$B1439),IF(设置!$B$6&lt;$B1439,"",IF((设置!$B$6-$B1439)&gt;=设置!$B$5,"超期"&amp;(设置!$B$6-$B1439)&amp;"天","已等"&amp;(设置!$B$6-$B1439)&amp;"天"))))</f>
        <v/>
      </c>
      <c r="O1439" s="18" t="str">
        <f aca="false">IF(OR($D1439="",$E1439=""),"",COUNTIFS($D$7:$D1439,$D1439,$E$7:$E1439,$E1439))</f>
        <v/>
      </c>
      <c r="P1439" s="16"/>
      <c r="Q1439" s="19"/>
      <c r="R1439" s="10"/>
      <c r="S1439" s="16"/>
      <c r="T1439" s="0" t="str">
        <f aca="false">IF(OR($D1439="",单元查询!$B$3=""),"",IF($D1439&lt;&gt;单元查询!$B$3,"",IF(OR(单元查询!$D$3="",$E1439&amp;""=单元查询!$D$3&amp;""),IF(ISNUMBER($B1439),$B1439*10000,0)+ROW(),"")))</f>
        <v/>
      </c>
      <c r="U1439" s="0" t="str">
        <f aca="false">IF(OR($B1439="",$L1439="已完成"),"",IF(ISNUMBER($B1439),IF(设置!$B$6&lt;$B1439,"",(设置!$B$6-$B1439)*100000+ROW()),""))</f>
        <v/>
      </c>
      <c r="V1439" s="0" t="str">
        <f aca="false">IF(ISNUMBER($O1439),IF($O1439&gt;=2,IF(COUNTIFS($D1439:$D$2006,$D1439,$E1439:$E$2006,$E1439)=1,ROW(),""),""),"")</f>
        <v/>
      </c>
    </row>
    <row r="1440" customFormat="false" ht="15" hidden="false" customHeight="true" outlineLevel="0" collapsed="false">
      <c r="A1440" s="13" t="str">
        <f aca="false">IF(AND($B1440="",$D1440="",$E1440="",$F1440=""),"",IF(OR($B1440="",$D1440="",$E1440=""),"待补",IF($D1440="公共区域","公",IF($D1440="商铺","S",SUBSTITUTE($D1440,"栋","")))&amp;"-"&amp;$E1440&amp;"-"&amp;TEXT(MONTH($B1440),"00")&amp;TEXT(DAY($B1440),"00")&amp;IF(ISNUMBER($O1440),IF($O1440&gt;1,"-"&amp;TEXT($O1440,"00"),""),"")))</f>
        <v/>
      </c>
      <c r="B1440" s="14"/>
      <c r="C1440" s="10"/>
      <c r="D1440" s="10"/>
      <c r="E1440" s="10"/>
      <c r="F1440" s="16"/>
      <c r="G1440" s="10"/>
      <c r="H1440" s="10"/>
      <c r="I1440" s="10"/>
      <c r="J1440" s="10"/>
      <c r="K1440" s="10"/>
      <c r="L1440" s="10"/>
      <c r="M1440" s="14"/>
      <c r="N1440" s="17" t="str">
        <f aca="false">IF($B1440="","",IF($L1440="已完成",IF($M1440="","",$M1440-$B1440),IF(设置!$B$6&lt;$B1440,"",IF((设置!$B$6-$B1440)&gt;=设置!$B$5,"超期"&amp;(设置!$B$6-$B1440)&amp;"天","已等"&amp;(设置!$B$6-$B1440)&amp;"天"))))</f>
        <v/>
      </c>
      <c r="O1440" s="18" t="str">
        <f aca="false">IF(OR($D1440="",$E1440=""),"",COUNTIFS($D$7:$D1440,$D1440,$E$7:$E1440,$E1440))</f>
        <v/>
      </c>
      <c r="P1440" s="16"/>
      <c r="Q1440" s="19"/>
      <c r="R1440" s="10"/>
      <c r="S1440" s="16"/>
      <c r="T1440" s="0" t="str">
        <f aca="false">IF(OR($D1440="",单元查询!$B$3=""),"",IF($D1440&lt;&gt;单元查询!$B$3,"",IF(OR(单元查询!$D$3="",$E1440&amp;""=单元查询!$D$3&amp;""),IF(ISNUMBER($B1440),$B1440*10000,0)+ROW(),"")))</f>
        <v/>
      </c>
      <c r="U1440" s="0" t="str">
        <f aca="false">IF(OR($B1440="",$L1440="已完成"),"",IF(ISNUMBER($B1440),IF(设置!$B$6&lt;$B1440,"",(设置!$B$6-$B1440)*100000+ROW()),""))</f>
        <v/>
      </c>
      <c r="V1440" s="0" t="str">
        <f aca="false">IF(ISNUMBER($O1440),IF($O1440&gt;=2,IF(COUNTIFS($D1440:$D$2006,$D1440,$E1440:$E$2006,$E1440)=1,ROW(),""),""),"")</f>
        <v/>
      </c>
    </row>
    <row r="1441" customFormat="false" ht="15" hidden="false" customHeight="true" outlineLevel="0" collapsed="false">
      <c r="A1441" s="13" t="str">
        <f aca="false">IF(AND($B1441="",$D1441="",$E1441="",$F1441=""),"",IF(OR($B1441="",$D1441="",$E1441=""),"待补",IF($D1441="公共区域","公",IF($D1441="商铺","S",SUBSTITUTE($D1441,"栋","")))&amp;"-"&amp;$E1441&amp;"-"&amp;TEXT(MONTH($B1441),"00")&amp;TEXT(DAY($B1441),"00")&amp;IF(ISNUMBER($O1441),IF($O1441&gt;1,"-"&amp;TEXT($O1441,"00"),""),"")))</f>
        <v/>
      </c>
      <c r="B1441" s="14"/>
      <c r="C1441" s="10"/>
      <c r="D1441" s="10"/>
      <c r="E1441" s="10"/>
      <c r="F1441" s="16"/>
      <c r="G1441" s="10"/>
      <c r="H1441" s="10"/>
      <c r="I1441" s="10"/>
      <c r="J1441" s="10"/>
      <c r="K1441" s="10"/>
      <c r="L1441" s="10"/>
      <c r="M1441" s="14"/>
      <c r="N1441" s="17" t="str">
        <f aca="false">IF($B1441="","",IF($L1441="已完成",IF($M1441="","",$M1441-$B1441),IF(设置!$B$6&lt;$B1441,"",IF((设置!$B$6-$B1441)&gt;=设置!$B$5,"超期"&amp;(设置!$B$6-$B1441)&amp;"天","已等"&amp;(设置!$B$6-$B1441)&amp;"天"))))</f>
        <v/>
      </c>
      <c r="O1441" s="18" t="str">
        <f aca="false">IF(OR($D1441="",$E1441=""),"",COUNTIFS($D$7:$D1441,$D1441,$E$7:$E1441,$E1441))</f>
        <v/>
      </c>
      <c r="P1441" s="16"/>
      <c r="Q1441" s="19"/>
      <c r="R1441" s="10"/>
      <c r="S1441" s="16"/>
      <c r="T1441" s="0" t="str">
        <f aca="false">IF(OR($D1441="",单元查询!$B$3=""),"",IF($D1441&lt;&gt;单元查询!$B$3,"",IF(OR(单元查询!$D$3="",$E1441&amp;""=单元查询!$D$3&amp;""),IF(ISNUMBER($B1441),$B1441*10000,0)+ROW(),"")))</f>
        <v/>
      </c>
      <c r="U1441" s="0" t="str">
        <f aca="false">IF(OR($B1441="",$L1441="已完成"),"",IF(ISNUMBER($B1441),IF(设置!$B$6&lt;$B1441,"",(设置!$B$6-$B1441)*100000+ROW()),""))</f>
        <v/>
      </c>
      <c r="V1441" s="0" t="str">
        <f aca="false">IF(ISNUMBER($O1441),IF($O1441&gt;=2,IF(COUNTIFS($D1441:$D$2006,$D1441,$E1441:$E$2006,$E1441)=1,ROW(),""),""),"")</f>
        <v/>
      </c>
    </row>
    <row r="1442" customFormat="false" ht="15" hidden="false" customHeight="true" outlineLevel="0" collapsed="false">
      <c r="A1442" s="13" t="str">
        <f aca="false">IF(AND($B1442="",$D1442="",$E1442="",$F1442=""),"",IF(OR($B1442="",$D1442="",$E1442=""),"待补",IF($D1442="公共区域","公",IF($D1442="商铺","S",SUBSTITUTE($D1442,"栋","")))&amp;"-"&amp;$E1442&amp;"-"&amp;TEXT(MONTH($B1442),"00")&amp;TEXT(DAY($B1442),"00")&amp;IF(ISNUMBER($O1442),IF($O1442&gt;1,"-"&amp;TEXT($O1442,"00"),""),"")))</f>
        <v/>
      </c>
      <c r="B1442" s="14"/>
      <c r="C1442" s="10"/>
      <c r="D1442" s="10"/>
      <c r="E1442" s="10"/>
      <c r="F1442" s="16"/>
      <c r="G1442" s="10"/>
      <c r="H1442" s="10"/>
      <c r="I1442" s="10"/>
      <c r="J1442" s="10"/>
      <c r="K1442" s="10"/>
      <c r="L1442" s="10"/>
      <c r="M1442" s="14"/>
      <c r="N1442" s="17" t="str">
        <f aca="false">IF($B1442="","",IF($L1442="已完成",IF($M1442="","",$M1442-$B1442),IF(设置!$B$6&lt;$B1442,"",IF((设置!$B$6-$B1442)&gt;=设置!$B$5,"超期"&amp;(设置!$B$6-$B1442)&amp;"天","已等"&amp;(设置!$B$6-$B1442)&amp;"天"))))</f>
        <v/>
      </c>
      <c r="O1442" s="18" t="str">
        <f aca="false">IF(OR($D1442="",$E1442=""),"",COUNTIFS($D$7:$D1442,$D1442,$E$7:$E1442,$E1442))</f>
        <v/>
      </c>
      <c r="P1442" s="16"/>
      <c r="Q1442" s="19"/>
      <c r="R1442" s="10"/>
      <c r="S1442" s="16"/>
      <c r="T1442" s="0" t="str">
        <f aca="false">IF(OR($D1442="",单元查询!$B$3=""),"",IF($D1442&lt;&gt;单元查询!$B$3,"",IF(OR(单元查询!$D$3="",$E1442&amp;""=单元查询!$D$3&amp;""),IF(ISNUMBER($B1442),$B1442*10000,0)+ROW(),"")))</f>
        <v/>
      </c>
      <c r="U1442" s="0" t="str">
        <f aca="false">IF(OR($B1442="",$L1442="已完成"),"",IF(ISNUMBER($B1442),IF(设置!$B$6&lt;$B1442,"",(设置!$B$6-$B1442)*100000+ROW()),""))</f>
        <v/>
      </c>
      <c r="V1442" s="0" t="str">
        <f aca="false">IF(ISNUMBER($O1442),IF($O1442&gt;=2,IF(COUNTIFS($D1442:$D$2006,$D1442,$E1442:$E$2006,$E1442)=1,ROW(),""),""),"")</f>
        <v/>
      </c>
    </row>
    <row r="1443" customFormat="false" ht="15" hidden="false" customHeight="true" outlineLevel="0" collapsed="false">
      <c r="A1443" s="13" t="str">
        <f aca="false">IF(AND($B1443="",$D1443="",$E1443="",$F1443=""),"",IF(OR($B1443="",$D1443="",$E1443=""),"待补",IF($D1443="公共区域","公",IF($D1443="商铺","S",SUBSTITUTE($D1443,"栋","")))&amp;"-"&amp;$E1443&amp;"-"&amp;TEXT(MONTH($B1443),"00")&amp;TEXT(DAY($B1443),"00")&amp;IF(ISNUMBER($O1443),IF($O1443&gt;1,"-"&amp;TEXT($O1443,"00"),""),"")))</f>
        <v/>
      </c>
      <c r="B1443" s="14"/>
      <c r="C1443" s="10"/>
      <c r="D1443" s="10"/>
      <c r="E1443" s="10"/>
      <c r="F1443" s="16"/>
      <c r="G1443" s="10"/>
      <c r="H1443" s="10"/>
      <c r="I1443" s="10"/>
      <c r="J1443" s="10"/>
      <c r="K1443" s="10"/>
      <c r="L1443" s="10"/>
      <c r="M1443" s="14"/>
      <c r="N1443" s="17" t="str">
        <f aca="false">IF($B1443="","",IF($L1443="已完成",IF($M1443="","",$M1443-$B1443),IF(设置!$B$6&lt;$B1443,"",IF((设置!$B$6-$B1443)&gt;=设置!$B$5,"超期"&amp;(设置!$B$6-$B1443)&amp;"天","已等"&amp;(设置!$B$6-$B1443)&amp;"天"))))</f>
        <v/>
      </c>
      <c r="O1443" s="18" t="str">
        <f aca="false">IF(OR($D1443="",$E1443=""),"",COUNTIFS($D$7:$D1443,$D1443,$E$7:$E1443,$E1443))</f>
        <v/>
      </c>
      <c r="P1443" s="16"/>
      <c r="Q1443" s="19"/>
      <c r="R1443" s="10"/>
      <c r="S1443" s="16"/>
      <c r="T1443" s="0" t="str">
        <f aca="false">IF(OR($D1443="",单元查询!$B$3=""),"",IF($D1443&lt;&gt;单元查询!$B$3,"",IF(OR(单元查询!$D$3="",$E1443&amp;""=单元查询!$D$3&amp;""),IF(ISNUMBER($B1443),$B1443*10000,0)+ROW(),"")))</f>
        <v/>
      </c>
      <c r="U1443" s="0" t="str">
        <f aca="false">IF(OR($B1443="",$L1443="已完成"),"",IF(ISNUMBER($B1443),IF(设置!$B$6&lt;$B1443,"",(设置!$B$6-$B1443)*100000+ROW()),""))</f>
        <v/>
      </c>
      <c r="V1443" s="0" t="str">
        <f aca="false">IF(ISNUMBER($O1443),IF($O1443&gt;=2,IF(COUNTIFS($D1443:$D$2006,$D1443,$E1443:$E$2006,$E1443)=1,ROW(),""),""),"")</f>
        <v/>
      </c>
    </row>
    <row r="1444" customFormat="false" ht="15" hidden="false" customHeight="true" outlineLevel="0" collapsed="false">
      <c r="A1444" s="13" t="str">
        <f aca="false">IF(AND($B1444="",$D1444="",$E1444="",$F1444=""),"",IF(OR($B1444="",$D1444="",$E1444=""),"待补",IF($D1444="公共区域","公",IF($D1444="商铺","S",SUBSTITUTE($D1444,"栋","")))&amp;"-"&amp;$E1444&amp;"-"&amp;TEXT(MONTH($B1444),"00")&amp;TEXT(DAY($B1444),"00")&amp;IF(ISNUMBER($O1444),IF($O1444&gt;1,"-"&amp;TEXT($O1444,"00"),""),"")))</f>
        <v/>
      </c>
      <c r="B1444" s="14"/>
      <c r="C1444" s="10"/>
      <c r="D1444" s="10"/>
      <c r="E1444" s="10"/>
      <c r="F1444" s="16"/>
      <c r="G1444" s="10"/>
      <c r="H1444" s="10"/>
      <c r="I1444" s="10"/>
      <c r="J1444" s="10"/>
      <c r="K1444" s="10"/>
      <c r="L1444" s="10"/>
      <c r="M1444" s="14"/>
      <c r="N1444" s="17" t="str">
        <f aca="false">IF($B1444="","",IF($L1444="已完成",IF($M1444="","",$M1444-$B1444),IF(设置!$B$6&lt;$B1444,"",IF((设置!$B$6-$B1444)&gt;=设置!$B$5,"超期"&amp;(设置!$B$6-$B1444)&amp;"天","已等"&amp;(设置!$B$6-$B1444)&amp;"天"))))</f>
        <v/>
      </c>
      <c r="O1444" s="18" t="str">
        <f aca="false">IF(OR($D1444="",$E1444=""),"",COUNTIFS($D$7:$D1444,$D1444,$E$7:$E1444,$E1444))</f>
        <v/>
      </c>
      <c r="P1444" s="16"/>
      <c r="Q1444" s="19"/>
      <c r="R1444" s="10"/>
      <c r="S1444" s="16"/>
      <c r="T1444" s="0" t="str">
        <f aca="false">IF(OR($D1444="",单元查询!$B$3=""),"",IF($D1444&lt;&gt;单元查询!$B$3,"",IF(OR(单元查询!$D$3="",$E1444&amp;""=单元查询!$D$3&amp;""),IF(ISNUMBER($B1444),$B1444*10000,0)+ROW(),"")))</f>
        <v/>
      </c>
      <c r="U1444" s="0" t="str">
        <f aca="false">IF(OR($B1444="",$L1444="已完成"),"",IF(ISNUMBER($B1444),IF(设置!$B$6&lt;$B1444,"",(设置!$B$6-$B1444)*100000+ROW()),""))</f>
        <v/>
      </c>
      <c r="V1444" s="0" t="str">
        <f aca="false">IF(ISNUMBER($O1444),IF($O1444&gt;=2,IF(COUNTIFS($D1444:$D$2006,$D1444,$E1444:$E$2006,$E1444)=1,ROW(),""),""),"")</f>
        <v/>
      </c>
    </row>
    <row r="1445" customFormat="false" ht="15" hidden="false" customHeight="true" outlineLevel="0" collapsed="false">
      <c r="A1445" s="13" t="str">
        <f aca="false">IF(AND($B1445="",$D1445="",$E1445="",$F1445=""),"",IF(OR($B1445="",$D1445="",$E1445=""),"待补",IF($D1445="公共区域","公",IF($D1445="商铺","S",SUBSTITUTE($D1445,"栋","")))&amp;"-"&amp;$E1445&amp;"-"&amp;TEXT(MONTH($B1445),"00")&amp;TEXT(DAY($B1445),"00")&amp;IF(ISNUMBER($O1445),IF($O1445&gt;1,"-"&amp;TEXT($O1445,"00"),""),"")))</f>
        <v/>
      </c>
      <c r="B1445" s="14"/>
      <c r="C1445" s="10"/>
      <c r="D1445" s="10"/>
      <c r="E1445" s="10"/>
      <c r="F1445" s="16"/>
      <c r="G1445" s="10"/>
      <c r="H1445" s="10"/>
      <c r="I1445" s="10"/>
      <c r="J1445" s="10"/>
      <c r="K1445" s="10"/>
      <c r="L1445" s="10"/>
      <c r="M1445" s="14"/>
      <c r="N1445" s="17" t="str">
        <f aca="false">IF($B1445="","",IF($L1445="已完成",IF($M1445="","",$M1445-$B1445),IF(设置!$B$6&lt;$B1445,"",IF((设置!$B$6-$B1445)&gt;=设置!$B$5,"超期"&amp;(设置!$B$6-$B1445)&amp;"天","已等"&amp;(设置!$B$6-$B1445)&amp;"天"))))</f>
        <v/>
      </c>
      <c r="O1445" s="18" t="str">
        <f aca="false">IF(OR($D1445="",$E1445=""),"",COUNTIFS($D$7:$D1445,$D1445,$E$7:$E1445,$E1445))</f>
        <v/>
      </c>
      <c r="P1445" s="16"/>
      <c r="Q1445" s="19"/>
      <c r="R1445" s="10"/>
      <c r="S1445" s="16"/>
      <c r="T1445" s="0" t="str">
        <f aca="false">IF(OR($D1445="",单元查询!$B$3=""),"",IF($D1445&lt;&gt;单元查询!$B$3,"",IF(OR(单元查询!$D$3="",$E1445&amp;""=单元查询!$D$3&amp;""),IF(ISNUMBER($B1445),$B1445*10000,0)+ROW(),"")))</f>
        <v/>
      </c>
      <c r="U1445" s="0" t="str">
        <f aca="false">IF(OR($B1445="",$L1445="已完成"),"",IF(ISNUMBER($B1445),IF(设置!$B$6&lt;$B1445,"",(设置!$B$6-$B1445)*100000+ROW()),""))</f>
        <v/>
      </c>
      <c r="V1445" s="0" t="str">
        <f aca="false">IF(ISNUMBER($O1445),IF($O1445&gt;=2,IF(COUNTIFS($D1445:$D$2006,$D1445,$E1445:$E$2006,$E1445)=1,ROW(),""),""),"")</f>
        <v/>
      </c>
    </row>
    <row r="1446" customFormat="false" ht="15" hidden="false" customHeight="true" outlineLevel="0" collapsed="false">
      <c r="A1446" s="13" t="str">
        <f aca="false">IF(AND($B1446="",$D1446="",$E1446="",$F1446=""),"",IF(OR($B1446="",$D1446="",$E1446=""),"待补",IF($D1446="公共区域","公",IF($D1446="商铺","S",SUBSTITUTE($D1446,"栋","")))&amp;"-"&amp;$E1446&amp;"-"&amp;TEXT(MONTH($B1446),"00")&amp;TEXT(DAY($B1446),"00")&amp;IF(ISNUMBER($O1446),IF($O1446&gt;1,"-"&amp;TEXT($O1446,"00"),""),"")))</f>
        <v/>
      </c>
      <c r="B1446" s="14"/>
      <c r="C1446" s="10"/>
      <c r="D1446" s="10"/>
      <c r="E1446" s="10"/>
      <c r="F1446" s="16"/>
      <c r="G1446" s="10"/>
      <c r="H1446" s="10"/>
      <c r="I1446" s="10"/>
      <c r="J1446" s="10"/>
      <c r="K1446" s="10"/>
      <c r="L1446" s="10"/>
      <c r="M1446" s="14"/>
      <c r="N1446" s="17" t="str">
        <f aca="false">IF($B1446="","",IF($L1446="已完成",IF($M1446="","",$M1446-$B1446),IF(设置!$B$6&lt;$B1446,"",IF((设置!$B$6-$B1446)&gt;=设置!$B$5,"超期"&amp;(设置!$B$6-$B1446)&amp;"天","已等"&amp;(设置!$B$6-$B1446)&amp;"天"))))</f>
        <v/>
      </c>
      <c r="O1446" s="18" t="str">
        <f aca="false">IF(OR($D1446="",$E1446=""),"",COUNTIFS($D$7:$D1446,$D1446,$E$7:$E1446,$E1446))</f>
        <v/>
      </c>
      <c r="P1446" s="16"/>
      <c r="Q1446" s="19"/>
      <c r="R1446" s="10"/>
      <c r="S1446" s="16"/>
      <c r="T1446" s="0" t="str">
        <f aca="false">IF(OR($D1446="",单元查询!$B$3=""),"",IF($D1446&lt;&gt;单元查询!$B$3,"",IF(OR(单元查询!$D$3="",$E1446&amp;""=单元查询!$D$3&amp;""),IF(ISNUMBER($B1446),$B1446*10000,0)+ROW(),"")))</f>
        <v/>
      </c>
      <c r="U1446" s="0" t="str">
        <f aca="false">IF(OR($B1446="",$L1446="已完成"),"",IF(ISNUMBER($B1446),IF(设置!$B$6&lt;$B1446,"",(设置!$B$6-$B1446)*100000+ROW()),""))</f>
        <v/>
      </c>
      <c r="V1446" s="0" t="str">
        <f aca="false">IF(ISNUMBER($O1446),IF($O1446&gt;=2,IF(COUNTIFS($D1446:$D$2006,$D1446,$E1446:$E$2006,$E1446)=1,ROW(),""),""),"")</f>
        <v/>
      </c>
    </row>
    <row r="1447" customFormat="false" ht="15" hidden="false" customHeight="true" outlineLevel="0" collapsed="false">
      <c r="A1447" s="13" t="str">
        <f aca="false">IF(AND($B1447="",$D1447="",$E1447="",$F1447=""),"",IF(OR($B1447="",$D1447="",$E1447=""),"待补",IF($D1447="公共区域","公",IF($D1447="商铺","S",SUBSTITUTE($D1447,"栋","")))&amp;"-"&amp;$E1447&amp;"-"&amp;TEXT(MONTH($B1447),"00")&amp;TEXT(DAY($B1447),"00")&amp;IF(ISNUMBER($O1447),IF($O1447&gt;1,"-"&amp;TEXT($O1447,"00"),""),"")))</f>
        <v/>
      </c>
      <c r="B1447" s="14"/>
      <c r="C1447" s="10"/>
      <c r="D1447" s="10"/>
      <c r="E1447" s="10"/>
      <c r="F1447" s="16"/>
      <c r="G1447" s="10"/>
      <c r="H1447" s="10"/>
      <c r="I1447" s="10"/>
      <c r="J1447" s="10"/>
      <c r="K1447" s="10"/>
      <c r="L1447" s="10"/>
      <c r="M1447" s="14"/>
      <c r="N1447" s="17" t="str">
        <f aca="false">IF($B1447="","",IF($L1447="已完成",IF($M1447="","",$M1447-$B1447),IF(设置!$B$6&lt;$B1447,"",IF((设置!$B$6-$B1447)&gt;=设置!$B$5,"超期"&amp;(设置!$B$6-$B1447)&amp;"天","已等"&amp;(设置!$B$6-$B1447)&amp;"天"))))</f>
        <v/>
      </c>
      <c r="O1447" s="18" t="str">
        <f aca="false">IF(OR($D1447="",$E1447=""),"",COUNTIFS($D$7:$D1447,$D1447,$E$7:$E1447,$E1447))</f>
        <v/>
      </c>
      <c r="P1447" s="16"/>
      <c r="Q1447" s="19"/>
      <c r="R1447" s="10"/>
      <c r="S1447" s="16"/>
      <c r="T1447" s="0" t="str">
        <f aca="false">IF(OR($D1447="",单元查询!$B$3=""),"",IF($D1447&lt;&gt;单元查询!$B$3,"",IF(OR(单元查询!$D$3="",$E1447&amp;""=单元查询!$D$3&amp;""),IF(ISNUMBER($B1447),$B1447*10000,0)+ROW(),"")))</f>
        <v/>
      </c>
      <c r="U1447" s="0" t="str">
        <f aca="false">IF(OR($B1447="",$L1447="已完成"),"",IF(ISNUMBER($B1447),IF(设置!$B$6&lt;$B1447,"",(设置!$B$6-$B1447)*100000+ROW()),""))</f>
        <v/>
      </c>
      <c r="V1447" s="0" t="str">
        <f aca="false">IF(ISNUMBER($O1447),IF($O1447&gt;=2,IF(COUNTIFS($D1447:$D$2006,$D1447,$E1447:$E$2006,$E1447)=1,ROW(),""),""),"")</f>
        <v/>
      </c>
    </row>
    <row r="1448" customFormat="false" ht="15" hidden="false" customHeight="true" outlineLevel="0" collapsed="false">
      <c r="A1448" s="13" t="str">
        <f aca="false">IF(AND($B1448="",$D1448="",$E1448="",$F1448=""),"",IF(OR($B1448="",$D1448="",$E1448=""),"待补",IF($D1448="公共区域","公",IF($D1448="商铺","S",SUBSTITUTE($D1448,"栋","")))&amp;"-"&amp;$E1448&amp;"-"&amp;TEXT(MONTH($B1448),"00")&amp;TEXT(DAY($B1448),"00")&amp;IF(ISNUMBER($O1448),IF($O1448&gt;1,"-"&amp;TEXT($O1448,"00"),""),"")))</f>
        <v/>
      </c>
      <c r="B1448" s="14"/>
      <c r="C1448" s="10"/>
      <c r="D1448" s="10"/>
      <c r="E1448" s="10"/>
      <c r="F1448" s="16"/>
      <c r="G1448" s="10"/>
      <c r="H1448" s="10"/>
      <c r="I1448" s="10"/>
      <c r="J1448" s="10"/>
      <c r="K1448" s="10"/>
      <c r="L1448" s="10"/>
      <c r="M1448" s="14"/>
      <c r="N1448" s="17" t="str">
        <f aca="false">IF($B1448="","",IF($L1448="已完成",IF($M1448="","",$M1448-$B1448),IF(设置!$B$6&lt;$B1448,"",IF((设置!$B$6-$B1448)&gt;=设置!$B$5,"超期"&amp;(设置!$B$6-$B1448)&amp;"天","已等"&amp;(设置!$B$6-$B1448)&amp;"天"))))</f>
        <v/>
      </c>
      <c r="O1448" s="18" t="str">
        <f aca="false">IF(OR($D1448="",$E1448=""),"",COUNTIFS($D$7:$D1448,$D1448,$E$7:$E1448,$E1448))</f>
        <v/>
      </c>
      <c r="P1448" s="16"/>
      <c r="Q1448" s="19"/>
      <c r="R1448" s="10"/>
      <c r="S1448" s="16"/>
      <c r="T1448" s="0" t="str">
        <f aca="false">IF(OR($D1448="",单元查询!$B$3=""),"",IF($D1448&lt;&gt;单元查询!$B$3,"",IF(OR(单元查询!$D$3="",$E1448&amp;""=单元查询!$D$3&amp;""),IF(ISNUMBER($B1448),$B1448*10000,0)+ROW(),"")))</f>
        <v/>
      </c>
      <c r="U1448" s="0" t="str">
        <f aca="false">IF(OR($B1448="",$L1448="已完成"),"",IF(ISNUMBER($B1448),IF(设置!$B$6&lt;$B1448,"",(设置!$B$6-$B1448)*100000+ROW()),""))</f>
        <v/>
      </c>
      <c r="V1448" s="0" t="str">
        <f aca="false">IF(ISNUMBER($O1448),IF($O1448&gt;=2,IF(COUNTIFS($D1448:$D$2006,$D1448,$E1448:$E$2006,$E1448)=1,ROW(),""),""),"")</f>
        <v/>
      </c>
    </row>
    <row r="1449" customFormat="false" ht="15" hidden="false" customHeight="true" outlineLevel="0" collapsed="false">
      <c r="A1449" s="13" t="str">
        <f aca="false">IF(AND($B1449="",$D1449="",$E1449="",$F1449=""),"",IF(OR($B1449="",$D1449="",$E1449=""),"待补",IF($D1449="公共区域","公",IF($D1449="商铺","S",SUBSTITUTE($D1449,"栋","")))&amp;"-"&amp;$E1449&amp;"-"&amp;TEXT(MONTH($B1449),"00")&amp;TEXT(DAY($B1449),"00")&amp;IF(ISNUMBER($O1449),IF($O1449&gt;1,"-"&amp;TEXT($O1449,"00"),""),"")))</f>
        <v/>
      </c>
      <c r="B1449" s="14"/>
      <c r="C1449" s="10"/>
      <c r="D1449" s="10"/>
      <c r="E1449" s="10"/>
      <c r="F1449" s="16"/>
      <c r="G1449" s="10"/>
      <c r="H1449" s="10"/>
      <c r="I1449" s="10"/>
      <c r="J1449" s="10"/>
      <c r="K1449" s="10"/>
      <c r="L1449" s="10"/>
      <c r="M1449" s="14"/>
      <c r="N1449" s="17" t="str">
        <f aca="false">IF($B1449="","",IF($L1449="已完成",IF($M1449="","",$M1449-$B1449),IF(设置!$B$6&lt;$B1449,"",IF((设置!$B$6-$B1449)&gt;=设置!$B$5,"超期"&amp;(设置!$B$6-$B1449)&amp;"天","已等"&amp;(设置!$B$6-$B1449)&amp;"天"))))</f>
        <v/>
      </c>
      <c r="O1449" s="18" t="str">
        <f aca="false">IF(OR($D1449="",$E1449=""),"",COUNTIFS($D$7:$D1449,$D1449,$E$7:$E1449,$E1449))</f>
        <v/>
      </c>
      <c r="P1449" s="16"/>
      <c r="Q1449" s="19"/>
      <c r="R1449" s="10"/>
      <c r="S1449" s="16"/>
      <c r="T1449" s="0" t="str">
        <f aca="false">IF(OR($D1449="",单元查询!$B$3=""),"",IF($D1449&lt;&gt;单元查询!$B$3,"",IF(OR(单元查询!$D$3="",$E1449&amp;""=单元查询!$D$3&amp;""),IF(ISNUMBER($B1449),$B1449*10000,0)+ROW(),"")))</f>
        <v/>
      </c>
      <c r="U1449" s="0" t="str">
        <f aca="false">IF(OR($B1449="",$L1449="已完成"),"",IF(ISNUMBER($B1449),IF(设置!$B$6&lt;$B1449,"",(设置!$B$6-$B1449)*100000+ROW()),""))</f>
        <v/>
      </c>
      <c r="V1449" s="0" t="str">
        <f aca="false">IF(ISNUMBER($O1449),IF($O1449&gt;=2,IF(COUNTIFS($D1449:$D$2006,$D1449,$E1449:$E$2006,$E1449)=1,ROW(),""),""),"")</f>
        <v/>
      </c>
    </row>
    <row r="1450" customFormat="false" ht="15" hidden="false" customHeight="true" outlineLevel="0" collapsed="false">
      <c r="A1450" s="13" t="str">
        <f aca="false">IF(AND($B1450="",$D1450="",$E1450="",$F1450=""),"",IF(OR($B1450="",$D1450="",$E1450=""),"待补",IF($D1450="公共区域","公",IF($D1450="商铺","S",SUBSTITUTE($D1450,"栋","")))&amp;"-"&amp;$E1450&amp;"-"&amp;TEXT(MONTH($B1450),"00")&amp;TEXT(DAY($B1450),"00")&amp;IF(ISNUMBER($O1450),IF($O1450&gt;1,"-"&amp;TEXT($O1450,"00"),""),"")))</f>
        <v/>
      </c>
      <c r="B1450" s="14"/>
      <c r="C1450" s="10"/>
      <c r="D1450" s="10"/>
      <c r="E1450" s="10"/>
      <c r="F1450" s="16"/>
      <c r="G1450" s="10"/>
      <c r="H1450" s="10"/>
      <c r="I1450" s="10"/>
      <c r="J1450" s="10"/>
      <c r="K1450" s="10"/>
      <c r="L1450" s="10"/>
      <c r="M1450" s="14"/>
      <c r="N1450" s="17" t="str">
        <f aca="false">IF($B1450="","",IF($L1450="已完成",IF($M1450="","",$M1450-$B1450),IF(设置!$B$6&lt;$B1450,"",IF((设置!$B$6-$B1450)&gt;=设置!$B$5,"超期"&amp;(设置!$B$6-$B1450)&amp;"天","已等"&amp;(设置!$B$6-$B1450)&amp;"天"))))</f>
        <v/>
      </c>
      <c r="O1450" s="18" t="str">
        <f aca="false">IF(OR($D1450="",$E1450=""),"",COUNTIFS($D$7:$D1450,$D1450,$E$7:$E1450,$E1450))</f>
        <v/>
      </c>
      <c r="P1450" s="16"/>
      <c r="Q1450" s="19"/>
      <c r="R1450" s="10"/>
      <c r="S1450" s="16"/>
      <c r="T1450" s="0" t="str">
        <f aca="false">IF(OR($D1450="",单元查询!$B$3=""),"",IF($D1450&lt;&gt;单元查询!$B$3,"",IF(OR(单元查询!$D$3="",$E1450&amp;""=单元查询!$D$3&amp;""),IF(ISNUMBER($B1450),$B1450*10000,0)+ROW(),"")))</f>
        <v/>
      </c>
      <c r="U1450" s="0" t="str">
        <f aca="false">IF(OR($B1450="",$L1450="已完成"),"",IF(ISNUMBER($B1450),IF(设置!$B$6&lt;$B1450,"",(设置!$B$6-$B1450)*100000+ROW()),""))</f>
        <v/>
      </c>
      <c r="V1450" s="0" t="str">
        <f aca="false">IF(ISNUMBER($O1450),IF($O1450&gt;=2,IF(COUNTIFS($D1450:$D$2006,$D1450,$E1450:$E$2006,$E1450)=1,ROW(),""),""),"")</f>
        <v/>
      </c>
    </row>
    <row r="1451" customFormat="false" ht="15" hidden="false" customHeight="true" outlineLevel="0" collapsed="false">
      <c r="A1451" s="13" t="str">
        <f aca="false">IF(AND($B1451="",$D1451="",$E1451="",$F1451=""),"",IF(OR($B1451="",$D1451="",$E1451=""),"待补",IF($D1451="公共区域","公",IF($D1451="商铺","S",SUBSTITUTE($D1451,"栋","")))&amp;"-"&amp;$E1451&amp;"-"&amp;TEXT(MONTH($B1451),"00")&amp;TEXT(DAY($B1451),"00")&amp;IF(ISNUMBER($O1451),IF($O1451&gt;1,"-"&amp;TEXT($O1451,"00"),""),"")))</f>
        <v/>
      </c>
      <c r="B1451" s="14"/>
      <c r="C1451" s="10"/>
      <c r="D1451" s="10"/>
      <c r="E1451" s="10"/>
      <c r="F1451" s="16"/>
      <c r="G1451" s="10"/>
      <c r="H1451" s="10"/>
      <c r="I1451" s="10"/>
      <c r="J1451" s="10"/>
      <c r="K1451" s="10"/>
      <c r="L1451" s="10"/>
      <c r="M1451" s="14"/>
      <c r="N1451" s="17" t="str">
        <f aca="false">IF($B1451="","",IF($L1451="已完成",IF($M1451="","",$M1451-$B1451),IF(设置!$B$6&lt;$B1451,"",IF((设置!$B$6-$B1451)&gt;=设置!$B$5,"超期"&amp;(设置!$B$6-$B1451)&amp;"天","已等"&amp;(设置!$B$6-$B1451)&amp;"天"))))</f>
        <v/>
      </c>
      <c r="O1451" s="18" t="str">
        <f aca="false">IF(OR($D1451="",$E1451=""),"",COUNTIFS($D$7:$D1451,$D1451,$E$7:$E1451,$E1451))</f>
        <v/>
      </c>
      <c r="P1451" s="16"/>
      <c r="Q1451" s="19"/>
      <c r="R1451" s="10"/>
      <c r="S1451" s="16"/>
      <c r="T1451" s="0" t="str">
        <f aca="false">IF(OR($D1451="",单元查询!$B$3=""),"",IF($D1451&lt;&gt;单元查询!$B$3,"",IF(OR(单元查询!$D$3="",$E1451&amp;""=单元查询!$D$3&amp;""),IF(ISNUMBER($B1451),$B1451*10000,0)+ROW(),"")))</f>
        <v/>
      </c>
      <c r="U1451" s="0" t="str">
        <f aca="false">IF(OR($B1451="",$L1451="已完成"),"",IF(ISNUMBER($B1451),IF(设置!$B$6&lt;$B1451,"",(设置!$B$6-$B1451)*100000+ROW()),""))</f>
        <v/>
      </c>
      <c r="V1451" s="0" t="str">
        <f aca="false">IF(ISNUMBER($O1451),IF($O1451&gt;=2,IF(COUNTIFS($D1451:$D$2006,$D1451,$E1451:$E$2006,$E1451)=1,ROW(),""),""),"")</f>
        <v/>
      </c>
    </row>
    <row r="1452" customFormat="false" ht="15" hidden="false" customHeight="true" outlineLevel="0" collapsed="false">
      <c r="A1452" s="13" t="str">
        <f aca="false">IF(AND($B1452="",$D1452="",$E1452="",$F1452=""),"",IF(OR($B1452="",$D1452="",$E1452=""),"待补",IF($D1452="公共区域","公",IF($D1452="商铺","S",SUBSTITUTE($D1452,"栋","")))&amp;"-"&amp;$E1452&amp;"-"&amp;TEXT(MONTH($B1452),"00")&amp;TEXT(DAY($B1452),"00")&amp;IF(ISNUMBER($O1452),IF($O1452&gt;1,"-"&amp;TEXT($O1452,"00"),""),"")))</f>
        <v/>
      </c>
      <c r="B1452" s="14"/>
      <c r="C1452" s="10"/>
      <c r="D1452" s="10"/>
      <c r="E1452" s="10"/>
      <c r="F1452" s="16"/>
      <c r="G1452" s="10"/>
      <c r="H1452" s="10"/>
      <c r="I1452" s="10"/>
      <c r="J1452" s="10"/>
      <c r="K1452" s="10"/>
      <c r="L1452" s="10"/>
      <c r="M1452" s="14"/>
      <c r="N1452" s="17" t="str">
        <f aca="false">IF($B1452="","",IF($L1452="已完成",IF($M1452="","",$M1452-$B1452),IF(设置!$B$6&lt;$B1452,"",IF((设置!$B$6-$B1452)&gt;=设置!$B$5,"超期"&amp;(设置!$B$6-$B1452)&amp;"天","已等"&amp;(设置!$B$6-$B1452)&amp;"天"))))</f>
        <v/>
      </c>
      <c r="O1452" s="18" t="str">
        <f aca="false">IF(OR($D1452="",$E1452=""),"",COUNTIFS($D$7:$D1452,$D1452,$E$7:$E1452,$E1452))</f>
        <v/>
      </c>
      <c r="P1452" s="16"/>
      <c r="Q1452" s="19"/>
      <c r="R1452" s="10"/>
      <c r="S1452" s="16"/>
      <c r="T1452" s="0" t="str">
        <f aca="false">IF(OR($D1452="",单元查询!$B$3=""),"",IF($D1452&lt;&gt;单元查询!$B$3,"",IF(OR(单元查询!$D$3="",$E1452&amp;""=单元查询!$D$3&amp;""),IF(ISNUMBER($B1452),$B1452*10000,0)+ROW(),"")))</f>
        <v/>
      </c>
      <c r="U1452" s="0" t="str">
        <f aca="false">IF(OR($B1452="",$L1452="已完成"),"",IF(ISNUMBER($B1452),IF(设置!$B$6&lt;$B1452,"",(设置!$B$6-$B1452)*100000+ROW()),""))</f>
        <v/>
      </c>
      <c r="V1452" s="0" t="str">
        <f aca="false">IF(ISNUMBER($O1452),IF($O1452&gt;=2,IF(COUNTIFS($D1452:$D$2006,$D1452,$E1452:$E$2006,$E1452)=1,ROW(),""),""),"")</f>
        <v/>
      </c>
    </row>
    <row r="1453" customFormat="false" ht="15" hidden="false" customHeight="true" outlineLevel="0" collapsed="false">
      <c r="A1453" s="13" t="str">
        <f aca="false">IF(AND($B1453="",$D1453="",$E1453="",$F1453=""),"",IF(OR($B1453="",$D1453="",$E1453=""),"待补",IF($D1453="公共区域","公",IF($D1453="商铺","S",SUBSTITUTE($D1453,"栋","")))&amp;"-"&amp;$E1453&amp;"-"&amp;TEXT(MONTH($B1453),"00")&amp;TEXT(DAY($B1453),"00")&amp;IF(ISNUMBER($O1453),IF($O1453&gt;1,"-"&amp;TEXT($O1453,"00"),""),"")))</f>
        <v/>
      </c>
      <c r="B1453" s="14"/>
      <c r="C1453" s="10"/>
      <c r="D1453" s="10"/>
      <c r="E1453" s="10"/>
      <c r="F1453" s="16"/>
      <c r="G1453" s="10"/>
      <c r="H1453" s="10"/>
      <c r="I1453" s="10"/>
      <c r="J1453" s="10"/>
      <c r="K1453" s="10"/>
      <c r="L1453" s="10"/>
      <c r="M1453" s="14"/>
      <c r="N1453" s="17" t="str">
        <f aca="false">IF($B1453="","",IF($L1453="已完成",IF($M1453="","",$M1453-$B1453),IF(设置!$B$6&lt;$B1453,"",IF((设置!$B$6-$B1453)&gt;=设置!$B$5,"超期"&amp;(设置!$B$6-$B1453)&amp;"天","已等"&amp;(设置!$B$6-$B1453)&amp;"天"))))</f>
        <v/>
      </c>
      <c r="O1453" s="18" t="str">
        <f aca="false">IF(OR($D1453="",$E1453=""),"",COUNTIFS($D$7:$D1453,$D1453,$E$7:$E1453,$E1453))</f>
        <v/>
      </c>
      <c r="P1453" s="16"/>
      <c r="Q1453" s="19"/>
      <c r="R1453" s="10"/>
      <c r="S1453" s="16"/>
      <c r="T1453" s="0" t="str">
        <f aca="false">IF(OR($D1453="",单元查询!$B$3=""),"",IF($D1453&lt;&gt;单元查询!$B$3,"",IF(OR(单元查询!$D$3="",$E1453&amp;""=单元查询!$D$3&amp;""),IF(ISNUMBER($B1453),$B1453*10000,0)+ROW(),"")))</f>
        <v/>
      </c>
      <c r="U1453" s="0" t="str">
        <f aca="false">IF(OR($B1453="",$L1453="已完成"),"",IF(ISNUMBER($B1453),IF(设置!$B$6&lt;$B1453,"",(设置!$B$6-$B1453)*100000+ROW()),""))</f>
        <v/>
      </c>
      <c r="V1453" s="0" t="str">
        <f aca="false">IF(ISNUMBER($O1453),IF($O1453&gt;=2,IF(COUNTIFS($D1453:$D$2006,$D1453,$E1453:$E$2006,$E1453)=1,ROW(),""),""),"")</f>
        <v/>
      </c>
    </row>
    <row r="1454" customFormat="false" ht="15" hidden="false" customHeight="true" outlineLevel="0" collapsed="false">
      <c r="A1454" s="13" t="str">
        <f aca="false">IF(AND($B1454="",$D1454="",$E1454="",$F1454=""),"",IF(OR($B1454="",$D1454="",$E1454=""),"待补",IF($D1454="公共区域","公",IF($D1454="商铺","S",SUBSTITUTE($D1454,"栋","")))&amp;"-"&amp;$E1454&amp;"-"&amp;TEXT(MONTH($B1454),"00")&amp;TEXT(DAY($B1454),"00")&amp;IF(ISNUMBER($O1454),IF($O1454&gt;1,"-"&amp;TEXT($O1454,"00"),""),"")))</f>
        <v/>
      </c>
      <c r="B1454" s="14"/>
      <c r="C1454" s="10"/>
      <c r="D1454" s="10"/>
      <c r="E1454" s="10"/>
      <c r="F1454" s="16"/>
      <c r="G1454" s="10"/>
      <c r="H1454" s="10"/>
      <c r="I1454" s="10"/>
      <c r="J1454" s="10"/>
      <c r="K1454" s="10"/>
      <c r="L1454" s="10"/>
      <c r="M1454" s="14"/>
      <c r="N1454" s="17" t="str">
        <f aca="false">IF($B1454="","",IF($L1454="已完成",IF($M1454="","",$M1454-$B1454),IF(设置!$B$6&lt;$B1454,"",IF((设置!$B$6-$B1454)&gt;=设置!$B$5,"超期"&amp;(设置!$B$6-$B1454)&amp;"天","已等"&amp;(设置!$B$6-$B1454)&amp;"天"))))</f>
        <v/>
      </c>
      <c r="O1454" s="18" t="str">
        <f aca="false">IF(OR($D1454="",$E1454=""),"",COUNTIFS($D$7:$D1454,$D1454,$E$7:$E1454,$E1454))</f>
        <v/>
      </c>
      <c r="P1454" s="16"/>
      <c r="Q1454" s="19"/>
      <c r="R1454" s="10"/>
      <c r="S1454" s="16"/>
      <c r="T1454" s="0" t="str">
        <f aca="false">IF(OR($D1454="",单元查询!$B$3=""),"",IF($D1454&lt;&gt;单元查询!$B$3,"",IF(OR(单元查询!$D$3="",$E1454&amp;""=单元查询!$D$3&amp;""),IF(ISNUMBER($B1454),$B1454*10000,0)+ROW(),"")))</f>
        <v/>
      </c>
      <c r="U1454" s="0" t="str">
        <f aca="false">IF(OR($B1454="",$L1454="已完成"),"",IF(ISNUMBER($B1454),IF(设置!$B$6&lt;$B1454,"",(设置!$B$6-$B1454)*100000+ROW()),""))</f>
        <v/>
      </c>
      <c r="V1454" s="0" t="str">
        <f aca="false">IF(ISNUMBER($O1454),IF($O1454&gt;=2,IF(COUNTIFS($D1454:$D$2006,$D1454,$E1454:$E$2006,$E1454)=1,ROW(),""),""),"")</f>
        <v/>
      </c>
    </row>
    <row r="1455" customFormat="false" ht="15" hidden="false" customHeight="true" outlineLevel="0" collapsed="false">
      <c r="A1455" s="13" t="str">
        <f aca="false">IF(AND($B1455="",$D1455="",$E1455="",$F1455=""),"",IF(OR($B1455="",$D1455="",$E1455=""),"待补",IF($D1455="公共区域","公",IF($D1455="商铺","S",SUBSTITUTE($D1455,"栋","")))&amp;"-"&amp;$E1455&amp;"-"&amp;TEXT(MONTH($B1455),"00")&amp;TEXT(DAY($B1455),"00")&amp;IF(ISNUMBER($O1455),IF($O1455&gt;1,"-"&amp;TEXT($O1455,"00"),""),"")))</f>
        <v/>
      </c>
      <c r="B1455" s="14"/>
      <c r="C1455" s="10"/>
      <c r="D1455" s="10"/>
      <c r="E1455" s="10"/>
      <c r="F1455" s="16"/>
      <c r="G1455" s="10"/>
      <c r="H1455" s="10"/>
      <c r="I1455" s="10"/>
      <c r="J1455" s="10"/>
      <c r="K1455" s="10"/>
      <c r="L1455" s="10"/>
      <c r="M1455" s="14"/>
      <c r="N1455" s="17" t="str">
        <f aca="false">IF($B1455="","",IF($L1455="已完成",IF($M1455="","",$M1455-$B1455),IF(设置!$B$6&lt;$B1455,"",IF((设置!$B$6-$B1455)&gt;=设置!$B$5,"超期"&amp;(设置!$B$6-$B1455)&amp;"天","已等"&amp;(设置!$B$6-$B1455)&amp;"天"))))</f>
        <v/>
      </c>
      <c r="O1455" s="18" t="str">
        <f aca="false">IF(OR($D1455="",$E1455=""),"",COUNTIFS($D$7:$D1455,$D1455,$E$7:$E1455,$E1455))</f>
        <v/>
      </c>
      <c r="P1455" s="16"/>
      <c r="Q1455" s="19"/>
      <c r="R1455" s="10"/>
      <c r="S1455" s="16"/>
      <c r="T1455" s="0" t="str">
        <f aca="false">IF(OR($D1455="",单元查询!$B$3=""),"",IF($D1455&lt;&gt;单元查询!$B$3,"",IF(OR(单元查询!$D$3="",$E1455&amp;""=单元查询!$D$3&amp;""),IF(ISNUMBER($B1455),$B1455*10000,0)+ROW(),"")))</f>
        <v/>
      </c>
      <c r="U1455" s="0" t="str">
        <f aca="false">IF(OR($B1455="",$L1455="已完成"),"",IF(ISNUMBER($B1455),IF(设置!$B$6&lt;$B1455,"",(设置!$B$6-$B1455)*100000+ROW()),""))</f>
        <v/>
      </c>
      <c r="V1455" s="0" t="str">
        <f aca="false">IF(ISNUMBER($O1455),IF($O1455&gt;=2,IF(COUNTIFS($D1455:$D$2006,$D1455,$E1455:$E$2006,$E1455)=1,ROW(),""),""),"")</f>
        <v/>
      </c>
    </row>
    <row r="1456" customFormat="false" ht="15" hidden="false" customHeight="true" outlineLevel="0" collapsed="false">
      <c r="A1456" s="13" t="str">
        <f aca="false">IF(AND($B1456="",$D1456="",$E1456="",$F1456=""),"",IF(OR($B1456="",$D1456="",$E1456=""),"待补",IF($D1456="公共区域","公",IF($D1456="商铺","S",SUBSTITUTE($D1456,"栋","")))&amp;"-"&amp;$E1456&amp;"-"&amp;TEXT(MONTH($B1456),"00")&amp;TEXT(DAY($B1456),"00")&amp;IF(ISNUMBER($O1456),IF($O1456&gt;1,"-"&amp;TEXT($O1456,"00"),""),"")))</f>
        <v/>
      </c>
      <c r="B1456" s="14"/>
      <c r="C1456" s="10"/>
      <c r="D1456" s="10"/>
      <c r="E1456" s="10"/>
      <c r="F1456" s="16"/>
      <c r="G1456" s="10"/>
      <c r="H1456" s="10"/>
      <c r="I1456" s="10"/>
      <c r="J1456" s="10"/>
      <c r="K1456" s="10"/>
      <c r="L1456" s="10"/>
      <c r="M1456" s="14"/>
      <c r="N1456" s="17" t="str">
        <f aca="false">IF($B1456="","",IF($L1456="已完成",IF($M1456="","",$M1456-$B1456),IF(设置!$B$6&lt;$B1456,"",IF((设置!$B$6-$B1456)&gt;=设置!$B$5,"超期"&amp;(设置!$B$6-$B1456)&amp;"天","已等"&amp;(设置!$B$6-$B1456)&amp;"天"))))</f>
        <v/>
      </c>
      <c r="O1456" s="18" t="str">
        <f aca="false">IF(OR($D1456="",$E1456=""),"",COUNTIFS($D$7:$D1456,$D1456,$E$7:$E1456,$E1456))</f>
        <v/>
      </c>
      <c r="P1456" s="16"/>
      <c r="Q1456" s="19"/>
      <c r="R1456" s="10"/>
      <c r="S1456" s="16"/>
      <c r="T1456" s="0" t="str">
        <f aca="false">IF(OR($D1456="",单元查询!$B$3=""),"",IF($D1456&lt;&gt;单元查询!$B$3,"",IF(OR(单元查询!$D$3="",$E1456&amp;""=单元查询!$D$3&amp;""),IF(ISNUMBER($B1456),$B1456*10000,0)+ROW(),"")))</f>
        <v/>
      </c>
      <c r="U1456" s="0" t="str">
        <f aca="false">IF(OR($B1456="",$L1456="已完成"),"",IF(ISNUMBER($B1456),IF(设置!$B$6&lt;$B1456,"",(设置!$B$6-$B1456)*100000+ROW()),""))</f>
        <v/>
      </c>
      <c r="V1456" s="0" t="str">
        <f aca="false">IF(ISNUMBER($O1456),IF($O1456&gt;=2,IF(COUNTIFS($D1456:$D$2006,$D1456,$E1456:$E$2006,$E1456)=1,ROW(),""),""),"")</f>
        <v/>
      </c>
    </row>
    <row r="1457" customFormat="false" ht="15" hidden="false" customHeight="true" outlineLevel="0" collapsed="false">
      <c r="A1457" s="13" t="str">
        <f aca="false">IF(AND($B1457="",$D1457="",$E1457="",$F1457=""),"",IF(OR($B1457="",$D1457="",$E1457=""),"待补",IF($D1457="公共区域","公",IF($D1457="商铺","S",SUBSTITUTE($D1457,"栋","")))&amp;"-"&amp;$E1457&amp;"-"&amp;TEXT(MONTH($B1457),"00")&amp;TEXT(DAY($B1457),"00")&amp;IF(ISNUMBER($O1457),IF($O1457&gt;1,"-"&amp;TEXT($O1457,"00"),""),"")))</f>
        <v/>
      </c>
      <c r="B1457" s="14"/>
      <c r="C1457" s="10"/>
      <c r="D1457" s="10"/>
      <c r="E1457" s="10"/>
      <c r="F1457" s="16"/>
      <c r="G1457" s="10"/>
      <c r="H1457" s="10"/>
      <c r="I1457" s="10"/>
      <c r="J1457" s="10"/>
      <c r="K1457" s="10"/>
      <c r="L1457" s="10"/>
      <c r="M1457" s="14"/>
      <c r="N1457" s="17" t="str">
        <f aca="false">IF($B1457="","",IF($L1457="已完成",IF($M1457="","",$M1457-$B1457),IF(设置!$B$6&lt;$B1457,"",IF((设置!$B$6-$B1457)&gt;=设置!$B$5,"超期"&amp;(设置!$B$6-$B1457)&amp;"天","已等"&amp;(设置!$B$6-$B1457)&amp;"天"))))</f>
        <v/>
      </c>
      <c r="O1457" s="18" t="str">
        <f aca="false">IF(OR($D1457="",$E1457=""),"",COUNTIFS($D$7:$D1457,$D1457,$E$7:$E1457,$E1457))</f>
        <v/>
      </c>
      <c r="P1457" s="16"/>
      <c r="Q1457" s="19"/>
      <c r="R1457" s="10"/>
      <c r="S1457" s="16"/>
      <c r="T1457" s="0" t="str">
        <f aca="false">IF(OR($D1457="",单元查询!$B$3=""),"",IF($D1457&lt;&gt;单元查询!$B$3,"",IF(OR(单元查询!$D$3="",$E1457&amp;""=单元查询!$D$3&amp;""),IF(ISNUMBER($B1457),$B1457*10000,0)+ROW(),"")))</f>
        <v/>
      </c>
      <c r="U1457" s="0" t="str">
        <f aca="false">IF(OR($B1457="",$L1457="已完成"),"",IF(ISNUMBER($B1457),IF(设置!$B$6&lt;$B1457,"",(设置!$B$6-$B1457)*100000+ROW()),""))</f>
        <v/>
      </c>
      <c r="V1457" s="0" t="str">
        <f aca="false">IF(ISNUMBER($O1457),IF($O1457&gt;=2,IF(COUNTIFS($D1457:$D$2006,$D1457,$E1457:$E$2006,$E1457)=1,ROW(),""),""),"")</f>
        <v/>
      </c>
    </row>
    <row r="1458" customFormat="false" ht="15" hidden="false" customHeight="true" outlineLevel="0" collapsed="false">
      <c r="A1458" s="13" t="str">
        <f aca="false">IF(AND($B1458="",$D1458="",$E1458="",$F1458=""),"",IF(OR($B1458="",$D1458="",$E1458=""),"待补",IF($D1458="公共区域","公",IF($D1458="商铺","S",SUBSTITUTE($D1458,"栋","")))&amp;"-"&amp;$E1458&amp;"-"&amp;TEXT(MONTH($B1458),"00")&amp;TEXT(DAY($B1458),"00")&amp;IF(ISNUMBER($O1458),IF($O1458&gt;1,"-"&amp;TEXT($O1458,"00"),""),"")))</f>
        <v/>
      </c>
      <c r="B1458" s="14"/>
      <c r="C1458" s="10"/>
      <c r="D1458" s="10"/>
      <c r="E1458" s="10"/>
      <c r="F1458" s="16"/>
      <c r="G1458" s="10"/>
      <c r="H1458" s="10"/>
      <c r="I1458" s="10"/>
      <c r="J1458" s="10"/>
      <c r="K1458" s="10"/>
      <c r="L1458" s="10"/>
      <c r="M1458" s="14"/>
      <c r="N1458" s="17" t="str">
        <f aca="false">IF($B1458="","",IF($L1458="已完成",IF($M1458="","",$M1458-$B1458),IF(设置!$B$6&lt;$B1458,"",IF((设置!$B$6-$B1458)&gt;=设置!$B$5,"超期"&amp;(设置!$B$6-$B1458)&amp;"天","已等"&amp;(设置!$B$6-$B1458)&amp;"天"))))</f>
        <v/>
      </c>
      <c r="O1458" s="18" t="str">
        <f aca="false">IF(OR($D1458="",$E1458=""),"",COUNTIFS($D$7:$D1458,$D1458,$E$7:$E1458,$E1458))</f>
        <v/>
      </c>
      <c r="P1458" s="16"/>
      <c r="Q1458" s="19"/>
      <c r="R1458" s="10"/>
      <c r="S1458" s="16"/>
      <c r="T1458" s="0" t="str">
        <f aca="false">IF(OR($D1458="",单元查询!$B$3=""),"",IF($D1458&lt;&gt;单元查询!$B$3,"",IF(OR(单元查询!$D$3="",$E1458&amp;""=单元查询!$D$3&amp;""),IF(ISNUMBER($B1458),$B1458*10000,0)+ROW(),"")))</f>
        <v/>
      </c>
      <c r="U1458" s="0" t="str">
        <f aca="false">IF(OR($B1458="",$L1458="已完成"),"",IF(ISNUMBER($B1458),IF(设置!$B$6&lt;$B1458,"",(设置!$B$6-$B1458)*100000+ROW()),""))</f>
        <v/>
      </c>
      <c r="V1458" s="0" t="str">
        <f aca="false">IF(ISNUMBER($O1458),IF($O1458&gt;=2,IF(COUNTIFS($D1458:$D$2006,$D1458,$E1458:$E$2006,$E1458)=1,ROW(),""),""),"")</f>
        <v/>
      </c>
    </row>
    <row r="1459" customFormat="false" ht="15" hidden="false" customHeight="true" outlineLevel="0" collapsed="false">
      <c r="A1459" s="13" t="str">
        <f aca="false">IF(AND($B1459="",$D1459="",$E1459="",$F1459=""),"",IF(OR($B1459="",$D1459="",$E1459=""),"待补",IF($D1459="公共区域","公",IF($D1459="商铺","S",SUBSTITUTE($D1459,"栋","")))&amp;"-"&amp;$E1459&amp;"-"&amp;TEXT(MONTH($B1459),"00")&amp;TEXT(DAY($B1459),"00")&amp;IF(ISNUMBER($O1459),IF($O1459&gt;1,"-"&amp;TEXT($O1459,"00"),""),"")))</f>
        <v/>
      </c>
      <c r="B1459" s="14"/>
      <c r="C1459" s="10"/>
      <c r="D1459" s="10"/>
      <c r="E1459" s="10"/>
      <c r="F1459" s="16"/>
      <c r="G1459" s="10"/>
      <c r="H1459" s="10"/>
      <c r="I1459" s="10"/>
      <c r="J1459" s="10"/>
      <c r="K1459" s="10"/>
      <c r="L1459" s="10"/>
      <c r="M1459" s="14"/>
      <c r="N1459" s="17" t="str">
        <f aca="false">IF($B1459="","",IF($L1459="已完成",IF($M1459="","",$M1459-$B1459),IF(设置!$B$6&lt;$B1459,"",IF((设置!$B$6-$B1459)&gt;=设置!$B$5,"超期"&amp;(设置!$B$6-$B1459)&amp;"天","已等"&amp;(设置!$B$6-$B1459)&amp;"天"))))</f>
        <v/>
      </c>
      <c r="O1459" s="18" t="str">
        <f aca="false">IF(OR($D1459="",$E1459=""),"",COUNTIFS($D$7:$D1459,$D1459,$E$7:$E1459,$E1459))</f>
        <v/>
      </c>
      <c r="P1459" s="16"/>
      <c r="Q1459" s="19"/>
      <c r="R1459" s="10"/>
      <c r="S1459" s="16"/>
      <c r="T1459" s="0" t="str">
        <f aca="false">IF(OR($D1459="",单元查询!$B$3=""),"",IF($D1459&lt;&gt;单元查询!$B$3,"",IF(OR(单元查询!$D$3="",$E1459&amp;""=单元查询!$D$3&amp;""),IF(ISNUMBER($B1459),$B1459*10000,0)+ROW(),"")))</f>
        <v/>
      </c>
      <c r="U1459" s="0" t="str">
        <f aca="false">IF(OR($B1459="",$L1459="已完成"),"",IF(ISNUMBER($B1459),IF(设置!$B$6&lt;$B1459,"",(设置!$B$6-$B1459)*100000+ROW()),""))</f>
        <v/>
      </c>
      <c r="V1459" s="0" t="str">
        <f aca="false">IF(ISNUMBER($O1459),IF($O1459&gt;=2,IF(COUNTIFS($D1459:$D$2006,$D1459,$E1459:$E$2006,$E1459)=1,ROW(),""),""),"")</f>
        <v/>
      </c>
    </row>
    <row r="1460" customFormat="false" ht="15" hidden="false" customHeight="true" outlineLevel="0" collapsed="false">
      <c r="A1460" s="13" t="str">
        <f aca="false">IF(AND($B1460="",$D1460="",$E1460="",$F1460=""),"",IF(OR($B1460="",$D1460="",$E1460=""),"待补",IF($D1460="公共区域","公",IF($D1460="商铺","S",SUBSTITUTE($D1460,"栋","")))&amp;"-"&amp;$E1460&amp;"-"&amp;TEXT(MONTH($B1460),"00")&amp;TEXT(DAY($B1460),"00")&amp;IF(ISNUMBER($O1460),IF($O1460&gt;1,"-"&amp;TEXT($O1460,"00"),""),"")))</f>
        <v/>
      </c>
      <c r="B1460" s="14"/>
      <c r="C1460" s="10"/>
      <c r="D1460" s="10"/>
      <c r="E1460" s="10"/>
      <c r="F1460" s="16"/>
      <c r="G1460" s="10"/>
      <c r="H1460" s="10"/>
      <c r="I1460" s="10"/>
      <c r="J1460" s="10"/>
      <c r="K1460" s="10"/>
      <c r="L1460" s="10"/>
      <c r="M1460" s="14"/>
      <c r="N1460" s="17" t="str">
        <f aca="false">IF($B1460="","",IF($L1460="已完成",IF($M1460="","",$M1460-$B1460),IF(设置!$B$6&lt;$B1460,"",IF((设置!$B$6-$B1460)&gt;=设置!$B$5,"超期"&amp;(设置!$B$6-$B1460)&amp;"天","已等"&amp;(设置!$B$6-$B1460)&amp;"天"))))</f>
        <v/>
      </c>
      <c r="O1460" s="18" t="str">
        <f aca="false">IF(OR($D1460="",$E1460=""),"",COUNTIFS($D$7:$D1460,$D1460,$E$7:$E1460,$E1460))</f>
        <v/>
      </c>
      <c r="P1460" s="16"/>
      <c r="Q1460" s="19"/>
      <c r="R1460" s="10"/>
      <c r="S1460" s="16"/>
      <c r="T1460" s="0" t="str">
        <f aca="false">IF(OR($D1460="",单元查询!$B$3=""),"",IF($D1460&lt;&gt;单元查询!$B$3,"",IF(OR(单元查询!$D$3="",$E1460&amp;""=单元查询!$D$3&amp;""),IF(ISNUMBER($B1460),$B1460*10000,0)+ROW(),"")))</f>
        <v/>
      </c>
      <c r="U1460" s="0" t="str">
        <f aca="false">IF(OR($B1460="",$L1460="已完成"),"",IF(ISNUMBER($B1460),IF(设置!$B$6&lt;$B1460,"",(设置!$B$6-$B1460)*100000+ROW()),""))</f>
        <v/>
      </c>
      <c r="V1460" s="0" t="str">
        <f aca="false">IF(ISNUMBER($O1460),IF($O1460&gt;=2,IF(COUNTIFS($D1460:$D$2006,$D1460,$E1460:$E$2006,$E1460)=1,ROW(),""),""),"")</f>
        <v/>
      </c>
    </row>
    <row r="1461" customFormat="false" ht="15" hidden="false" customHeight="true" outlineLevel="0" collapsed="false">
      <c r="A1461" s="13" t="str">
        <f aca="false">IF(AND($B1461="",$D1461="",$E1461="",$F1461=""),"",IF(OR($B1461="",$D1461="",$E1461=""),"待补",IF($D1461="公共区域","公",IF($D1461="商铺","S",SUBSTITUTE($D1461,"栋","")))&amp;"-"&amp;$E1461&amp;"-"&amp;TEXT(MONTH($B1461),"00")&amp;TEXT(DAY($B1461),"00")&amp;IF(ISNUMBER($O1461),IF($O1461&gt;1,"-"&amp;TEXT($O1461,"00"),""),"")))</f>
        <v/>
      </c>
      <c r="B1461" s="14"/>
      <c r="C1461" s="10"/>
      <c r="D1461" s="10"/>
      <c r="E1461" s="10"/>
      <c r="F1461" s="16"/>
      <c r="G1461" s="10"/>
      <c r="H1461" s="10"/>
      <c r="I1461" s="10"/>
      <c r="J1461" s="10"/>
      <c r="K1461" s="10"/>
      <c r="L1461" s="10"/>
      <c r="M1461" s="14"/>
      <c r="N1461" s="17" t="str">
        <f aca="false">IF($B1461="","",IF($L1461="已完成",IF($M1461="","",$M1461-$B1461),IF(设置!$B$6&lt;$B1461,"",IF((设置!$B$6-$B1461)&gt;=设置!$B$5,"超期"&amp;(设置!$B$6-$B1461)&amp;"天","已等"&amp;(设置!$B$6-$B1461)&amp;"天"))))</f>
        <v/>
      </c>
      <c r="O1461" s="18" t="str">
        <f aca="false">IF(OR($D1461="",$E1461=""),"",COUNTIFS($D$7:$D1461,$D1461,$E$7:$E1461,$E1461))</f>
        <v/>
      </c>
      <c r="P1461" s="16"/>
      <c r="Q1461" s="19"/>
      <c r="R1461" s="10"/>
      <c r="S1461" s="16"/>
      <c r="T1461" s="0" t="str">
        <f aca="false">IF(OR($D1461="",单元查询!$B$3=""),"",IF($D1461&lt;&gt;单元查询!$B$3,"",IF(OR(单元查询!$D$3="",$E1461&amp;""=单元查询!$D$3&amp;""),IF(ISNUMBER($B1461),$B1461*10000,0)+ROW(),"")))</f>
        <v/>
      </c>
      <c r="U1461" s="0" t="str">
        <f aca="false">IF(OR($B1461="",$L1461="已完成"),"",IF(ISNUMBER($B1461),IF(设置!$B$6&lt;$B1461,"",(设置!$B$6-$B1461)*100000+ROW()),""))</f>
        <v/>
      </c>
      <c r="V1461" s="0" t="str">
        <f aca="false">IF(ISNUMBER($O1461),IF($O1461&gt;=2,IF(COUNTIFS($D1461:$D$2006,$D1461,$E1461:$E$2006,$E1461)=1,ROW(),""),""),"")</f>
        <v/>
      </c>
    </row>
    <row r="1462" customFormat="false" ht="15" hidden="false" customHeight="true" outlineLevel="0" collapsed="false">
      <c r="A1462" s="13" t="str">
        <f aca="false">IF(AND($B1462="",$D1462="",$E1462="",$F1462=""),"",IF(OR($B1462="",$D1462="",$E1462=""),"待补",IF($D1462="公共区域","公",IF($D1462="商铺","S",SUBSTITUTE($D1462,"栋","")))&amp;"-"&amp;$E1462&amp;"-"&amp;TEXT(MONTH($B1462),"00")&amp;TEXT(DAY($B1462),"00")&amp;IF(ISNUMBER($O1462),IF($O1462&gt;1,"-"&amp;TEXT($O1462,"00"),""),"")))</f>
        <v/>
      </c>
      <c r="B1462" s="14"/>
      <c r="C1462" s="10"/>
      <c r="D1462" s="10"/>
      <c r="E1462" s="10"/>
      <c r="F1462" s="16"/>
      <c r="G1462" s="10"/>
      <c r="H1462" s="10"/>
      <c r="I1462" s="10"/>
      <c r="J1462" s="10"/>
      <c r="K1462" s="10"/>
      <c r="L1462" s="10"/>
      <c r="M1462" s="14"/>
      <c r="N1462" s="17" t="str">
        <f aca="false">IF($B1462="","",IF($L1462="已完成",IF($M1462="","",$M1462-$B1462),IF(设置!$B$6&lt;$B1462,"",IF((设置!$B$6-$B1462)&gt;=设置!$B$5,"超期"&amp;(设置!$B$6-$B1462)&amp;"天","已等"&amp;(设置!$B$6-$B1462)&amp;"天"))))</f>
        <v/>
      </c>
      <c r="O1462" s="18" t="str">
        <f aca="false">IF(OR($D1462="",$E1462=""),"",COUNTIFS($D$7:$D1462,$D1462,$E$7:$E1462,$E1462))</f>
        <v/>
      </c>
      <c r="P1462" s="16"/>
      <c r="Q1462" s="19"/>
      <c r="R1462" s="10"/>
      <c r="S1462" s="16"/>
      <c r="T1462" s="0" t="str">
        <f aca="false">IF(OR($D1462="",单元查询!$B$3=""),"",IF($D1462&lt;&gt;单元查询!$B$3,"",IF(OR(单元查询!$D$3="",$E1462&amp;""=单元查询!$D$3&amp;""),IF(ISNUMBER($B1462),$B1462*10000,0)+ROW(),"")))</f>
        <v/>
      </c>
      <c r="U1462" s="0" t="str">
        <f aca="false">IF(OR($B1462="",$L1462="已完成"),"",IF(ISNUMBER($B1462),IF(设置!$B$6&lt;$B1462,"",(设置!$B$6-$B1462)*100000+ROW()),""))</f>
        <v/>
      </c>
      <c r="V1462" s="0" t="str">
        <f aca="false">IF(ISNUMBER($O1462),IF($O1462&gt;=2,IF(COUNTIFS($D1462:$D$2006,$D1462,$E1462:$E$2006,$E1462)=1,ROW(),""),""),"")</f>
        <v/>
      </c>
    </row>
    <row r="1463" customFormat="false" ht="15" hidden="false" customHeight="true" outlineLevel="0" collapsed="false">
      <c r="A1463" s="13" t="str">
        <f aca="false">IF(AND($B1463="",$D1463="",$E1463="",$F1463=""),"",IF(OR($B1463="",$D1463="",$E1463=""),"待补",IF($D1463="公共区域","公",IF($D1463="商铺","S",SUBSTITUTE($D1463,"栋","")))&amp;"-"&amp;$E1463&amp;"-"&amp;TEXT(MONTH($B1463),"00")&amp;TEXT(DAY($B1463),"00")&amp;IF(ISNUMBER($O1463),IF($O1463&gt;1,"-"&amp;TEXT($O1463,"00"),""),"")))</f>
        <v/>
      </c>
      <c r="B1463" s="14"/>
      <c r="C1463" s="10"/>
      <c r="D1463" s="10"/>
      <c r="E1463" s="10"/>
      <c r="F1463" s="16"/>
      <c r="G1463" s="10"/>
      <c r="H1463" s="10"/>
      <c r="I1463" s="10"/>
      <c r="J1463" s="10"/>
      <c r="K1463" s="10"/>
      <c r="L1463" s="10"/>
      <c r="M1463" s="14"/>
      <c r="N1463" s="17" t="str">
        <f aca="false">IF($B1463="","",IF($L1463="已完成",IF($M1463="","",$M1463-$B1463),IF(设置!$B$6&lt;$B1463,"",IF((设置!$B$6-$B1463)&gt;=设置!$B$5,"超期"&amp;(设置!$B$6-$B1463)&amp;"天","已等"&amp;(设置!$B$6-$B1463)&amp;"天"))))</f>
        <v/>
      </c>
      <c r="O1463" s="18" t="str">
        <f aca="false">IF(OR($D1463="",$E1463=""),"",COUNTIFS($D$7:$D1463,$D1463,$E$7:$E1463,$E1463))</f>
        <v/>
      </c>
      <c r="P1463" s="16"/>
      <c r="Q1463" s="19"/>
      <c r="R1463" s="10"/>
      <c r="S1463" s="16"/>
      <c r="T1463" s="0" t="str">
        <f aca="false">IF(OR($D1463="",单元查询!$B$3=""),"",IF($D1463&lt;&gt;单元查询!$B$3,"",IF(OR(单元查询!$D$3="",$E1463&amp;""=单元查询!$D$3&amp;""),IF(ISNUMBER($B1463),$B1463*10000,0)+ROW(),"")))</f>
        <v/>
      </c>
      <c r="U1463" s="0" t="str">
        <f aca="false">IF(OR($B1463="",$L1463="已完成"),"",IF(ISNUMBER($B1463),IF(设置!$B$6&lt;$B1463,"",(设置!$B$6-$B1463)*100000+ROW()),""))</f>
        <v/>
      </c>
      <c r="V1463" s="0" t="str">
        <f aca="false">IF(ISNUMBER($O1463),IF($O1463&gt;=2,IF(COUNTIFS($D1463:$D$2006,$D1463,$E1463:$E$2006,$E1463)=1,ROW(),""),""),"")</f>
        <v/>
      </c>
    </row>
    <row r="1464" customFormat="false" ht="15" hidden="false" customHeight="true" outlineLevel="0" collapsed="false">
      <c r="A1464" s="13" t="str">
        <f aca="false">IF(AND($B1464="",$D1464="",$E1464="",$F1464=""),"",IF(OR($B1464="",$D1464="",$E1464=""),"待补",IF($D1464="公共区域","公",IF($D1464="商铺","S",SUBSTITUTE($D1464,"栋","")))&amp;"-"&amp;$E1464&amp;"-"&amp;TEXT(MONTH($B1464),"00")&amp;TEXT(DAY($B1464),"00")&amp;IF(ISNUMBER($O1464),IF($O1464&gt;1,"-"&amp;TEXT($O1464,"00"),""),"")))</f>
        <v/>
      </c>
      <c r="B1464" s="14"/>
      <c r="C1464" s="10"/>
      <c r="D1464" s="10"/>
      <c r="E1464" s="10"/>
      <c r="F1464" s="16"/>
      <c r="G1464" s="10"/>
      <c r="H1464" s="10"/>
      <c r="I1464" s="10"/>
      <c r="J1464" s="10"/>
      <c r="K1464" s="10"/>
      <c r="L1464" s="10"/>
      <c r="M1464" s="14"/>
      <c r="N1464" s="17" t="str">
        <f aca="false">IF($B1464="","",IF($L1464="已完成",IF($M1464="","",$M1464-$B1464),IF(设置!$B$6&lt;$B1464,"",IF((设置!$B$6-$B1464)&gt;=设置!$B$5,"超期"&amp;(设置!$B$6-$B1464)&amp;"天","已等"&amp;(设置!$B$6-$B1464)&amp;"天"))))</f>
        <v/>
      </c>
      <c r="O1464" s="18" t="str">
        <f aca="false">IF(OR($D1464="",$E1464=""),"",COUNTIFS($D$7:$D1464,$D1464,$E$7:$E1464,$E1464))</f>
        <v/>
      </c>
      <c r="P1464" s="16"/>
      <c r="Q1464" s="19"/>
      <c r="R1464" s="10"/>
      <c r="S1464" s="16"/>
      <c r="T1464" s="0" t="str">
        <f aca="false">IF(OR($D1464="",单元查询!$B$3=""),"",IF($D1464&lt;&gt;单元查询!$B$3,"",IF(OR(单元查询!$D$3="",$E1464&amp;""=单元查询!$D$3&amp;""),IF(ISNUMBER($B1464),$B1464*10000,0)+ROW(),"")))</f>
        <v/>
      </c>
      <c r="U1464" s="0" t="str">
        <f aca="false">IF(OR($B1464="",$L1464="已完成"),"",IF(ISNUMBER($B1464),IF(设置!$B$6&lt;$B1464,"",(设置!$B$6-$B1464)*100000+ROW()),""))</f>
        <v/>
      </c>
      <c r="V1464" s="0" t="str">
        <f aca="false">IF(ISNUMBER($O1464),IF($O1464&gt;=2,IF(COUNTIFS($D1464:$D$2006,$D1464,$E1464:$E$2006,$E1464)=1,ROW(),""),""),"")</f>
        <v/>
      </c>
    </row>
    <row r="1465" customFormat="false" ht="15" hidden="false" customHeight="true" outlineLevel="0" collapsed="false">
      <c r="A1465" s="13" t="str">
        <f aca="false">IF(AND($B1465="",$D1465="",$E1465="",$F1465=""),"",IF(OR($B1465="",$D1465="",$E1465=""),"待补",IF($D1465="公共区域","公",IF($D1465="商铺","S",SUBSTITUTE($D1465,"栋","")))&amp;"-"&amp;$E1465&amp;"-"&amp;TEXT(MONTH($B1465),"00")&amp;TEXT(DAY($B1465),"00")&amp;IF(ISNUMBER($O1465),IF($O1465&gt;1,"-"&amp;TEXT($O1465,"00"),""),"")))</f>
        <v/>
      </c>
      <c r="B1465" s="14"/>
      <c r="C1465" s="10"/>
      <c r="D1465" s="10"/>
      <c r="E1465" s="10"/>
      <c r="F1465" s="16"/>
      <c r="G1465" s="10"/>
      <c r="H1465" s="10"/>
      <c r="I1465" s="10"/>
      <c r="J1465" s="10"/>
      <c r="K1465" s="10"/>
      <c r="L1465" s="10"/>
      <c r="M1465" s="14"/>
      <c r="N1465" s="17" t="str">
        <f aca="false">IF($B1465="","",IF($L1465="已完成",IF($M1465="","",$M1465-$B1465),IF(设置!$B$6&lt;$B1465,"",IF((设置!$B$6-$B1465)&gt;=设置!$B$5,"超期"&amp;(设置!$B$6-$B1465)&amp;"天","已等"&amp;(设置!$B$6-$B1465)&amp;"天"))))</f>
        <v/>
      </c>
      <c r="O1465" s="18" t="str">
        <f aca="false">IF(OR($D1465="",$E1465=""),"",COUNTIFS($D$7:$D1465,$D1465,$E$7:$E1465,$E1465))</f>
        <v/>
      </c>
      <c r="P1465" s="16"/>
      <c r="Q1465" s="19"/>
      <c r="R1465" s="10"/>
      <c r="S1465" s="16"/>
      <c r="T1465" s="0" t="str">
        <f aca="false">IF(OR($D1465="",单元查询!$B$3=""),"",IF($D1465&lt;&gt;单元查询!$B$3,"",IF(OR(单元查询!$D$3="",$E1465&amp;""=单元查询!$D$3&amp;""),IF(ISNUMBER($B1465),$B1465*10000,0)+ROW(),"")))</f>
        <v/>
      </c>
      <c r="U1465" s="0" t="str">
        <f aca="false">IF(OR($B1465="",$L1465="已完成"),"",IF(ISNUMBER($B1465),IF(设置!$B$6&lt;$B1465,"",(设置!$B$6-$B1465)*100000+ROW()),""))</f>
        <v/>
      </c>
      <c r="V1465" s="0" t="str">
        <f aca="false">IF(ISNUMBER($O1465),IF($O1465&gt;=2,IF(COUNTIFS($D1465:$D$2006,$D1465,$E1465:$E$2006,$E1465)=1,ROW(),""),""),"")</f>
        <v/>
      </c>
    </row>
    <row r="1466" customFormat="false" ht="15" hidden="false" customHeight="true" outlineLevel="0" collapsed="false">
      <c r="A1466" s="13" t="str">
        <f aca="false">IF(AND($B1466="",$D1466="",$E1466="",$F1466=""),"",IF(OR($B1466="",$D1466="",$E1466=""),"待补",IF($D1466="公共区域","公",IF($D1466="商铺","S",SUBSTITUTE($D1466,"栋","")))&amp;"-"&amp;$E1466&amp;"-"&amp;TEXT(MONTH($B1466),"00")&amp;TEXT(DAY($B1466),"00")&amp;IF(ISNUMBER($O1466),IF($O1466&gt;1,"-"&amp;TEXT($O1466,"00"),""),"")))</f>
        <v/>
      </c>
      <c r="B1466" s="14"/>
      <c r="C1466" s="10"/>
      <c r="D1466" s="10"/>
      <c r="E1466" s="10"/>
      <c r="F1466" s="16"/>
      <c r="G1466" s="10"/>
      <c r="H1466" s="10"/>
      <c r="I1466" s="10"/>
      <c r="J1466" s="10"/>
      <c r="K1466" s="10"/>
      <c r="L1466" s="10"/>
      <c r="M1466" s="14"/>
      <c r="N1466" s="17" t="str">
        <f aca="false">IF($B1466="","",IF($L1466="已完成",IF($M1466="","",$M1466-$B1466),IF(设置!$B$6&lt;$B1466,"",IF((设置!$B$6-$B1466)&gt;=设置!$B$5,"超期"&amp;(设置!$B$6-$B1466)&amp;"天","已等"&amp;(设置!$B$6-$B1466)&amp;"天"))))</f>
        <v/>
      </c>
      <c r="O1466" s="18" t="str">
        <f aca="false">IF(OR($D1466="",$E1466=""),"",COUNTIFS($D$7:$D1466,$D1466,$E$7:$E1466,$E1466))</f>
        <v/>
      </c>
      <c r="P1466" s="16"/>
      <c r="Q1466" s="19"/>
      <c r="R1466" s="10"/>
      <c r="S1466" s="16"/>
      <c r="T1466" s="0" t="str">
        <f aca="false">IF(OR($D1466="",单元查询!$B$3=""),"",IF($D1466&lt;&gt;单元查询!$B$3,"",IF(OR(单元查询!$D$3="",$E1466&amp;""=单元查询!$D$3&amp;""),IF(ISNUMBER($B1466),$B1466*10000,0)+ROW(),"")))</f>
        <v/>
      </c>
      <c r="U1466" s="0" t="str">
        <f aca="false">IF(OR($B1466="",$L1466="已完成"),"",IF(ISNUMBER($B1466),IF(设置!$B$6&lt;$B1466,"",(设置!$B$6-$B1466)*100000+ROW()),""))</f>
        <v/>
      </c>
      <c r="V1466" s="0" t="str">
        <f aca="false">IF(ISNUMBER($O1466),IF($O1466&gt;=2,IF(COUNTIFS($D1466:$D$2006,$D1466,$E1466:$E$2006,$E1466)=1,ROW(),""),""),"")</f>
        <v/>
      </c>
    </row>
    <row r="1467" customFormat="false" ht="15" hidden="false" customHeight="true" outlineLevel="0" collapsed="false">
      <c r="A1467" s="13" t="str">
        <f aca="false">IF(AND($B1467="",$D1467="",$E1467="",$F1467=""),"",IF(OR($B1467="",$D1467="",$E1467=""),"待补",IF($D1467="公共区域","公",IF($D1467="商铺","S",SUBSTITUTE($D1467,"栋","")))&amp;"-"&amp;$E1467&amp;"-"&amp;TEXT(MONTH($B1467),"00")&amp;TEXT(DAY($B1467),"00")&amp;IF(ISNUMBER($O1467),IF($O1467&gt;1,"-"&amp;TEXT($O1467,"00"),""),"")))</f>
        <v/>
      </c>
      <c r="B1467" s="14"/>
      <c r="C1467" s="10"/>
      <c r="D1467" s="10"/>
      <c r="E1467" s="10"/>
      <c r="F1467" s="16"/>
      <c r="G1467" s="10"/>
      <c r="H1467" s="10"/>
      <c r="I1467" s="10"/>
      <c r="J1467" s="10"/>
      <c r="K1467" s="10"/>
      <c r="L1467" s="10"/>
      <c r="M1467" s="14"/>
      <c r="N1467" s="17" t="str">
        <f aca="false">IF($B1467="","",IF($L1467="已完成",IF($M1467="","",$M1467-$B1467),IF(设置!$B$6&lt;$B1467,"",IF((设置!$B$6-$B1467)&gt;=设置!$B$5,"超期"&amp;(设置!$B$6-$B1467)&amp;"天","已等"&amp;(设置!$B$6-$B1467)&amp;"天"))))</f>
        <v/>
      </c>
      <c r="O1467" s="18" t="str">
        <f aca="false">IF(OR($D1467="",$E1467=""),"",COUNTIFS($D$7:$D1467,$D1467,$E$7:$E1467,$E1467))</f>
        <v/>
      </c>
      <c r="P1467" s="16"/>
      <c r="Q1467" s="19"/>
      <c r="R1467" s="10"/>
      <c r="S1467" s="16"/>
      <c r="T1467" s="0" t="str">
        <f aca="false">IF(OR($D1467="",单元查询!$B$3=""),"",IF($D1467&lt;&gt;单元查询!$B$3,"",IF(OR(单元查询!$D$3="",$E1467&amp;""=单元查询!$D$3&amp;""),IF(ISNUMBER($B1467),$B1467*10000,0)+ROW(),"")))</f>
        <v/>
      </c>
      <c r="U1467" s="0" t="str">
        <f aca="false">IF(OR($B1467="",$L1467="已完成"),"",IF(ISNUMBER($B1467),IF(设置!$B$6&lt;$B1467,"",(设置!$B$6-$B1467)*100000+ROW()),""))</f>
        <v/>
      </c>
      <c r="V1467" s="0" t="str">
        <f aca="false">IF(ISNUMBER($O1467),IF($O1467&gt;=2,IF(COUNTIFS($D1467:$D$2006,$D1467,$E1467:$E$2006,$E1467)=1,ROW(),""),""),"")</f>
        <v/>
      </c>
    </row>
    <row r="1468" customFormat="false" ht="15" hidden="false" customHeight="true" outlineLevel="0" collapsed="false">
      <c r="A1468" s="13" t="str">
        <f aca="false">IF(AND($B1468="",$D1468="",$E1468="",$F1468=""),"",IF(OR($B1468="",$D1468="",$E1468=""),"待补",IF($D1468="公共区域","公",IF($D1468="商铺","S",SUBSTITUTE($D1468,"栋","")))&amp;"-"&amp;$E1468&amp;"-"&amp;TEXT(MONTH($B1468),"00")&amp;TEXT(DAY($B1468),"00")&amp;IF(ISNUMBER($O1468),IF($O1468&gt;1,"-"&amp;TEXT($O1468,"00"),""),"")))</f>
        <v/>
      </c>
      <c r="B1468" s="14"/>
      <c r="C1468" s="10"/>
      <c r="D1468" s="10"/>
      <c r="E1468" s="10"/>
      <c r="F1468" s="16"/>
      <c r="G1468" s="10"/>
      <c r="H1468" s="10"/>
      <c r="I1468" s="10"/>
      <c r="J1468" s="10"/>
      <c r="K1468" s="10"/>
      <c r="L1468" s="10"/>
      <c r="M1468" s="14"/>
      <c r="N1468" s="17" t="str">
        <f aca="false">IF($B1468="","",IF($L1468="已完成",IF($M1468="","",$M1468-$B1468),IF(设置!$B$6&lt;$B1468,"",IF((设置!$B$6-$B1468)&gt;=设置!$B$5,"超期"&amp;(设置!$B$6-$B1468)&amp;"天","已等"&amp;(设置!$B$6-$B1468)&amp;"天"))))</f>
        <v/>
      </c>
      <c r="O1468" s="18" t="str">
        <f aca="false">IF(OR($D1468="",$E1468=""),"",COUNTIFS($D$7:$D1468,$D1468,$E$7:$E1468,$E1468))</f>
        <v/>
      </c>
      <c r="P1468" s="16"/>
      <c r="Q1468" s="19"/>
      <c r="R1468" s="10"/>
      <c r="S1468" s="16"/>
      <c r="T1468" s="0" t="str">
        <f aca="false">IF(OR($D1468="",单元查询!$B$3=""),"",IF($D1468&lt;&gt;单元查询!$B$3,"",IF(OR(单元查询!$D$3="",$E1468&amp;""=单元查询!$D$3&amp;""),IF(ISNUMBER($B1468),$B1468*10000,0)+ROW(),"")))</f>
        <v/>
      </c>
      <c r="U1468" s="0" t="str">
        <f aca="false">IF(OR($B1468="",$L1468="已完成"),"",IF(ISNUMBER($B1468),IF(设置!$B$6&lt;$B1468,"",(设置!$B$6-$B1468)*100000+ROW()),""))</f>
        <v/>
      </c>
      <c r="V1468" s="0" t="str">
        <f aca="false">IF(ISNUMBER($O1468),IF($O1468&gt;=2,IF(COUNTIFS($D1468:$D$2006,$D1468,$E1468:$E$2006,$E1468)=1,ROW(),""),""),"")</f>
        <v/>
      </c>
    </row>
    <row r="1469" customFormat="false" ht="15" hidden="false" customHeight="true" outlineLevel="0" collapsed="false">
      <c r="A1469" s="13" t="str">
        <f aca="false">IF(AND($B1469="",$D1469="",$E1469="",$F1469=""),"",IF(OR($B1469="",$D1469="",$E1469=""),"待补",IF($D1469="公共区域","公",IF($D1469="商铺","S",SUBSTITUTE($D1469,"栋","")))&amp;"-"&amp;$E1469&amp;"-"&amp;TEXT(MONTH($B1469),"00")&amp;TEXT(DAY($B1469),"00")&amp;IF(ISNUMBER($O1469),IF($O1469&gt;1,"-"&amp;TEXT($O1469,"00"),""),"")))</f>
        <v/>
      </c>
      <c r="B1469" s="14"/>
      <c r="C1469" s="10"/>
      <c r="D1469" s="10"/>
      <c r="E1469" s="10"/>
      <c r="F1469" s="16"/>
      <c r="G1469" s="10"/>
      <c r="H1469" s="10"/>
      <c r="I1469" s="10"/>
      <c r="J1469" s="10"/>
      <c r="K1469" s="10"/>
      <c r="L1469" s="10"/>
      <c r="M1469" s="14"/>
      <c r="N1469" s="17" t="str">
        <f aca="false">IF($B1469="","",IF($L1469="已完成",IF($M1469="","",$M1469-$B1469),IF(设置!$B$6&lt;$B1469,"",IF((设置!$B$6-$B1469)&gt;=设置!$B$5,"超期"&amp;(设置!$B$6-$B1469)&amp;"天","已等"&amp;(设置!$B$6-$B1469)&amp;"天"))))</f>
        <v/>
      </c>
      <c r="O1469" s="18" t="str">
        <f aca="false">IF(OR($D1469="",$E1469=""),"",COUNTIFS($D$7:$D1469,$D1469,$E$7:$E1469,$E1469))</f>
        <v/>
      </c>
      <c r="P1469" s="16"/>
      <c r="Q1469" s="19"/>
      <c r="R1469" s="10"/>
      <c r="S1469" s="16"/>
      <c r="T1469" s="0" t="str">
        <f aca="false">IF(OR($D1469="",单元查询!$B$3=""),"",IF($D1469&lt;&gt;单元查询!$B$3,"",IF(OR(单元查询!$D$3="",$E1469&amp;""=单元查询!$D$3&amp;""),IF(ISNUMBER($B1469),$B1469*10000,0)+ROW(),"")))</f>
        <v/>
      </c>
      <c r="U1469" s="0" t="str">
        <f aca="false">IF(OR($B1469="",$L1469="已完成"),"",IF(ISNUMBER($B1469),IF(设置!$B$6&lt;$B1469,"",(设置!$B$6-$B1469)*100000+ROW()),""))</f>
        <v/>
      </c>
      <c r="V1469" s="0" t="str">
        <f aca="false">IF(ISNUMBER($O1469),IF($O1469&gt;=2,IF(COUNTIFS($D1469:$D$2006,$D1469,$E1469:$E$2006,$E1469)=1,ROW(),""),""),"")</f>
        <v/>
      </c>
    </row>
    <row r="1470" customFormat="false" ht="15" hidden="false" customHeight="true" outlineLevel="0" collapsed="false">
      <c r="A1470" s="13" t="str">
        <f aca="false">IF(AND($B1470="",$D1470="",$E1470="",$F1470=""),"",IF(OR($B1470="",$D1470="",$E1470=""),"待补",IF($D1470="公共区域","公",IF($D1470="商铺","S",SUBSTITUTE($D1470,"栋","")))&amp;"-"&amp;$E1470&amp;"-"&amp;TEXT(MONTH($B1470),"00")&amp;TEXT(DAY($B1470),"00")&amp;IF(ISNUMBER($O1470),IF($O1470&gt;1,"-"&amp;TEXT($O1470,"00"),""),"")))</f>
        <v/>
      </c>
      <c r="B1470" s="14"/>
      <c r="C1470" s="10"/>
      <c r="D1470" s="10"/>
      <c r="E1470" s="10"/>
      <c r="F1470" s="16"/>
      <c r="G1470" s="10"/>
      <c r="H1470" s="10"/>
      <c r="I1470" s="10"/>
      <c r="J1470" s="10"/>
      <c r="K1470" s="10"/>
      <c r="L1470" s="10"/>
      <c r="M1470" s="14"/>
      <c r="N1470" s="17" t="str">
        <f aca="false">IF($B1470="","",IF($L1470="已完成",IF($M1470="","",$M1470-$B1470),IF(设置!$B$6&lt;$B1470,"",IF((设置!$B$6-$B1470)&gt;=设置!$B$5,"超期"&amp;(设置!$B$6-$B1470)&amp;"天","已等"&amp;(设置!$B$6-$B1470)&amp;"天"))))</f>
        <v/>
      </c>
      <c r="O1470" s="18" t="str">
        <f aca="false">IF(OR($D1470="",$E1470=""),"",COUNTIFS($D$7:$D1470,$D1470,$E$7:$E1470,$E1470))</f>
        <v/>
      </c>
      <c r="P1470" s="16"/>
      <c r="Q1470" s="19"/>
      <c r="R1470" s="10"/>
      <c r="S1470" s="16"/>
      <c r="T1470" s="0" t="str">
        <f aca="false">IF(OR($D1470="",单元查询!$B$3=""),"",IF($D1470&lt;&gt;单元查询!$B$3,"",IF(OR(单元查询!$D$3="",$E1470&amp;""=单元查询!$D$3&amp;""),IF(ISNUMBER($B1470),$B1470*10000,0)+ROW(),"")))</f>
        <v/>
      </c>
      <c r="U1470" s="0" t="str">
        <f aca="false">IF(OR($B1470="",$L1470="已完成"),"",IF(ISNUMBER($B1470),IF(设置!$B$6&lt;$B1470,"",(设置!$B$6-$B1470)*100000+ROW()),""))</f>
        <v/>
      </c>
      <c r="V1470" s="0" t="str">
        <f aca="false">IF(ISNUMBER($O1470),IF($O1470&gt;=2,IF(COUNTIFS($D1470:$D$2006,$D1470,$E1470:$E$2006,$E1470)=1,ROW(),""),""),"")</f>
        <v/>
      </c>
    </row>
    <row r="1471" customFormat="false" ht="15" hidden="false" customHeight="true" outlineLevel="0" collapsed="false">
      <c r="A1471" s="13" t="str">
        <f aca="false">IF(AND($B1471="",$D1471="",$E1471="",$F1471=""),"",IF(OR($B1471="",$D1471="",$E1471=""),"待补",IF($D1471="公共区域","公",IF($D1471="商铺","S",SUBSTITUTE($D1471,"栋","")))&amp;"-"&amp;$E1471&amp;"-"&amp;TEXT(MONTH($B1471),"00")&amp;TEXT(DAY($B1471),"00")&amp;IF(ISNUMBER($O1471),IF($O1471&gt;1,"-"&amp;TEXT($O1471,"00"),""),"")))</f>
        <v/>
      </c>
      <c r="B1471" s="14"/>
      <c r="C1471" s="10"/>
      <c r="D1471" s="10"/>
      <c r="E1471" s="10"/>
      <c r="F1471" s="16"/>
      <c r="G1471" s="10"/>
      <c r="H1471" s="10"/>
      <c r="I1471" s="10"/>
      <c r="J1471" s="10"/>
      <c r="K1471" s="10"/>
      <c r="L1471" s="10"/>
      <c r="M1471" s="14"/>
      <c r="N1471" s="17" t="str">
        <f aca="false">IF($B1471="","",IF($L1471="已完成",IF($M1471="","",$M1471-$B1471),IF(设置!$B$6&lt;$B1471,"",IF((设置!$B$6-$B1471)&gt;=设置!$B$5,"超期"&amp;(设置!$B$6-$B1471)&amp;"天","已等"&amp;(设置!$B$6-$B1471)&amp;"天"))))</f>
        <v/>
      </c>
      <c r="O1471" s="18" t="str">
        <f aca="false">IF(OR($D1471="",$E1471=""),"",COUNTIFS($D$7:$D1471,$D1471,$E$7:$E1471,$E1471))</f>
        <v/>
      </c>
      <c r="P1471" s="16"/>
      <c r="Q1471" s="19"/>
      <c r="R1471" s="10"/>
      <c r="S1471" s="16"/>
      <c r="T1471" s="0" t="str">
        <f aca="false">IF(OR($D1471="",单元查询!$B$3=""),"",IF($D1471&lt;&gt;单元查询!$B$3,"",IF(OR(单元查询!$D$3="",$E1471&amp;""=单元查询!$D$3&amp;""),IF(ISNUMBER($B1471),$B1471*10000,0)+ROW(),"")))</f>
        <v/>
      </c>
      <c r="U1471" s="0" t="str">
        <f aca="false">IF(OR($B1471="",$L1471="已完成"),"",IF(ISNUMBER($B1471),IF(设置!$B$6&lt;$B1471,"",(设置!$B$6-$B1471)*100000+ROW()),""))</f>
        <v/>
      </c>
      <c r="V1471" s="0" t="str">
        <f aca="false">IF(ISNUMBER($O1471),IF($O1471&gt;=2,IF(COUNTIFS($D1471:$D$2006,$D1471,$E1471:$E$2006,$E1471)=1,ROW(),""),""),"")</f>
        <v/>
      </c>
    </row>
    <row r="1472" customFormat="false" ht="15" hidden="false" customHeight="true" outlineLevel="0" collapsed="false">
      <c r="A1472" s="13" t="str">
        <f aca="false">IF(AND($B1472="",$D1472="",$E1472="",$F1472=""),"",IF(OR($B1472="",$D1472="",$E1472=""),"待补",IF($D1472="公共区域","公",IF($D1472="商铺","S",SUBSTITUTE($D1472,"栋","")))&amp;"-"&amp;$E1472&amp;"-"&amp;TEXT(MONTH($B1472),"00")&amp;TEXT(DAY($B1472),"00")&amp;IF(ISNUMBER($O1472),IF($O1472&gt;1,"-"&amp;TEXT($O1472,"00"),""),"")))</f>
        <v/>
      </c>
      <c r="B1472" s="14"/>
      <c r="C1472" s="10"/>
      <c r="D1472" s="10"/>
      <c r="E1472" s="10"/>
      <c r="F1472" s="16"/>
      <c r="G1472" s="10"/>
      <c r="H1472" s="10"/>
      <c r="I1472" s="10"/>
      <c r="J1472" s="10"/>
      <c r="K1472" s="10"/>
      <c r="L1472" s="10"/>
      <c r="M1472" s="14"/>
      <c r="N1472" s="17" t="str">
        <f aca="false">IF($B1472="","",IF($L1472="已完成",IF($M1472="","",$M1472-$B1472),IF(设置!$B$6&lt;$B1472,"",IF((设置!$B$6-$B1472)&gt;=设置!$B$5,"超期"&amp;(设置!$B$6-$B1472)&amp;"天","已等"&amp;(设置!$B$6-$B1472)&amp;"天"))))</f>
        <v/>
      </c>
      <c r="O1472" s="18" t="str">
        <f aca="false">IF(OR($D1472="",$E1472=""),"",COUNTIFS($D$7:$D1472,$D1472,$E$7:$E1472,$E1472))</f>
        <v/>
      </c>
      <c r="P1472" s="16"/>
      <c r="Q1472" s="19"/>
      <c r="R1472" s="10"/>
      <c r="S1472" s="16"/>
      <c r="T1472" s="0" t="str">
        <f aca="false">IF(OR($D1472="",单元查询!$B$3=""),"",IF($D1472&lt;&gt;单元查询!$B$3,"",IF(OR(单元查询!$D$3="",$E1472&amp;""=单元查询!$D$3&amp;""),IF(ISNUMBER($B1472),$B1472*10000,0)+ROW(),"")))</f>
        <v/>
      </c>
      <c r="U1472" s="0" t="str">
        <f aca="false">IF(OR($B1472="",$L1472="已完成"),"",IF(ISNUMBER($B1472),IF(设置!$B$6&lt;$B1472,"",(设置!$B$6-$B1472)*100000+ROW()),""))</f>
        <v/>
      </c>
      <c r="V1472" s="0" t="str">
        <f aca="false">IF(ISNUMBER($O1472),IF($O1472&gt;=2,IF(COUNTIFS($D1472:$D$2006,$D1472,$E1472:$E$2006,$E1472)=1,ROW(),""),""),"")</f>
        <v/>
      </c>
    </row>
    <row r="1473" customFormat="false" ht="15" hidden="false" customHeight="true" outlineLevel="0" collapsed="false">
      <c r="A1473" s="13" t="str">
        <f aca="false">IF(AND($B1473="",$D1473="",$E1473="",$F1473=""),"",IF(OR($B1473="",$D1473="",$E1473=""),"待补",IF($D1473="公共区域","公",IF($D1473="商铺","S",SUBSTITUTE($D1473,"栋","")))&amp;"-"&amp;$E1473&amp;"-"&amp;TEXT(MONTH($B1473),"00")&amp;TEXT(DAY($B1473),"00")&amp;IF(ISNUMBER($O1473),IF($O1473&gt;1,"-"&amp;TEXT($O1473,"00"),""),"")))</f>
        <v/>
      </c>
      <c r="B1473" s="14"/>
      <c r="C1473" s="10"/>
      <c r="D1473" s="10"/>
      <c r="E1473" s="10"/>
      <c r="F1473" s="16"/>
      <c r="G1473" s="10"/>
      <c r="H1473" s="10"/>
      <c r="I1473" s="10"/>
      <c r="J1473" s="10"/>
      <c r="K1473" s="10"/>
      <c r="L1473" s="10"/>
      <c r="M1473" s="14"/>
      <c r="N1473" s="17" t="str">
        <f aca="false">IF($B1473="","",IF($L1473="已完成",IF($M1473="","",$M1473-$B1473),IF(设置!$B$6&lt;$B1473,"",IF((设置!$B$6-$B1473)&gt;=设置!$B$5,"超期"&amp;(设置!$B$6-$B1473)&amp;"天","已等"&amp;(设置!$B$6-$B1473)&amp;"天"))))</f>
        <v/>
      </c>
      <c r="O1473" s="18" t="str">
        <f aca="false">IF(OR($D1473="",$E1473=""),"",COUNTIFS($D$7:$D1473,$D1473,$E$7:$E1473,$E1473))</f>
        <v/>
      </c>
      <c r="P1473" s="16"/>
      <c r="Q1473" s="19"/>
      <c r="R1473" s="10"/>
      <c r="S1473" s="16"/>
      <c r="T1473" s="0" t="str">
        <f aca="false">IF(OR($D1473="",单元查询!$B$3=""),"",IF($D1473&lt;&gt;单元查询!$B$3,"",IF(OR(单元查询!$D$3="",$E1473&amp;""=单元查询!$D$3&amp;""),IF(ISNUMBER($B1473),$B1473*10000,0)+ROW(),"")))</f>
        <v/>
      </c>
      <c r="U1473" s="0" t="str">
        <f aca="false">IF(OR($B1473="",$L1473="已完成"),"",IF(ISNUMBER($B1473),IF(设置!$B$6&lt;$B1473,"",(设置!$B$6-$B1473)*100000+ROW()),""))</f>
        <v/>
      </c>
      <c r="V1473" s="0" t="str">
        <f aca="false">IF(ISNUMBER($O1473),IF($O1473&gt;=2,IF(COUNTIFS($D1473:$D$2006,$D1473,$E1473:$E$2006,$E1473)=1,ROW(),""),""),"")</f>
        <v/>
      </c>
    </row>
    <row r="1474" customFormat="false" ht="15" hidden="false" customHeight="true" outlineLevel="0" collapsed="false">
      <c r="A1474" s="13" t="str">
        <f aca="false">IF(AND($B1474="",$D1474="",$E1474="",$F1474=""),"",IF(OR($B1474="",$D1474="",$E1474=""),"待补",IF($D1474="公共区域","公",IF($D1474="商铺","S",SUBSTITUTE($D1474,"栋","")))&amp;"-"&amp;$E1474&amp;"-"&amp;TEXT(MONTH($B1474),"00")&amp;TEXT(DAY($B1474),"00")&amp;IF(ISNUMBER($O1474),IF($O1474&gt;1,"-"&amp;TEXT($O1474,"00"),""),"")))</f>
        <v/>
      </c>
      <c r="B1474" s="14"/>
      <c r="C1474" s="10"/>
      <c r="D1474" s="10"/>
      <c r="E1474" s="10"/>
      <c r="F1474" s="16"/>
      <c r="G1474" s="10"/>
      <c r="H1474" s="10"/>
      <c r="I1474" s="10"/>
      <c r="J1474" s="10"/>
      <c r="K1474" s="10"/>
      <c r="L1474" s="10"/>
      <c r="M1474" s="14"/>
      <c r="N1474" s="17" t="str">
        <f aca="false">IF($B1474="","",IF($L1474="已完成",IF($M1474="","",$M1474-$B1474),IF(设置!$B$6&lt;$B1474,"",IF((设置!$B$6-$B1474)&gt;=设置!$B$5,"超期"&amp;(设置!$B$6-$B1474)&amp;"天","已等"&amp;(设置!$B$6-$B1474)&amp;"天"))))</f>
        <v/>
      </c>
      <c r="O1474" s="18" t="str">
        <f aca="false">IF(OR($D1474="",$E1474=""),"",COUNTIFS($D$7:$D1474,$D1474,$E$7:$E1474,$E1474))</f>
        <v/>
      </c>
      <c r="P1474" s="16"/>
      <c r="Q1474" s="19"/>
      <c r="R1474" s="10"/>
      <c r="S1474" s="16"/>
      <c r="T1474" s="0" t="str">
        <f aca="false">IF(OR($D1474="",单元查询!$B$3=""),"",IF($D1474&lt;&gt;单元查询!$B$3,"",IF(OR(单元查询!$D$3="",$E1474&amp;""=单元查询!$D$3&amp;""),IF(ISNUMBER($B1474),$B1474*10000,0)+ROW(),"")))</f>
        <v/>
      </c>
      <c r="U1474" s="0" t="str">
        <f aca="false">IF(OR($B1474="",$L1474="已完成"),"",IF(ISNUMBER($B1474),IF(设置!$B$6&lt;$B1474,"",(设置!$B$6-$B1474)*100000+ROW()),""))</f>
        <v/>
      </c>
      <c r="V1474" s="0" t="str">
        <f aca="false">IF(ISNUMBER($O1474),IF($O1474&gt;=2,IF(COUNTIFS($D1474:$D$2006,$D1474,$E1474:$E$2006,$E1474)=1,ROW(),""),""),"")</f>
        <v/>
      </c>
    </row>
    <row r="1475" customFormat="false" ht="15" hidden="false" customHeight="true" outlineLevel="0" collapsed="false">
      <c r="A1475" s="13" t="str">
        <f aca="false">IF(AND($B1475="",$D1475="",$E1475="",$F1475=""),"",IF(OR($B1475="",$D1475="",$E1475=""),"待补",IF($D1475="公共区域","公",IF($D1475="商铺","S",SUBSTITUTE($D1475,"栋","")))&amp;"-"&amp;$E1475&amp;"-"&amp;TEXT(MONTH($B1475),"00")&amp;TEXT(DAY($B1475),"00")&amp;IF(ISNUMBER($O1475),IF($O1475&gt;1,"-"&amp;TEXT($O1475,"00"),""),"")))</f>
        <v/>
      </c>
      <c r="B1475" s="14"/>
      <c r="C1475" s="10"/>
      <c r="D1475" s="10"/>
      <c r="E1475" s="10"/>
      <c r="F1475" s="16"/>
      <c r="G1475" s="10"/>
      <c r="H1475" s="10"/>
      <c r="I1475" s="10"/>
      <c r="J1475" s="10"/>
      <c r="K1475" s="10"/>
      <c r="L1475" s="10"/>
      <c r="M1475" s="14"/>
      <c r="N1475" s="17" t="str">
        <f aca="false">IF($B1475="","",IF($L1475="已完成",IF($M1475="","",$M1475-$B1475),IF(设置!$B$6&lt;$B1475,"",IF((设置!$B$6-$B1475)&gt;=设置!$B$5,"超期"&amp;(设置!$B$6-$B1475)&amp;"天","已等"&amp;(设置!$B$6-$B1475)&amp;"天"))))</f>
        <v/>
      </c>
      <c r="O1475" s="18" t="str">
        <f aca="false">IF(OR($D1475="",$E1475=""),"",COUNTIFS($D$7:$D1475,$D1475,$E$7:$E1475,$E1475))</f>
        <v/>
      </c>
      <c r="P1475" s="16"/>
      <c r="Q1475" s="19"/>
      <c r="R1475" s="10"/>
      <c r="S1475" s="16"/>
      <c r="T1475" s="0" t="str">
        <f aca="false">IF(OR($D1475="",单元查询!$B$3=""),"",IF($D1475&lt;&gt;单元查询!$B$3,"",IF(OR(单元查询!$D$3="",$E1475&amp;""=单元查询!$D$3&amp;""),IF(ISNUMBER($B1475),$B1475*10000,0)+ROW(),"")))</f>
        <v/>
      </c>
      <c r="U1475" s="0" t="str">
        <f aca="false">IF(OR($B1475="",$L1475="已完成"),"",IF(ISNUMBER($B1475),IF(设置!$B$6&lt;$B1475,"",(设置!$B$6-$B1475)*100000+ROW()),""))</f>
        <v/>
      </c>
      <c r="V1475" s="0" t="str">
        <f aca="false">IF(ISNUMBER($O1475),IF($O1475&gt;=2,IF(COUNTIFS($D1475:$D$2006,$D1475,$E1475:$E$2006,$E1475)=1,ROW(),""),""),"")</f>
        <v/>
      </c>
    </row>
    <row r="1476" customFormat="false" ht="15" hidden="false" customHeight="true" outlineLevel="0" collapsed="false">
      <c r="A1476" s="13" t="str">
        <f aca="false">IF(AND($B1476="",$D1476="",$E1476="",$F1476=""),"",IF(OR($B1476="",$D1476="",$E1476=""),"待补",IF($D1476="公共区域","公",IF($D1476="商铺","S",SUBSTITUTE($D1476,"栋","")))&amp;"-"&amp;$E1476&amp;"-"&amp;TEXT(MONTH($B1476),"00")&amp;TEXT(DAY($B1476),"00")&amp;IF(ISNUMBER($O1476),IF($O1476&gt;1,"-"&amp;TEXT($O1476,"00"),""),"")))</f>
        <v/>
      </c>
      <c r="B1476" s="14"/>
      <c r="C1476" s="10"/>
      <c r="D1476" s="10"/>
      <c r="E1476" s="10"/>
      <c r="F1476" s="16"/>
      <c r="G1476" s="10"/>
      <c r="H1476" s="10"/>
      <c r="I1476" s="10"/>
      <c r="J1476" s="10"/>
      <c r="K1476" s="10"/>
      <c r="L1476" s="10"/>
      <c r="M1476" s="14"/>
      <c r="N1476" s="17" t="str">
        <f aca="false">IF($B1476="","",IF($L1476="已完成",IF($M1476="","",$M1476-$B1476),IF(设置!$B$6&lt;$B1476,"",IF((设置!$B$6-$B1476)&gt;=设置!$B$5,"超期"&amp;(设置!$B$6-$B1476)&amp;"天","已等"&amp;(设置!$B$6-$B1476)&amp;"天"))))</f>
        <v/>
      </c>
      <c r="O1476" s="18" t="str">
        <f aca="false">IF(OR($D1476="",$E1476=""),"",COUNTIFS($D$7:$D1476,$D1476,$E$7:$E1476,$E1476))</f>
        <v/>
      </c>
      <c r="P1476" s="16"/>
      <c r="Q1476" s="19"/>
      <c r="R1476" s="10"/>
      <c r="S1476" s="16"/>
      <c r="T1476" s="0" t="str">
        <f aca="false">IF(OR($D1476="",单元查询!$B$3=""),"",IF($D1476&lt;&gt;单元查询!$B$3,"",IF(OR(单元查询!$D$3="",$E1476&amp;""=单元查询!$D$3&amp;""),IF(ISNUMBER($B1476),$B1476*10000,0)+ROW(),"")))</f>
        <v/>
      </c>
      <c r="U1476" s="0" t="str">
        <f aca="false">IF(OR($B1476="",$L1476="已完成"),"",IF(ISNUMBER($B1476),IF(设置!$B$6&lt;$B1476,"",(设置!$B$6-$B1476)*100000+ROW()),""))</f>
        <v/>
      </c>
      <c r="V1476" s="0" t="str">
        <f aca="false">IF(ISNUMBER($O1476),IF($O1476&gt;=2,IF(COUNTIFS($D1476:$D$2006,$D1476,$E1476:$E$2006,$E1476)=1,ROW(),""),""),"")</f>
        <v/>
      </c>
    </row>
    <row r="1477" customFormat="false" ht="15" hidden="false" customHeight="true" outlineLevel="0" collapsed="false">
      <c r="A1477" s="13" t="str">
        <f aca="false">IF(AND($B1477="",$D1477="",$E1477="",$F1477=""),"",IF(OR($B1477="",$D1477="",$E1477=""),"待补",IF($D1477="公共区域","公",IF($D1477="商铺","S",SUBSTITUTE($D1477,"栋","")))&amp;"-"&amp;$E1477&amp;"-"&amp;TEXT(MONTH($B1477),"00")&amp;TEXT(DAY($B1477),"00")&amp;IF(ISNUMBER($O1477),IF($O1477&gt;1,"-"&amp;TEXT($O1477,"00"),""),"")))</f>
        <v/>
      </c>
      <c r="B1477" s="14"/>
      <c r="C1477" s="10"/>
      <c r="D1477" s="10"/>
      <c r="E1477" s="10"/>
      <c r="F1477" s="16"/>
      <c r="G1477" s="10"/>
      <c r="H1477" s="10"/>
      <c r="I1477" s="10"/>
      <c r="J1477" s="10"/>
      <c r="K1477" s="10"/>
      <c r="L1477" s="10"/>
      <c r="M1477" s="14"/>
      <c r="N1477" s="17" t="str">
        <f aca="false">IF($B1477="","",IF($L1477="已完成",IF($M1477="","",$M1477-$B1477),IF(设置!$B$6&lt;$B1477,"",IF((设置!$B$6-$B1477)&gt;=设置!$B$5,"超期"&amp;(设置!$B$6-$B1477)&amp;"天","已等"&amp;(设置!$B$6-$B1477)&amp;"天"))))</f>
        <v/>
      </c>
      <c r="O1477" s="18" t="str">
        <f aca="false">IF(OR($D1477="",$E1477=""),"",COUNTIFS($D$7:$D1477,$D1477,$E$7:$E1477,$E1477))</f>
        <v/>
      </c>
      <c r="P1477" s="16"/>
      <c r="Q1477" s="19"/>
      <c r="R1477" s="10"/>
      <c r="S1477" s="16"/>
      <c r="T1477" s="0" t="str">
        <f aca="false">IF(OR($D1477="",单元查询!$B$3=""),"",IF($D1477&lt;&gt;单元查询!$B$3,"",IF(OR(单元查询!$D$3="",$E1477&amp;""=单元查询!$D$3&amp;""),IF(ISNUMBER($B1477),$B1477*10000,0)+ROW(),"")))</f>
        <v/>
      </c>
      <c r="U1477" s="0" t="str">
        <f aca="false">IF(OR($B1477="",$L1477="已完成"),"",IF(ISNUMBER($B1477),IF(设置!$B$6&lt;$B1477,"",(设置!$B$6-$B1477)*100000+ROW()),""))</f>
        <v/>
      </c>
      <c r="V1477" s="0" t="str">
        <f aca="false">IF(ISNUMBER($O1477),IF($O1477&gt;=2,IF(COUNTIFS($D1477:$D$2006,$D1477,$E1477:$E$2006,$E1477)=1,ROW(),""),""),"")</f>
        <v/>
      </c>
    </row>
    <row r="1478" customFormat="false" ht="15" hidden="false" customHeight="true" outlineLevel="0" collapsed="false">
      <c r="A1478" s="13" t="str">
        <f aca="false">IF(AND($B1478="",$D1478="",$E1478="",$F1478=""),"",IF(OR($B1478="",$D1478="",$E1478=""),"待补",IF($D1478="公共区域","公",IF($D1478="商铺","S",SUBSTITUTE($D1478,"栋","")))&amp;"-"&amp;$E1478&amp;"-"&amp;TEXT(MONTH($B1478),"00")&amp;TEXT(DAY($B1478),"00")&amp;IF(ISNUMBER($O1478),IF($O1478&gt;1,"-"&amp;TEXT($O1478,"00"),""),"")))</f>
        <v/>
      </c>
      <c r="B1478" s="14"/>
      <c r="C1478" s="10"/>
      <c r="D1478" s="10"/>
      <c r="E1478" s="10"/>
      <c r="F1478" s="16"/>
      <c r="G1478" s="10"/>
      <c r="H1478" s="10"/>
      <c r="I1478" s="10"/>
      <c r="J1478" s="10"/>
      <c r="K1478" s="10"/>
      <c r="L1478" s="10"/>
      <c r="M1478" s="14"/>
      <c r="N1478" s="17" t="str">
        <f aca="false">IF($B1478="","",IF($L1478="已完成",IF($M1478="","",$M1478-$B1478),IF(设置!$B$6&lt;$B1478,"",IF((设置!$B$6-$B1478)&gt;=设置!$B$5,"超期"&amp;(设置!$B$6-$B1478)&amp;"天","已等"&amp;(设置!$B$6-$B1478)&amp;"天"))))</f>
        <v/>
      </c>
      <c r="O1478" s="18" t="str">
        <f aca="false">IF(OR($D1478="",$E1478=""),"",COUNTIFS($D$7:$D1478,$D1478,$E$7:$E1478,$E1478))</f>
        <v/>
      </c>
      <c r="P1478" s="16"/>
      <c r="Q1478" s="19"/>
      <c r="R1478" s="10"/>
      <c r="S1478" s="16"/>
      <c r="T1478" s="0" t="str">
        <f aca="false">IF(OR($D1478="",单元查询!$B$3=""),"",IF($D1478&lt;&gt;单元查询!$B$3,"",IF(OR(单元查询!$D$3="",$E1478&amp;""=单元查询!$D$3&amp;""),IF(ISNUMBER($B1478),$B1478*10000,0)+ROW(),"")))</f>
        <v/>
      </c>
      <c r="U1478" s="0" t="str">
        <f aca="false">IF(OR($B1478="",$L1478="已完成"),"",IF(ISNUMBER($B1478),IF(设置!$B$6&lt;$B1478,"",(设置!$B$6-$B1478)*100000+ROW()),""))</f>
        <v/>
      </c>
      <c r="V1478" s="0" t="str">
        <f aca="false">IF(ISNUMBER($O1478),IF($O1478&gt;=2,IF(COUNTIFS($D1478:$D$2006,$D1478,$E1478:$E$2006,$E1478)=1,ROW(),""),""),"")</f>
        <v/>
      </c>
    </row>
    <row r="1479" customFormat="false" ht="15" hidden="false" customHeight="true" outlineLevel="0" collapsed="false">
      <c r="A1479" s="13" t="str">
        <f aca="false">IF(AND($B1479="",$D1479="",$E1479="",$F1479=""),"",IF(OR($B1479="",$D1479="",$E1479=""),"待补",IF($D1479="公共区域","公",IF($D1479="商铺","S",SUBSTITUTE($D1479,"栋","")))&amp;"-"&amp;$E1479&amp;"-"&amp;TEXT(MONTH($B1479),"00")&amp;TEXT(DAY($B1479),"00")&amp;IF(ISNUMBER($O1479),IF($O1479&gt;1,"-"&amp;TEXT($O1479,"00"),""),"")))</f>
        <v/>
      </c>
      <c r="B1479" s="14"/>
      <c r="C1479" s="10"/>
      <c r="D1479" s="10"/>
      <c r="E1479" s="10"/>
      <c r="F1479" s="16"/>
      <c r="G1479" s="10"/>
      <c r="H1479" s="10"/>
      <c r="I1479" s="10"/>
      <c r="J1479" s="10"/>
      <c r="K1479" s="10"/>
      <c r="L1479" s="10"/>
      <c r="M1479" s="14"/>
      <c r="N1479" s="17" t="str">
        <f aca="false">IF($B1479="","",IF($L1479="已完成",IF($M1479="","",$M1479-$B1479),IF(设置!$B$6&lt;$B1479,"",IF((设置!$B$6-$B1479)&gt;=设置!$B$5,"超期"&amp;(设置!$B$6-$B1479)&amp;"天","已等"&amp;(设置!$B$6-$B1479)&amp;"天"))))</f>
        <v/>
      </c>
      <c r="O1479" s="18" t="str">
        <f aca="false">IF(OR($D1479="",$E1479=""),"",COUNTIFS($D$7:$D1479,$D1479,$E$7:$E1479,$E1479))</f>
        <v/>
      </c>
      <c r="P1479" s="16"/>
      <c r="Q1479" s="19"/>
      <c r="R1479" s="10"/>
      <c r="S1479" s="16"/>
      <c r="T1479" s="0" t="str">
        <f aca="false">IF(OR($D1479="",单元查询!$B$3=""),"",IF($D1479&lt;&gt;单元查询!$B$3,"",IF(OR(单元查询!$D$3="",$E1479&amp;""=单元查询!$D$3&amp;""),IF(ISNUMBER($B1479),$B1479*10000,0)+ROW(),"")))</f>
        <v/>
      </c>
      <c r="U1479" s="0" t="str">
        <f aca="false">IF(OR($B1479="",$L1479="已完成"),"",IF(ISNUMBER($B1479),IF(设置!$B$6&lt;$B1479,"",(设置!$B$6-$B1479)*100000+ROW()),""))</f>
        <v/>
      </c>
      <c r="V1479" s="0" t="str">
        <f aca="false">IF(ISNUMBER($O1479),IF($O1479&gt;=2,IF(COUNTIFS($D1479:$D$2006,$D1479,$E1479:$E$2006,$E1479)=1,ROW(),""),""),"")</f>
        <v/>
      </c>
    </row>
    <row r="1480" customFormat="false" ht="15" hidden="false" customHeight="true" outlineLevel="0" collapsed="false">
      <c r="A1480" s="13" t="str">
        <f aca="false">IF(AND($B1480="",$D1480="",$E1480="",$F1480=""),"",IF(OR($B1480="",$D1480="",$E1480=""),"待补",IF($D1480="公共区域","公",IF($D1480="商铺","S",SUBSTITUTE($D1480,"栋","")))&amp;"-"&amp;$E1480&amp;"-"&amp;TEXT(MONTH($B1480),"00")&amp;TEXT(DAY($B1480),"00")&amp;IF(ISNUMBER($O1480),IF($O1480&gt;1,"-"&amp;TEXT($O1480,"00"),""),"")))</f>
        <v/>
      </c>
      <c r="B1480" s="14"/>
      <c r="C1480" s="10"/>
      <c r="D1480" s="10"/>
      <c r="E1480" s="10"/>
      <c r="F1480" s="16"/>
      <c r="G1480" s="10"/>
      <c r="H1480" s="10"/>
      <c r="I1480" s="10"/>
      <c r="J1480" s="10"/>
      <c r="K1480" s="10"/>
      <c r="L1480" s="10"/>
      <c r="M1480" s="14"/>
      <c r="N1480" s="17" t="str">
        <f aca="false">IF($B1480="","",IF($L1480="已完成",IF($M1480="","",$M1480-$B1480),IF(设置!$B$6&lt;$B1480,"",IF((设置!$B$6-$B1480)&gt;=设置!$B$5,"超期"&amp;(设置!$B$6-$B1480)&amp;"天","已等"&amp;(设置!$B$6-$B1480)&amp;"天"))))</f>
        <v/>
      </c>
      <c r="O1480" s="18" t="str">
        <f aca="false">IF(OR($D1480="",$E1480=""),"",COUNTIFS($D$7:$D1480,$D1480,$E$7:$E1480,$E1480))</f>
        <v/>
      </c>
      <c r="P1480" s="16"/>
      <c r="Q1480" s="19"/>
      <c r="R1480" s="10"/>
      <c r="S1480" s="16"/>
      <c r="T1480" s="0" t="str">
        <f aca="false">IF(OR($D1480="",单元查询!$B$3=""),"",IF($D1480&lt;&gt;单元查询!$B$3,"",IF(OR(单元查询!$D$3="",$E1480&amp;""=单元查询!$D$3&amp;""),IF(ISNUMBER($B1480),$B1480*10000,0)+ROW(),"")))</f>
        <v/>
      </c>
      <c r="U1480" s="0" t="str">
        <f aca="false">IF(OR($B1480="",$L1480="已完成"),"",IF(ISNUMBER($B1480),IF(设置!$B$6&lt;$B1480,"",(设置!$B$6-$B1480)*100000+ROW()),""))</f>
        <v/>
      </c>
      <c r="V1480" s="0" t="str">
        <f aca="false">IF(ISNUMBER($O1480),IF($O1480&gt;=2,IF(COUNTIFS($D1480:$D$2006,$D1480,$E1480:$E$2006,$E1480)=1,ROW(),""),""),"")</f>
        <v/>
      </c>
    </row>
    <row r="1481" customFormat="false" ht="15" hidden="false" customHeight="true" outlineLevel="0" collapsed="false">
      <c r="A1481" s="13" t="str">
        <f aca="false">IF(AND($B1481="",$D1481="",$E1481="",$F1481=""),"",IF(OR($B1481="",$D1481="",$E1481=""),"待补",IF($D1481="公共区域","公",IF($D1481="商铺","S",SUBSTITUTE($D1481,"栋","")))&amp;"-"&amp;$E1481&amp;"-"&amp;TEXT(MONTH($B1481),"00")&amp;TEXT(DAY($B1481),"00")&amp;IF(ISNUMBER($O1481),IF($O1481&gt;1,"-"&amp;TEXT($O1481,"00"),""),"")))</f>
        <v/>
      </c>
      <c r="B1481" s="14"/>
      <c r="C1481" s="10"/>
      <c r="D1481" s="10"/>
      <c r="E1481" s="10"/>
      <c r="F1481" s="16"/>
      <c r="G1481" s="10"/>
      <c r="H1481" s="10"/>
      <c r="I1481" s="10"/>
      <c r="J1481" s="10"/>
      <c r="K1481" s="10"/>
      <c r="L1481" s="10"/>
      <c r="M1481" s="14"/>
      <c r="N1481" s="17" t="str">
        <f aca="false">IF($B1481="","",IF($L1481="已完成",IF($M1481="","",$M1481-$B1481),IF(设置!$B$6&lt;$B1481,"",IF((设置!$B$6-$B1481)&gt;=设置!$B$5,"超期"&amp;(设置!$B$6-$B1481)&amp;"天","已等"&amp;(设置!$B$6-$B1481)&amp;"天"))))</f>
        <v/>
      </c>
      <c r="O1481" s="18" t="str">
        <f aca="false">IF(OR($D1481="",$E1481=""),"",COUNTIFS($D$7:$D1481,$D1481,$E$7:$E1481,$E1481))</f>
        <v/>
      </c>
      <c r="P1481" s="16"/>
      <c r="Q1481" s="19"/>
      <c r="R1481" s="10"/>
      <c r="S1481" s="16"/>
      <c r="T1481" s="0" t="str">
        <f aca="false">IF(OR($D1481="",单元查询!$B$3=""),"",IF($D1481&lt;&gt;单元查询!$B$3,"",IF(OR(单元查询!$D$3="",$E1481&amp;""=单元查询!$D$3&amp;""),IF(ISNUMBER($B1481),$B1481*10000,0)+ROW(),"")))</f>
        <v/>
      </c>
      <c r="U1481" s="0" t="str">
        <f aca="false">IF(OR($B1481="",$L1481="已完成"),"",IF(ISNUMBER($B1481),IF(设置!$B$6&lt;$B1481,"",(设置!$B$6-$B1481)*100000+ROW()),""))</f>
        <v/>
      </c>
      <c r="V1481" s="0" t="str">
        <f aca="false">IF(ISNUMBER($O1481),IF($O1481&gt;=2,IF(COUNTIFS($D1481:$D$2006,$D1481,$E1481:$E$2006,$E1481)=1,ROW(),""),""),"")</f>
        <v/>
      </c>
    </row>
    <row r="1482" customFormat="false" ht="15" hidden="false" customHeight="true" outlineLevel="0" collapsed="false">
      <c r="A1482" s="13" t="str">
        <f aca="false">IF(AND($B1482="",$D1482="",$E1482="",$F1482=""),"",IF(OR($B1482="",$D1482="",$E1482=""),"待补",IF($D1482="公共区域","公",IF($D1482="商铺","S",SUBSTITUTE($D1482,"栋","")))&amp;"-"&amp;$E1482&amp;"-"&amp;TEXT(MONTH($B1482),"00")&amp;TEXT(DAY($B1482),"00")&amp;IF(ISNUMBER($O1482),IF($O1482&gt;1,"-"&amp;TEXT($O1482,"00"),""),"")))</f>
        <v/>
      </c>
      <c r="B1482" s="14"/>
      <c r="C1482" s="10"/>
      <c r="D1482" s="10"/>
      <c r="E1482" s="10"/>
      <c r="F1482" s="16"/>
      <c r="G1482" s="10"/>
      <c r="H1482" s="10"/>
      <c r="I1482" s="10"/>
      <c r="J1482" s="10"/>
      <c r="K1482" s="10"/>
      <c r="L1482" s="10"/>
      <c r="M1482" s="14"/>
      <c r="N1482" s="17" t="str">
        <f aca="false">IF($B1482="","",IF($L1482="已完成",IF($M1482="","",$M1482-$B1482),IF(设置!$B$6&lt;$B1482,"",IF((设置!$B$6-$B1482)&gt;=设置!$B$5,"超期"&amp;(设置!$B$6-$B1482)&amp;"天","已等"&amp;(设置!$B$6-$B1482)&amp;"天"))))</f>
        <v/>
      </c>
      <c r="O1482" s="18" t="str">
        <f aca="false">IF(OR($D1482="",$E1482=""),"",COUNTIFS($D$7:$D1482,$D1482,$E$7:$E1482,$E1482))</f>
        <v/>
      </c>
      <c r="P1482" s="16"/>
      <c r="Q1482" s="19"/>
      <c r="R1482" s="10"/>
      <c r="S1482" s="16"/>
      <c r="T1482" s="0" t="str">
        <f aca="false">IF(OR($D1482="",单元查询!$B$3=""),"",IF($D1482&lt;&gt;单元查询!$B$3,"",IF(OR(单元查询!$D$3="",$E1482&amp;""=单元查询!$D$3&amp;""),IF(ISNUMBER($B1482),$B1482*10000,0)+ROW(),"")))</f>
        <v/>
      </c>
      <c r="U1482" s="0" t="str">
        <f aca="false">IF(OR($B1482="",$L1482="已完成"),"",IF(ISNUMBER($B1482),IF(设置!$B$6&lt;$B1482,"",(设置!$B$6-$B1482)*100000+ROW()),""))</f>
        <v/>
      </c>
      <c r="V1482" s="0" t="str">
        <f aca="false">IF(ISNUMBER($O1482),IF($O1482&gt;=2,IF(COUNTIFS($D1482:$D$2006,$D1482,$E1482:$E$2006,$E1482)=1,ROW(),""),""),"")</f>
        <v/>
      </c>
    </row>
    <row r="1483" customFormat="false" ht="15" hidden="false" customHeight="true" outlineLevel="0" collapsed="false">
      <c r="A1483" s="13" t="str">
        <f aca="false">IF(AND($B1483="",$D1483="",$E1483="",$F1483=""),"",IF(OR($B1483="",$D1483="",$E1483=""),"待补",IF($D1483="公共区域","公",IF($D1483="商铺","S",SUBSTITUTE($D1483,"栋","")))&amp;"-"&amp;$E1483&amp;"-"&amp;TEXT(MONTH($B1483),"00")&amp;TEXT(DAY($B1483),"00")&amp;IF(ISNUMBER($O1483),IF($O1483&gt;1,"-"&amp;TEXT($O1483,"00"),""),"")))</f>
        <v/>
      </c>
      <c r="B1483" s="14"/>
      <c r="C1483" s="10"/>
      <c r="D1483" s="10"/>
      <c r="E1483" s="10"/>
      <c r="F1483" s="16"/>
      <c r="G1483" s="10"/>
      <c r="H1483" s="10"/>
      <c r="I1483" s="10"/>
      <c r="J1483" s="10"/>
      <c r="K1483" s="10"/>
      <c r="L1483" s="10"/>
      <c r="M1483" s="14"/>
      <c r="N1483" s="17" t="str">
        <f aca="false">IF($B1483="","",IF($L1483="已完成",IF($M1483="","",$M1483-$B1483),IF(设置!$B$6&lt;$B1483,"",IF((设置!$B$6-$B1483)&gt;=设置!$B$5,"超期"&amp;(设置!$B$6-$B1483)&amp;"天","已等"&amp;(设置!$B$6-$B1483)&amp;"天"))))</f>
        <v/>
      </c>
      <c r="O1483" s="18" t="str">
        <f aca="false">IF(OR($D1483="",$E1483=""),"",COUNTIFS($D$7:$D1483,$D1483,$E$7:$E1483,$E1483))</f>
        <v/>
      </c>
      <c r="P1483" s="16"/>
      <c r="Q1483" s="19"/>
      <c r="R1483" s="10"/>
      <c r="S1483" s="16"/>
      <c r="T1483" s="0" t="str">
        <f aca="false">IF(OR($D1483="",单元查询!$B$3=""),"",IF($D1483&lt;&gt;单元查询!$B$3,"",IF(OR(单元查询!$D$3="",$E1483&amp;""=单元查询!$D$3&amp;""),IF(ISNUMBER($B1483),$B1483*10000,0)+ROW(),"")))</f>
        <v/>
      </c>
      <c r="U1483" s="0" t="str">
        <f aca="false">IF(OR($B1483="",$L1483="已完成"),"",IF(ISNUMBER($B1483),IF(设置!$B$6&lt;$B1483,"",(设置!$B$6-$B1483)*100000+ROW()),""))</f>
        <v/>
      </c>
      <c r="V1483" s="0" t="str">
        <f aca="false">IF(ISNUMBER($O1483),IF($O1483&gt;=2,IF(COUNTIFS($D1483:$D$2006,$D1483,$E1483:$E$2006,$E1483)=1,ROW(),""),""),"")</f>
        <v/>
      </c>
    </row>
    <row r="1484" customFormat="false" ht="15" hidden="false" customHeight="true" outlineLevel="0" collapsed="false">
      <c r="A1484" s="13" t="str">
        <f aca="false">IF(AND($B1484="",$D1484="",$E1484="",$F1484=""),"",IF(OR($B1484="",$D1484="",$E1484=""),"待补",IF($D1484="公共区域","公",IF($D1484="商铺","S",SUBSTITUTE($D1484,"栋","")))&amp;"-"&amp;$E1484&amp;"-"&amp;TEXT(MONTH($B1484),"00")&amp;TEXT(DAY($B1484),"00")&amp;IF(ISNUMBER($O1484),IF($O1484&gt;1,"-"&amp;TEXT($O1484,"00"),""),"")))</f>
        <v/>
      </c>
      <c r="B1484" s="14"/>
      <c r="C1484" s="10"/>
      <c r="D1484" s="10"/>
      <c r="E1484" s="10"/>
      <c r="F1484" s="16"/>
      <c r="G1484" s="10"/>
      <c r="H1484" s="10"/>
      <c r="I1484" s="10"/>
      <c r="J1484" s="10"/>
      <c r="K1484" s="10"/>
      <c r="L1484" s="10"/>
      <c r="M1484" s="14"/>
      <c r="N1484" s="17" t="str">
        <f aca="false">IF($B1484="","",IF($L1484="已完成",IF($M1484="","",$M1484-$B1484),IF(设置!$B$6&lt;$B1484,"",IF((设置!$B$6-$B1484)&gt;=设置!$B$5,"超期"&amp;(设置!$B$6-$B1484)&amp;"天","已等"&amp;(设置!$B$6-$B1484)&amp;"天"))))</f>
        <v/>
      </c>
      <c r="O1484" s="18" t="str">
        <f aca="false">IF(OR($D1484="",$E1484=""),"",COUNTIFS($D$7:$D1484,$D1484,$E$7:$E1484,$E1484))</f>
        <v/>
      </c>
      <c r="P1484" s="16"/>
      <c r="Q1484" s="19"/>
      <c r="R1484" s="10"/>
      <c r="S1484" s="16"/>
      <c r="T1484" s="0" t="str">
        <f aca="false">IF(OR($D1484="",单元查询!$B$3=""),"",IF($D1484&lt;&gt;单元查询!$B$3,"",IF(OR(单元查询!$D$3="",$E1484&amp;""=单元查询!$D$3&amp;""),IF(ISNUMBER($B1484),$B1484*10000,0)+ROW(),"")))</f>
        <v/>
      </c>
      <c r="U1484" s="0" t="str">
        <f aca="false">IF(OR($B1484="",$L1484="已完成"),"",IF(ISNUMBER($B1484),IF(设置!$B$6&lt;$B1484,"",(设置!$B$6-$B1484)*100000+ROW()),""))</f>
        <v/>
      </c>
      <c r="V1484" s="0" t="str">
        <f aca="false">IF(ISNUMBER($O1484),IF($O1484&gt;=2,IF(COUNTIFS($D1484:$D$2006,$D1484,$E1484:$E$2006,$E1484)=1,ROW(),""),""),"")</f>
        <v/>
      </c>
    </row>
    <row r="1485" customFormat="false" ht="15" hidden="false" customHeight="true" outlineLevel="0" collapsed="false">
      <c r="A1485" s="13" t="str">
        <f aca="false">IF(AND($B1485="",$D1485="",$E1485="",$F1485=""),"",IF(OR($B1485="",$D1485="",$E1485=""),"待补",IF($D1485="公共区域","公",IF($D1485="商铺","S",SUBSTITUTE($D1485,"栋","")))&amp;"-"&amp;$E1485&amp;"-"&amp;TEXT(MONTH($B1485),"00")&amp;TEXT(DAY($B1485),"00")&amp;IF(ISNUMBER($O1485),IF($O1485&gt;1,"-"&amp;TEXT($O1485,"00"),""),"")))</f>
        <v/>
      </c>
      <c r="B1485" s="14"/>
      <c r="C1485" s="10"/>
      <c r="D1485" s="10"/>
      <c r="E1485" s="10"/>
      <c r="F1485" s="16"/>
      <c r="G1485" s="10"/>
      <c r="H1485" s="10"/>
      <c r="I1485" s="10"/>
      <c r="J1485" s="10"/>
      <c r="K1485" s="10"/>
      <c r="L1485" s="10"/>
      <c r="M1485" s="14"/>
      <c r="N1485" s="17" t="str">
        <f aca="false">IF($B1485="","",IF($L1485="已完成",IF($M1485="","",$M1485-$B1485),IF(设置!$B$6&lt;$B1485,"",IF((设置!$B$6-$B1485)&gt;=设置!$B$5,"超期"&amp;(设置!$B$6-$B1485)&amp;"天","已等"&amp;(设置!$B$6-$B1485)&amp;"天"))))</f>
        <v/>
      </c>
      <c r="O1485" s="18" t="str">
        <f aca="false">IF(OR($D1485="",$E1485=""),"",COUNTIFS($D$7:$D1485,$D1485,$E$7:$E1485,$E1485))</f>
        <v/>
      </c>
      <c r="P1485" s="16"/>
      <c r="Q1485" s="19"/>
      <c r="R1485" s="10"/>
      <c r="S1485" s="16"/>
      <c r="T1485" s="0" t="str">
        <f aca="false">IF(OR($D1485="",单元查询!$B$3=""),"",IF($D1485&lt;&gt;单元查询!$B$3,"",IF(OR(单元查询!$D$3="",$E1485&amp;""=单元查询!$D$3&amp;""),IF(ISNUMBER($B1485),$B1485*10000,0)+ROW(),"")))</f>
        <v/>
      </c>
      <c r="U1485" s="0" t="str">
        <f aca="false">IF(OR($B1485="",$L1485="已完成"),"",IF(ISNUMBER($B1485),IF(设置!$B$6&lt;$B1485,"",(设置!$B$6-$B1485)*100000+ROW()),""))</f>
        <v/>
      </c>
      <c r="V1485" s="0" t="str">
        <f aca="false">IF(ISNUMBER($O1485),IF($O1485&gt;=2,IF(COUNTIFS($D1485:$D$2006,$D1485,$E1485:$E$2006,$E1485)=1,ROW(),""),""),"")</f>
        <v/>
      </c>
    </row>
    <row r="1486" customFormat="false" ht="15" hidden="false" customHeight="true" outlineLevel="0" collapsed="false">
      <c r="A1486" s="13" t="str">
        <f aca="false">IF(AND($B1486="",$D1486="",$E1486="",$F1486=""),"",IF(OR($B1486="",$D1486="",$E1486=""),"待补",IF($D1486="公共区域","公",IF($D1486="商铺","S",SUBSTITUTE($D1486,"栋","")))&amp;"-"&amp;$E1486&amp;"-"&amp;TEXT(MONTH($B1486),"00")&amp;TEXT(DAY($B1486),"00")&amp;IF(ISNUMBER($O1486),IF($O1486&gt;1,"-"&amp;TEXT($O1486,"00"),""),"")))</f>
        <v/>
      </c>
      <c r="B1486" s="14"/>
      <c r="C1486" s="10"/>
      <c r="D1486" s="10"/>
      <c r="E1486" s="10"/>
      <c r="F1486" s="16"/>
      <c r="G1486" s="10"/>
      <c r="H1486" s="10"/>
      <c r="I1486" s="10"/>
      <c r="J1486" s="10"/>
      <c r="K1486" s="10"/>
      <c r="L1486" s="10"/>
      <c r="M1486" s="14"/>
      <c r="N1486" s="17" t="str">
        <f aca="false">IF($B1486="","",IF($L1486="已完成",IF($M1486="","",$M1486-$B1486),IF(设置!$B$6&lt;$B1486,"",IF((设置!$B$6-$B1486)&gt;=设置!$B$5,"超期"&amp;(设置!$B$6-$B1486)&amp;"天","已等"&amp;(设置!$B$6-$B1486)&amp;"天"))))</f>
        <v/>
      </c>
      <c r="O1486" s="18" t="str">
        <f aca="false">IF(OR($D1486="",$E1486=""),"",COUNTIFS($D$7:$D1486,$D1486,$E$7:$E1486,$E1486))</f>
        <v/>
      </c>
      <c r="P1486" s="16"/>
      <c r="Q1486" s="19"/>
      <c r="R1486" s="10"/>
      <c r="S1486" s="16"/>
      <c r="T1486" s="0" t="str">
        <f aca="false">IF(OR($D1486="",单元查询!$B$3=""),"",IF($D1486&lt;&gt;单元查询!$B$3,"",IF(OR(单元查询!$D$3="",$E1486&amp;""=单元查询!$D$3&amp;""),IF(ISNUMBER($B1486),$B1486*10000,0)+ROW(),"")))</f>
        <v/>
      </c>
      <c r="U1486" s="0" t="str">
        <f aca="false">IF(OR($B1486="",$L1486="已完成"),"",IF(ISNUMBER($B1486),IF(设置!$B$6&lt;$B1486,"",(设置!$B$6-$B1486)*100000+ROW()),""))</f>
        <v/>
      </c>
      <c r="V1486" s="0" t="str">
        <f aca="false">IF(ISNUMBER($O1486),IF($O1486&gt;=2,IF(COUNTIFS($D1486:$D$2006,$D1486,$E1486:$E$2006,$E1486)=1,ROW(),""),""),"")</f>
        <v/>
      </c>
    </row>
    <row r="1487" customFormat="false" ht="15" hidden="false" customHeight="true" outlineLevel="0" collapsed="false">
      <c r="A1487" s="13" t="str">
        <f aca="false">IF(AND($B1487="",$D1487="",$E1487="",$F1487=""),"",IF(OR($B1487="",$D1487="",$E1487=""),"待补",IF($D1487="公共区域","公",IF($D1487="商铺","S",SUBSTITUTE($D1487,"栋","")))&amp;"-"&amp;$E1487&amp;"-"&amp;TEXT(MONTH($B1487),"00")&amp;TEXT(DAY($B1487),"00")&amp;IF(ISNUMBER($O1487),IF($O1487&gt;1,"-"&amp;TEXT($O1487,"00"),""),"")))</f>
        <v/>
      </c>
      <c r="B1487" s="14"/>
      <c r="C1487" s="10"/>
      <c r="D1487" s="10"/>
      <c r="E1487" s="10"/>
      <c r="F1487" s="16"/>
      <c r="G1487" s="10"/>
      <c r="H1487" s="10"/>
      <c r="I1487" s="10"/>
      <c r="J1487" s="10"/>
      <c r="K1487" s="10"/>
      <c r="L1487" s="10"/>
      <c r="M1487" s="14"/>
      <c r="N1487" s="17" t="str">
        <f aca="false">IF($B1487="","",IF($L1487="已完成",IF($M1487="","",$M1487-$B1487),IF(设置!$B$6&lt;$B1487,"",IF((设置!$B$6-$B1487)&gt;=设置!$B$5,"超期"&amp;(设置!$B$6-$B1487)&amp;"天","已等"&amp;(设置!$B$6-$B1487)&amp;"天"))))</f>
        <v/>
      </c>
      <c r="O1487" s="18" t="str">
        <f aca="false">IF(OR($D1487="",$E1487=""),"",COUNTIFS($D$7:$D1487,$D1487,$E$7:$E1487,$E1487))</f>
        <v/>
      </c>
      <c r="P1487" s="16"/>
      <c r="Q1487" s="19"/>
      <c r="R1487" s="10"/>
      <c r="S1487" s="16"/>
      <c r="T1487" s="0" t="str">
        <f aca="false">IF(OR($D1487="",单元查询!$B$3=""),"",IF($D1487&lt;&gt;单元查询!$B$3,"",IF(OR(单元查询!$D$3="",$E1487&amp;""=单元查询!$D$3&amp;""),IF(ISNUMBER($B1487),$B1487*10000,0)+ROW(),"")))</f>
        <v/>
      </c>
      <c r="U1487" s="0" t="str">
        <f aca="false">IF(OR($B1487="",$L1487="已完成"),"",IF(ISNUMBER($B1487),IF(设置!$B$6&lt;$B1487,"",(设置!$B$6-$B1487)*100000+ROW()),""))</f>
        <v/>
      </c>
      <c r="V1487" s="0" t="str">
        <f aca="false">IF(ISNUMBER($O1487),IF($O1487&gt;=2,IF(COUNTIFS($D1487:$D$2006,$D1487,$E1487:$E$2006,$E1487)=1,ROW(),""),""),"")</f>
        <v/>
      </c>
    </row>
    <row r="1488" customFormat="false" ht="15" hidden="false" customHeight="true" outlineLevel="0" collapsed="false">
      <c r="A1488" s="13" t="str">
        <f aca="false">IF(AND($B1488="",$D1488="",$E1488="",$F1488=""),"",IF(OR($B1488="",$D1488="",$E1488=""),"待补",IF($D1488="公共区域","公",IF($D1488="商铺","S",SUBSTITUTE($D1488,"栋","")))&amp;"-"&amp;$E1488&amp;"-"&amp;TEXT(MONTH($B1488),"00")&amp;TEXT(DAY($B1488),"00")&amp;IF(ISNUMBER($O1488),IF($O1488&gt;1,"-"&amp;TEXT($O1488,"00"),""),"")))</f>
        <v/>
      </c>
      <c r="B1488" s="14"/>
      <c r="C1488" s="10"/>
      <c r="D1488" s="10"/>
      <c r="E1488" s="10"/>
      <c r="F1488" s="16"/>
      <c r="G1488" s="10"/>
      <c r="H1488" s="10"/>
      <c r="I1488" s="10"/>
      <c r="J1488" s="10"/>
      <c r="K1488" s="10"/>
      <c r="L1488" s="10"/>
      <c r="M1488" s="14"/>
      <c r="N1488" s="17" t="str">
        <f aca="false">IF($B1488="","",IF($L1488="已完成",IF($M1488="","",$M1488-$B1488),IF(设置!$B$6&lt;$B1488,"",IF((设置!$B$6-$B1488)&gt;=设置!$B$5,"超期"&amp;(设置!$B$6-$B1488)&amp;"天","已等"&amp;(设置!$B$6-$B1488)&amp;"天"))))</f>
        <v/>
      </c>
      <c r="O1488" s="18" t="str">
        <f aca="false">IF(OR($D1488="",$E1488=""),"",COUNTIFS($D$7:$D1488,$D1488,$E$7:$E1488,$E1488))</f>
        <v/>
      </c>
      <c r="P1488" s="16"/>
      <c r="Q1488" s="19"/>
      <c r="R1488" s="10"/>
      <c r="S1488" s="16"/>
      <c r="T1488" s="0" t="str">
        <f aca="false">IF(OR($D1488="",单元查询!$B$3=""),"",IF($D1488&lt;&gt;单元查询!$B$3,"",IF(OR(单元查询!$D$3="",$E1488&amp;""=单元查询!$D$3&amp;""),IF(ISNUMBER($B1488),$B1488*10000,0)+ROW(),"")))</f>
        <v/>
      </c>
      <c r="U1488" s="0" t="str">
        <f aca="false">IF(OR($B1488="",$L1488="已完成"),"",IF(ISNUMBER($B1488),IF(设置!$B$6&lt;$B1488,"",(设置!$B$6-$B1488)*100000+ROW()),""))</f>
        <v/>
      </c>
      <c r="V1488" s="0" t="str">
        <f aca="false">IF(ISNUMBER($O1488),IF($O1488&gt;=2,IF(COUNTIFS($D1488:$D$2006,$D1488,$E1488:$E$2006,$E1488)=1,ROW(),""),""),"")</f>
        <v/>
      </c>
    </row>
    <row r="1489" customFormat="false" ht="15" hidden="false" customHeight="true" outlineLevel="0" collapsed="false">
      <c r="A1489" s="13" t="str">
        <f aca="false">IF(AND($B1489="",$D1489="",$E1489="",$F1489=""),"",IF(OR($B1489="",$D1489="",$E1489=""),"待补",IF($D1489="公共区域","公",IF($D1489="商铺","S",SUBSTITUTE($D1489,"栋","")))&amp;"-"&amp;$E1489&amp;"-"&amp;TEXT(MONTH($B1489),"00")&amp;TEXT(DAY($B1489),"00")&amp;IF(ISNUMBER($O1489),IF($O1489&gt;1,"-"&amp;TEXT($O1489,"00"),""),"")))</f>
        <v/>
      </c>
      <c r="B1489" s="14"/>
      <c r="C1489" s="10"/>
      <c r="D1489" s="10"/>
      <c r="E1489" s="10"/>
      <c r="F1489" s="16"/>
      <c r="G1489" s="10"/>
      <c r="H1489" s="10"/>
      <c r="I1489" s="10"/>
      <c r="J1489" s="10"/>
      <c r="K1489" s="10"/>
      <c r="L1489" s="10"/>
      <c r="M1489" s="14"/>
      <c r="N1489" s="17" t="str">
        <f aca="false">IF($B1489="","",IF($L1489="已完成",IF($M1489="","",$M1489-$B1489),IF(设置!$B$6&lt;$B1489,"",IF((设置!$B$6-$B1489)&gt;=设置!$B$5,"超期"&amp;(设置!$B$6-$B1489)&amp;"天","已等"&amp;(设置!$B$6-$B1489)&amp;"天"))))</f>
        <v/>
      </c>
      <c r="O1489" s="18" t="str">
        <f aca="false">IF(OR($D1489="",$E1489=""),"",COUNTIFS($D$7:$D1489,$D1489,$E$7:$E1489,$E1489))</f>
        <v/>
      </c>
      <c r="P1489" s="16"/>
      <c r="Q1489" s="19"/>
      <c r="R1489" s="10"/>
      <c r="S1489" s="16"/>
      <c r="T1489" s="0" t="str">
        <f aca="false">IF(OR($D1489="",单元查询!$B$3=""),"",IF($D1489&lt;&gt;单元查询!$B$3,"",IF(OR(单元查询!$D$3="",$E1489&amp;""=单元查询!$D$3&amp;""),IF(ISNUMBER($B1489),$B1489*10000,0)+ROW(),"")))</f>
        <v/>
      </c>
      <c r="U1489" s="0" t="str">
        <f aca="false">IF(OR($B1489="",$L1489="已完成"),"",IF(ISNUMBER($B1489),IF(设置!$B$6&lt;$B1489,"",(设置!$B$6-$B1489)*100000+ROW()),""))</f>
        <v/>
      </c>
      <c r="V1489" s="0" t="str">
        <f aca="false">IF(ISNUMBER($O1489),IF($O1489&gt;=2,IF(COUNTIFS($D1489:$D$2006,$D1489,$E1489:$E$2006,$E1489)=1,ROW(),""),""),"")</f>
        <v/>
      </c>
    </row>
    <row r="1490" customFormat="false" ht="15" hidden="false" customHeight="true" outlineLevel="0" collapsed="false">
      <c r="A1490" s="13" t="str">
        <f aca="false">IF(AND($B1490="",$D1490="",$E1490="",$F1490=""),"",IF(OR($B1490="",$D1490="",$E1490=""),"待补",IF($D1490="公共区域","公",IF($D1490="商铺","S",SUBSTITUTE($D1490,"栋","")))&amp;"-"&amp;$E1490&amp;"-"&amp;TEXT(MONTH($B1490),"00")&amp;TEXT(DAY($B1490),"00")&amp;IF(ISNUMBER($O1490),IF($O1490&gt;1,"-"&amp;TEXT($O1490,"00"),""),"")))</f>
        <v/>
      </c>
      <c r="B1490" s="14"/>
      <c r="C1490" s="10"/>
      <c r="D1490" s="10"/>
      <c r="E1490" s="10"/>
      <c r="F1490" s="16"/>
      <c r="G1490" s="10"/>
      <c r="H1490" s="10"/>
      <c r="I1490" s="10"/>
      <c r="J1490" s="10"/>
      <c r="K1490" s="10"/>
      <c r="L1490" s="10"/>
      <c r="M1490" s="14"/>
      <c r="N1490" s="17" t="str">
        <f aca="false">IF($B1490="","",IF($L1490="已完成",IF($M1490="","",$M1490-$B1490),IF(设置!$B$6&lt;$B1490,"",IF((设置!$B$6-$B1490)&gt;=设置!$B$5,"超期"&amp;(设置!$B$6-$B1490)&amp;"天","已等"&amp;(设置!$B$6-$B1490)&amp;"天"))))</f>
        <v/>
      </c>
      <c r="O1490" s="18" t="str">
        <f aca="false">IF(OR($D1490="",$E1490=""),"",COUNTIFS($D$7:$D1490,$D1490,$E$7:$E1490,$E1490))</f>
        <v/>
      </c>
      <c r="P1490" s="16"/>
      <c r="Q1490" s="19"/>
      <c r="R1490" s="10"/>
      <c r="S1490" s="16"/>
      <c r="T1490" s="0" t="str">
        <f aca="false">IF(OR($D1490="",单元查询!$B$3=""),"",IF($D1490&lt;&gt;单元查询!$B$3,"",IF(OR(单元查询!$D$3="",$E1490&amp;""=单元查询!$D$3&amp;""),IF(ISNUMBER($B1490),$B1490*10000,0)+ROW(),"")))</f>
        <v/>
      </c>
      <c r="U1490" s="0" t="str">
        <f aca="false">IF(OR($B1490="",$L1490="已完成"),"",IF(ISNUMBER($B1490),IF(设置!$B$6&lt;$B1490,"",(设置!$B$6-$B1490)*100000+ROW()),""))</f>
        <v/>
      </c>
      <c r="V1490" s="0" t="str">
        <f aca="false">IF(ISNUMBER($O1490),IF($O1490&gt;=2,IF(COUNTIFS($D1490:$D$2006,$D1490,$E1490:$E$2006,$E1490)=1,ROW(),""),""),"")</f>
        <v/>
      </c>
    </row>
    <row r="1491" customFormat="false" ht="15" hidden="false" customHeight="true" outlineLevel="0" collapsed="false">
      <c r="A1491" s="13" t="str">
        <f aca="false">IF(AND($B1491="",$D1491="",$E1491="",$F1491=""),"",IF(OR($B1491="",$D1491="",$E1491=""),"待补",IF($D1491="公共区域","公",IF($D1491="商铺","S",SUBSTITUTE($D1491,"栋","")))&amp;"-"&amp;$E1491&amp;"-"&amp;TEXT(MONTH($B1491),"00")&amp;TEXT(DAY($B1491),"00")&amp;IF(ISNUMBER($O1491),IF($O1491&gt;1,"-"&amp;TEXT($O1491,"00"),""),"")))</f>
        <v/>
      </c>
      <c r="B1491" s="14"/>
      <c r="C1491" s="10"/>
      <c r="D1491" s="10"/>
      <c r="E1491" s="10"/>
      <c r="F1491" s="16"/>
      <c r="G1491" s="10"/>
      <c r="H1491" s="10"/>
      <c r="I1491" s="10"/>
      <c r="J1491" s="10"/>
      <c r="K1491" s="10"/>
      <c r="L1491" s="10"/>
      <c r="M1491" s="14"/>
      <c r="N1491" s="17" t="str">
        <f aca="false">IF($B1491="","",IF($L1491="已完成",IF($M1491="","",$M1491-$B1491),IF(设置!$B$6&lt;$B1491,"",IF((设置!$B$6-$B1491)&gt;=设置!$B$5,"超期"&amp;(设置!$B$6-$B1491)&amp;"天","已等"&amp;(设置!$B$6-$B1491)&amp;"天"))))</f>
        <v/>
      </c>
      <c r="O1491" s="18" t="str">
        <f aca="false">IF(OR($D1491="",$E1491=""),"",COUNTIFS($D$7:$D1491,$D1491,$E$7:$E1491,$E1491))</f>
        <v/>
      </c>
      <c r="P1491" s="16"/>
      <c r="Q1491" s="19"/>
      <c r="R1491" s="10"/>
      <c r="S1491" s="16"/>
      <c r="T1491" s="0" t="str">
        <f aca="false">IF(OR($D1491="",单元查询!$B$3=""),"",IF($D1491&lt;&gt;单元查询!$B$3,"",IF(OR(单元查询!$D$3="",$E1491&amp;""=单元查询!$D$3&amp;""),IF(ISNUMBER($B1491),$B1491*10000,0)+ROW(),"")))</f>
        <v/>
      </c>
      <c r="U1491" s="0" t="str">
        <f aca="false">IF(OR($B1491="",$L1491="已完成"),"",IF(ISNUMBER($B1491),IF(设置!$B$6&lt;$B1491,"",(设置!$B$6-$B1491)*100000+ROW()),""))</f>
        <v/>
      </c>
      <c r="V1491" s="0" t="str">
        <f aca="false">IF(ISNUMBER($O1491),IF($O1491&gt;=2,IF(COUNTIFS($D1491:$D$2006,$D1491,$E1491:$E$2006,$E1491)=1,ROW(),""),""),"")</f>
        <v/>
      </c>
    </row>
    <row r="1492" customFormat="false" ht="15" hidden="false" customHeight="true" outlineLevel="0" collapsed="false">
      <c r="A1492" s="13" t="str">
        <f aca="false">IF(AND($B1492="",$D1492="",$E1492="",$F1492=""),"",IF(OR($B1492="",$D1492="",$E1492=""),"待补",IF($D1492="公共区域","公",IF($D1492="商铺","S",SUBSTITUTE($D1492,"栋","")))&amp;"-"&amp;$E1492&amp;"-"&amp;TEXT(MONTH($B1492),"00")&amp;TEXT(DAY($B1492),"00")&amp;IF(ISNUMBER($O1492),IF($O1492&gt;1,"-"&amp;TEXT($O1492,"00"),""),"")))</f>
        <v/>
      </c>
      <c r="B1492" s="14"/>
      <c r="C1492" s="10"/>
      <c r="D1492" s="10"/>
      <c r="E1492" s="10"/>
      <c r="F1492" s="16"/>
      <c r="G1492" s="10"/>
      <c r="H1492" s="10"/>
      <c r="I1492" s="10"/>
      <c r="J1492" s="10"/>
      <c r="K1492" s="10"/>
      <c r="L1492" s="10"/>
      <c r="M1492" s="14"/>
      <c r="N1492" s="17" t="str">
        <f aca="false">IF($B1492="","",IF($L1492="已完成",IF($M1492="","",$M1492-$B1492),IF(设置!$B$6&lt;$B1492,"",IF((设置!$B$6-$B1492)&gt;=设置!$B$5,"超期"&amp;(设置!$B$6-$B1492)&amp;"天","已等"&amp;(设置!$B$6-$B1492)&amp;"天"))))</f>
        <v/>
      </c>
      <c r="O1492" s="18" t="str">
        <f aca="false">IF(OR($D1492="",$E1492=""),"",COUNTIFS($D$7:$D1492,$D1492,$E$7:$E1492,$E1492))</f>
        <v/>
      </c>
      <c r="P1492" s="16"/>
      <c r="Q1492" s="19"/>
      <c r="R1492" s="10"/>
      <c r="S1492" s="16"/>
      <c r="T1492" s="0" t="str">
        <f aca="false">IF(OR($D1492="",单元查询!$B$3=""),"",IF($D1492&lt;&gt;单元查询!$B$3,"",IF(OR(单元查询!$D$3="",$E1492&amp;""=单元查询!$D$3&amp;""),IF(ISNUMBER($B1492),$B1492*10000,0)+ROW(),"")))</f>
        <v/>
      </c>
      <c r="U1492" s="0" t="str">
        <f aca="false">IF(OR($B1492="",$L1492="已完成"),"",IF(ISNUMBER($B1492),IF(设置!$B$6&lt;$B1492,"",(设置!$B$6-$B1492)*100000+ROW()),""))</f>
        <v/>
      </c>
      <c r="V1492" s="0" t="str">
        <f aca="false">IF(ISNUMBER($O1492),IF($O1492&gt;=2,IF(COUNTIFS($D1492:$D$2006,$D1492,$E1492:$E$2006,$E1492)=1,ROW(),""),""),"")</f>
        <v/>
      </c>
    </row>
    <row r="1493" customFormat="false" ht="15" hidden="false" customHeight="true" outlineLevel="0" collapsed="false">
      <c r="A1493" s="13" t="str">
        <f aca="false">IF(AND($B1493="",$D1493="",$E1493="",$F1493=""),"",IF(OR($B1493="",$D1493="",$E1493=""),"待补",IF($D1493="公共区域","公",IF($D1493="商铺","S",SUBSTITUTE($D1493,"栋","")))&amp;"-"&amp;$E1493&amp;"-"&amp;TEXT(MONTH($B1493),"00")&amp;TEXT(DAY($B1493),"00")&amp;IF(ISNUMBER($O1493),IF($O1493&gt;1,"-"&amp;TEXT($O1493,"00"),""),"")))</f>
        <v/>
      </c>
      <c r="B1493" s="14"/>
      <c r="C1493" s="10"/>
      <c r="D1493" s="10"/>
      <c r="E1493" s="10"/>
      <c r="F1493" s="16"/>
      <c r="G1493" s="10"/>
      <c r="H1493" s="10"/>
      <c r="I1493" s="10"/>
      <c r="J1493" s="10"/>
      <c r="K1493" s="10"/>
      <c r="L1493" s="10"/>
      <c r="M1493" s="14"/>
      <c r="N1493" s="17" t="str">
        <f aca="false">IF($B1493="","",IF($L1493="已完成",IF($M1493="","",$M1493-$B1493),IF(设置!$B$6&lt;$B1493,"",IF((设置!$B$6-$B1493)&gt;=设置!$B$5,"超期"&amp;(设置!$B$6-$B1493)&amp;"天","已等"&amp;(设置!$B$6-$B1493)&amp;"天"))))</f>
        <v/>
      </c>
      <c r="O1493" s="18" t="str">
        <f aca="false">IF(OR($D1493="",$E1493=""),"",COUNTIFS($D$7:$D1493,$D1493,$E$7:$E1493,$E1493))</f>
        <v/>
      </c>
      <c r="P1493" s="16"/>
      <c r="Q1493" s="19"/>
      <c r="R1493" s="10"/>
      <c r="S1493" s="16"/>
      <c r="T1493" s="0" t="str">
        <f aca="false">IF(OR($D1493="",单元查询!$B$3=""),"",IF($D1493&lt;&gt;单元查询!$B$3,"",IF(OR(单元查询!$D$3="",$E1493&amp;""=单元查询!$D$3&amp;""),IF(ISNUMBER($B1493),$B1493*10000,0)+ROW(),"")))</f>
        <v/>
      </c>
      <c r="U1493" s="0" t="str">
        <f aca="false">IF(OR($B1493="",$L1493="已完成"),"",IF(ISNUMBER($B1493),IF(设置!$B$6&lt;$B1493,"",(设置!$B$6-$B1493)*100000+ROW()),""))</f>
        <v/>
      </c>
      <c r="V1493" s="0" t="str">
        <f aca="false">IF(ISNUMBER($O1493),IF($O1493&gt;=2,IF(COUNTIFS($D1493:$D$2006,$D1493,$E1493:$E$2006,$E1493)=1,ROW(),""),""),"")</f>
        <v/>
      </c>
    </row>
    <row r="1494" customFormat="false" ht="15" hidden="false" customHeight="true" outlineLevel="0" collapsed="false">
      <c r="A1494" s="13" t="str">
        <f aca="false">IF(AND($B1494="",$D1494="",$E1494="",$F1494=""),"",IF(OR($B1494="",$D1494="",$E1494=""),"待补",IF($D1494="公共区域","公",IF($D1494="商铺","S",SUBSTITUTE($D1494,"栋","")))&amp;"-"&amp;$E1494&amp;"-"&amp;TEXT(MONTH($B1494),"00")&amp;TEXT(DAY($B1494),"00")&amp;IF(ISNUMBER($O1494),IF($O1494&gt;1,"-"&amp;TEXT($O1494,"00"),""),"")))</f>
        <v/>
      </c>
      <c r="B1494" s="14"/>
      <c r="C1494" s="10"/>
      <c r="D1494" s="10"/>
      <c r="E1494" s="10"/>
      <c r="F1494" s="16"/>
      <c r="G1494" s="10"/>
      <c r="H1494" s="10"/>
      <c r="I1494" s="10"/>
      <c r="J1494" s="10"/>
      <c r="K1494" s="10"/>
      <c r="L1494" s="10"/>
      <c r="M1494" s="14"/>
      <c r="N1494" s="17" t="str">
        <f aca="false">IF($B1494="","",IF($L1494="已完成",IF($M1494="","",$M1494-$B1494),IF(设置!$B$6&lt;$B1494,"",IF((设置!$B$6-$B1494)&gt;=设置!$B$5,"超期"&amp;(设置!$B$6-$B1494)&amp;"天","已等"&amp;(设置!$B$6-$B1494)&amp;"天"))))</f>
        <v/>
      </c>
      <c r="O1494" s="18" t="str">
        <f aca="false">IF(OR($D1494="",$E1494=""),"",COUNTIFS($D$7:$D1494,$D1494,$E$7:$E1494,$E1494))</f>
        <v/>
      </c>
      <c r="P1494" s="16"/>
      <c r="Q1494" s="19"/>
      <c r="R1494" s="10"/>
      <c r="S1494" s="16"/>
      <c r="T1494" s="0" t="str">
        <f aca="false">IF(OR($D1494="",单元查询!$B$3=""),"",IF($D1494&lt;&gt;单元查询!$B$3,"",IF(OR(单元查询!$D$3="",$E1494&amp;""=单元查询!$D$3&amp;""),IF(ISNUMBER($B1494),$B1494*10000,0)+ROW(),"")))</f>
        <v/>
      </c>
      <c r="U1494" s="0" t="str">
        <f aca="false">IF(OR($B1494="",$L1494="已完成"),"",IF(ISNUMBER($B1494),IF(设置!$B$6&lt;$B1494,"",(设置!$B$6-$B1494)*100000+ROW()),""))</f>
        <v/>
      </c>
      <c r="V1494" s="0" t="str">
        <f aca="false">IF(ISNUMBER($O1494),IF($O1494&gt;=2,IF(COUNTIFS($D1494:$D$2006,$D1494,$E1494:$E$2006,$E1494)=1,ROW(),""),""),"")</f>
        <v/>
      </c>
    </row>
    <row r="1495" customFormat="false" ht="15" hidden="false" customHeight="true" outlineLevel="0" collapsed="false">
      <c r="A1495" s="13" t="str">
        <f aca="false">IF(AND($B1495="",$D1495="",$E1495="",$F1495=""),"",IF(OR($B1495="",$D1495="",$E1495=""),"待补",IF($D1495="公共区域","公",IF($D1495="商铺","S",SUBSTITUTE($D1495,"栋","")))&amp;"-"&amp;$E1495&amp;"-"&amp;TEXT(MONTH($B1495),"00")&amp;TEXT(DAY($B1495),"00")&amp;IF(ISNUMBER($O1495),IF($O1495&gt;1,"-"&amp;TEXT($O1495,"00"),""),"")))</f>
        <v/>
      </c>
      <c r="B1495" s="14"/>
      <c r="C1495" s="10"/>
      <c r="D1495" s="10"/>
      <c r="E1495" s="10"/>
      <c r="F1495" s="16"/>
      <c r="G1495" s="10"/>
      <c r="H1495" s="10"/>
      <c r="I1495" s="10"/>
      <c r="J1495" s="10"/>
      <c r="K1495" s="10"/>
      <c r="L1495" s="10"/>
      <c r="M1495" s="14"/>
      <c r="N1495" s="17" t="str">
        <f aca="false">IF($B1495="","",IF($L1495="已完成",IF($M1495="","",$M1495-$B1495),IF(设置!$B$6&lt;$B1495,"",IF((设置!$B$6-$B1495)&gt;=设置!$B$5,"超期"&amp;(设置!$B$6-$B1495)&amp;"天","已等"&amp;(设置!$B$6-$B1495)&amp;"天"))))</f>
        <v/>
      </c>
      <c r="O1495" s="18" t="str">
        <f aca="false">IF(OR($D1495="",$E1495=""),"",COUNTIFS($D$7:$D1495,$D1495,$E$7:$E1495,$E1495))</f>
        <v/>
      </c>
      <c r="P1495" s="16"/>
      <c r="Q1495" s="19"/>
      <c r="R1495" s="10"/>
      <c r="S1495" s="16"/>
      <c r="T1495" s="0" t="str">
        <f aca="false">IF(OR($D1495="",单元查询!$B$3=""),"",IF($D1495&lt;&gt;单元查询!$B$3,"",IF(OR(单元查询!$D$3="",$E1495&amp;""=单元查询!$D$3&amp;""),IF(ISNUMBER($B1495),$B1495*10000,0)+ROW(),"")))</f>
        <v/>
      </c>
      <c r="U1495" s="0" t="str">
        <f aca="false">IF(OR($B1495="",$L1495="已完成"),"",IF(ISNUMBER($B1495),IF(设置!$B$6&lt;$B1495,"",(设置!$B$6-$B1495)*100000+ROW()),""))</f>
        <v/>
      </c>
      <c r="V1495" s="0" t="str">
        <f aca="false">IF(ISNUMBER($O1495),IF($O1495&gt;=2,IF(COUNTIFS($D1495:$D$2006,$D1495,$E1495:$E$2006,$E1495)=1,ROW(),""),""),"")</f>
        <v/>
      </c>
    </row>
    <row r="1496" customFormat="false" ht="15" hidden="false" customHeight="true" outlineLevel="0" collapsed="false">
      <c r="A1496" s="13" t="str">
        <f aca="false">IF(AND($B1496="",$D1496="",$E1496="",$F1496=""),"",IF(OR($B1496="",$D1496="",$E1496=""),"待补",IF($D1496="公共区域","公",IF($D1496="商铺","S",SUBSTITUTE($D1496,"栋","")))&amp;"-"&amp;$E1496&amp;"-"&amp;TEXT(MONTH($B1496),"00")&amp;TEXT(DAY($B1496),"00")&amp;IF(ISNUMBER($O1496),IF($O1496&gt;1,"-"&amp;TEXT($O1496,"00"),""),"")))</f>
        <v/>
      </c>
      <c r="B1496" s="14"/>
      <c r="C1496" s="10"/>
      <c r="D1496" s="10"/>
      <c r="E1496" s="10"/>
      <c r="F1496" s="16"/>
      <c r="G1496" s="10"/>
      <c r="H1496" s="10"/>
      <c r="I1496" s="10"/>
      <c r="J1496" s="10"/>
      <c r="K1496" s="10"/>
      <c r="L1496" s="10"/>
      <c r="M1496" s="14"/>
      <c r="N1496" s="17" t="str">
        <f aca="false">IF($B1496="","",IF($L1496="已完成",IF($M1496="","",$M1496-$B1496),IF(设置!$B$6&lt;$B1496,"",IF((设置!$B$6-$B1496)&gt;=设置!$B$5,"超期"&amp;(设置!$B$6-$B1496)&amp;"天","已等"&amp;(设置!$B$6-$B1496)&amp;"天"))))</f>
        <v/>
      </c>
      <c r="O1496" s="18" t="str">
        <f aca="false">IF(OR($D1496="",$E1496=""),"",COUNTIFS($D$7:$D1496,$D1496,$E$7:$E1496,$E1496))</f>
        <v/>
      </c>
      <c r="P1496" s="16"/>
      <c r="Q1496" s="19"/>
      <c r="R1496" s="10"/>
      <c r="S1496" s="16"/>
      <c r="T1496" s="0" t="str">
        <f aca="false">IF(OR($D1496="",单元查询!$B$3=""),"",IF($D1496&lt;&gt;单元查询!$B$3,"",IF(OR(单元查询!$D$3="",$E1496&amp;""=单元查询!$D$3&amp;""),IF(ISNUMBER($B1496),$B1496*10000,0)+ROW(),"")))</f>
        <v/>
      </c>
      <c r="U1496" s="0" t="str">
        <f aca="false">IF(OR($B1496="",$L1496="已完成"),"",IF(ISNUMBER($B1496),IF(设置!$B$6&lt;$B1496,"",(设置!$B$6-$B1496)*100000+ROW()),""))</f>
        <v/>
      </c>
      <c r="V1496" s="0" t="str">
        <f aca="false">IF(ISNUMBER($O1496),IF($O1496&gt;=2,IF(COUNTIFS($D1496:$D$2006,$D1496,$E1496:$E$2006,$E1496)=1,ROW(),""),""),"")</f>
        <v/>
      </c>
    </row>
    <row r="1497" customFormat="false" ht="15" hidden="false" customHeight="true" outlineLevel="0" collapsed="false">
      <c r="A1497" s="13" t="str">
        <f aca="false">IF(AND($B1497="",$D1497="",$E1497="",$F1497=""),"",IF(OR($B1497="",$D1497="",$E1497=""),"待补",IF($D1497="公共区域","公",IF($D1497="商铺","S",SUBSTITUTE($D1497,"栋","")))&amp;"-"&amp;$E1497&amp;"-"&amp;TEXT(MONTH($B1497),"00")&amp;TEXT(DAY($B1497),"00")&amp;IF(ISNUMBER($O1497),IF($O1497&gt;1,"-"&amp;TEXT($O1497,"00"),""),"")))</f>
        <v/>
      </c>
      <c r="B1497" s="14"/>
      <c r="C1497" s="10"/>
      <c r="D1497" s="10"/>
      <c r="E1497" s="10"/>
      <c r="F1497" s="16"/>
      <c r="G1497" s="10"/>
      <c r="H1497" s="10"/>
      <c r="I1497" s="10"/>
      <c r="J1497" s="10"/>
      <c r="K1497" s="10"/>
      <c r="L1497" s="10"/>
      <c r="M1497" s="14"/>
      <c r="N1497" s="17" t="str">
        <f aca="false">IF($B1497="","",IF($L1497="已完成",IF($M1497="","",$M1497-$B1497),IF(设置!$B$6&lt;$B1497,"",IF((设置!$B$6-$B1497)&gt;=设置!$B$5,"超期"&amp;(设置!$B$6-$B1497)&amp;"天","已等"&amp;(设置!$B$6-$B1497)&amp;"天"))))</f>
        <v/>
      </c>
      <c r="O1497" s="18" t="str">
        <f aca="false">IF(OR($D1497="",$E1497=""),"",COUNTIFS($D$7:$D1497,$D1497,$E$7:$E1497,$E1497))</f>
        <v/>
      </c>
      <c r="P1497" s="16"/>
      <c r="Q1497" s="19"/>
      <c r="R1497" s="10"/>
      <c r="S1497" s="16"/>
      <c r="T1497" s="0" t="str">
        <f aca="false">IF(OR($D1497="",单元查询!$B$3=""),"",IF($D1497&lt;&gt;单元查询!$B$3,"",IF(OR(单元查询!$D$3="",$E1497&amp;""=单元查询!$D$3&amp;""),IF(ISNUMBER($B1497),$B1497*10000,0)+ROW(),"")))</f>
        <v/>
      </c>
      <c r="U1497" s="0" t="str">
        <f aca="false">IF(OR($B1497="",$L1497="已完成"),"",IF(ISNUMBER($B1497),IF(设置!$B$6&lt;$B1497,"",(设置!$B$6-$B1497)*100000+ROW()),""))</f>
        <v/>
      </c>
      <c r="V1497" s="0" t="str">
        <f aca="false">IF(ISNUMBER($O1497),IF($O1497&gt;=2,IF(COUNTIFS($D1497:$D$2006,$D1497,$E1497:$E$2006,$E1497)=1,ROW(),""),""),"")</f>
        <v/>
      </c>
    </row>
    <row r="1498" customFormat="false" ht="15" hidden="false" customHeight="true" outlineLevel="0" collapsed="false">
      <c r="A1498" s="13" t="str">
        <f aca="false">IF(AND($B1498="",$D1498="",$E1498="",$F1498=""),"",IF(OR($B1498="",$D1498="",$E1498=""),"待补",IF($D1498="公共区域","公",IF($D1498="商铺","S",SUBSTITUTE($D1498,"栋","")))&amp;"-"&amp;$E1498&amp;"-"&amp;TEXT(MONTH($B1498),"00")&amp;TEXT(DAY($B1498),"00")&amp;IF(ISNUMBER($O1498),IF($O1498&gt;1,"-"&amp;TEXT($O1498,"00"),""),"")))</f>
        <v/>
      </c>
      <c r="B1498" s="14"/>
      <c r="C1498" s="10"/>
      <c r="D1498" s="10"/>
      <c r="E1498" s="10"/>
      <c r="F1498" s="16"/>
      <c r="G1498" s="10"/>
      <c r="H1498" s="10"/>
      <c r="I1498" s="10"/>
      <c r="J1498" s="10"/>
      <c r="K1498" s="10"/>
      <c r="L1498" s="10"/>
      <c r="M1498" s="14"/>
      <c r="N1498" s="17" t="str">
        <f aca="false">IF($B1498="","",IF($L1498="已完成",IF($M1498="","",$M1498-$B1498),IF(设置!$B$6&lt;$B1498,"",IF((设置!$B$6-$B1498)&gt;=设置!$B$5,"超期"&amp;(设置!$B$6-$B1498)&amp;"天","已等"&amp;(设置!$B$6-$B1498)&amp;"天"))))</f>
        <v/>
      </c>
      <c r="O1498" s="18" t="str">
        <f aca="false">IF(OR($D1498="",$E1498=""),"",COUNTIFS($D$7:$D1498,$D1498,$E$7:$E1498,$E1498))</f>
        <v/>
      </c>
      <c r="P1498" s="16"/>
      <c r="Q1498" s="19"/>
      <c r="R1498" s="10"/>
      <c r="S1498" s="16"/>
      <c r="T1498" s="0" t="str">
        <f aca="false">IF(OR($D1498="",单元查询!$B$3=""),"",IF($D1498&lt;&gt;单元查询!$B$3,"",IF(OR(单元查询!$D$3="",$E1498&amp;""=单元查询!$D$3&amp;""),IF(ISNUMBER($B1498),$B1498*10000,0)+ROW(),"")))</f>
        <v/>
      </c>
      <c r="U1498" s="0" t="str">
        <f aca="false">IF(OR($B1498="",$L1498="已完成"),"",IF(ISNUMBER($B1498),IF(设置!$B$6&lt;$B1498,"",(设置!$B$6-$B1498)*100000+ROW()),""))</f>
        <v/>
      </c>
      <c r="V1498" s="0" t="str">
        <f aca="false">IF(ISNUMBER($O1498),IF($O1498&gt;=2,IF(COUNTIFS($D1498:$D$2006,$D1498,$E1498:$E$2006,$E1498)=1,ROW(),""),""),"")</f>
        <v/>
      </c>
    </row>
    <row r="1499" customFormat="false" ht="15" hidden="false" customHeight="true" outlineLevel="0" collapsed="false">
      <c r="A1499" s="13" t="str">
        <f aca="false">IF(AND($B1499="",$D1499="",$E1499="",$F1499=""),"",IF(OR($B1499="",$D1499="",$E1499=""),"待补",IF($D1499="公共区域","公",IF($D1499="商铺","S",SUBSTITUTE($D1499,"栋","")))&amp;"-"&amp;$E1499&amp;"-"&amp;TEXT(MONTH($B1499),"00")&amp;TEXT(DAY($B1499),"00")&amp;IF(ISNUMBER($O1499),IF($O1499&gt;1,"-"&amp;TEXT($O1499,"00"),""),"")))</f>
        <v/>
      </c>
      <c r="B1499" s="14"/>
      <c r="C1499" s="10"/>
      <c r="D1499" s="10"/>
      <c r="E1499" s="10"/>
      <c r="F1499" s="16"/>
      <c r="G1499" s="10"/>
      <c r="H1499" s="10"/>
      <c r="I1499" s="10"/>
      <c r="J1499" s="10"/>
      <c r="K1499" s="10"/>
      <c r="L1499" s="10"/>
      <c r="M1499" s="14"/>
      <c r="N1499" s="17" t="str">
        <f aca="false">IF($B1499="","",IF($L1499="已完成",IF($M1499="","",$M1499-$B1499),IF(设置!$B$6&lt;$B1499,"",IF((设置!$B$6-$B1499)&gt;=设置!$B$5,"超期"&amp;(设置!$B$6-$B1499)&amp;"天","已等"&amp;(设置!$B$6-$B1499)&amp;"天"))))</f>
        <v/>
      </c>
      <c r="O1499" s="18" t="str">
        <f aca="false">IF(OR($D1499="",$E1499=""),"",COUNTIFS($D$7:$D1499,$D1499,$E$7:$E1499,$E1499))</f>
        <v/>
      </c>
      <c r="P1499" s="16"/>
      <c r="Q1499" s="19"/>
      <c r="R1499" s="10"/>
      <c r="S1499" s="16"/>
      <c r="T1499" s="0" t="str">
        <f aca="false">IF(OR($D1499="",单元查询!$B$3=""),"",IF($D1499&lt;&gt;单元查询!$B$3,"",IF(OR(单元查询!$D$3="",$E1499&amp;""=单元查询!$D$3&amp;""),IF(ISNUMBER($B1499),$B1499*10000,0)+ROW(),"")))</f>
        <v/>
      </c>
      <c r="U1499" s="0" t="str">
        <f aca="false">IF(OR($B1499="",$L1499="已完成"),"",IF(ISNUMBER($B1499),IF(设置!$B$6&lt;$B1499,"",(设置!$B$6-$B1499)*100000+ROW()),""))</f>
        <v/>
      </c>
      <c r="V1499" s="0" t="str">
        <f aca="false">IF(ISNUMBER($O1499),IF($O1499&gt;=2,IF(COUNTIFS($D1499:$D$2006,$D1499,$E1499:$E$2006,$E1499)=1,ROW(),""),""),"")</f>
        <v/>
      </c>
    </row>
    <row r="1500" customFormat="false" ht="15" hidden="false" customHeight="true" outlineLevel="0" collapsed="false">
      <c r="A1500" s="13" t="str">
        <f aca="false">IF(AND($B1500="",$D1500="",$E1500="",$F1500=""),"",IF(OR($B1500="",$D1500="",$E1500=""),"待补",IF($D1500="公共区域","公",IF($D1500="商铺","S",SUBSTITUTE($D1500,"栋","")))&amp;"-"&amp;$E1500&amp;"-"&amp;TEXT(MONTH($B1500),"00")&amp;TEXT(DAY($B1500),"00")&amp;IF(ISNUMBER($O1500),IF($O1500&gt;1,"-"&amp;TEXT($O1500,"00"),""),"")))</f>
        <v/>
      </c>
      <c r="B1500" s="14"/>
      <c r="C1500" s="10"/>
      <c r="D1500" s="10"/>
      <c r="E1500" s="10"/>
      <c r="F1500" s="16"/>
      <c r="G1500" s="10"/>
      <c r="H1500" s="10"/>
      <c r="I1500" s="10"/>
      <c r="J1500" s="10"/>
      <c r="K1500" s="10"/>
      <c r="L1500" s="10"/>
      <c r="M1500" s="14"/>
      <c r="N1500" s="17" t="str">
        <f aca="false">IF($B1500="","",IF($L1500="已完成",IF($M1500="","",$M1500-$B1500),IF(设置!$B$6&lt;$B1500,"",IF((设置!$B$6-$B1500)&gt;=设置!$B$5,"超期"&amp;(设置!$B$6-$B1500)&amp;"天","已等"&amp;(设置!$B$6-$B1500)&amp;"天"))))</f>
        <v/>
      </c>
      <c r="O1500" s="18" t="str">
        <f aca="false">IF(OR($D1500="",$E1500=""),"",COUNTIFS($D$7:$D1500,$D1500,$E$7:$E1500,$E1500))</f>
        <v/>
      </c>
      <c r="P1500" s="16"/>
      <c r="Q1500" s="19"/>
      <c r="R1500" s="10"/>
      <c r="S1500" s="16"/>
      <c r="T1500" s="0" t="str">
        <f aca="false">IF(OR($D1500="",单元查询!$B$3=""),"",IF($D1500&lt;&gt;单元查询!$B$3,"",IF(OR(单元查询!$D$3="",$E1500&amp;""=单元查询!$D$3&amp;""),IF(ISNUMBER($B1500),$B1500*10000,0)+ROW(),"")))</f>
        <v/>
      </c>
      <c r="U1500" s="0" t="str">
        <f aca="false">IF(OR($B1500="",$L1500="已完成"),"",IF(ISNUMBER($B1500),IF(设置!$B$6&lt;$B1500,"",(设置!$B$6-$B1500)*100000+ROW()),""))</f>
        <v/>
      </c>
      <c r="V1500" s="0" t="str">
        <f aca="false">IF(ISNUMBER($O1500),IF($O1500&gt;=2,IF(COUNTIFS($D1500:$D$2006,$D1500,$E1500:$E$2006,$E1500)=1,ROW(),""),""),"")</f>
        <v/>
      </c>
    </row>
    <row r="1501" customFormat="false" ht="15" hidden="false" customHeight="true" outlineLevel="0" collapsed="false">
      <c r="A1501" s="13" t="str">
        <f aca="false">IF(AND($B1501="",$D1501="",$E1501="",$F1501=""),"",IF(OR($B1501="",$D1501="",$E1501=""),"待补",IF($D1501="公共区域","公",IF($D1501="商铺","S",SUBSTITUTE($D1501,"栋","")))&amp;"-"&amp;$E1501&amp;"-"&amp;TEXT(MONTH($B1501),"00")&amp;TEXT(DAY($B1501),"00")&amp;IF(ISNUMBER($O1501),IF($O1501&gt;1,"-"&amp;TEXT($O1501,"00"),""),"")))</f>
        <v/>
      </c>
      <c r="B1501" s="14"/>
      <c r="C1501" s="10"/>
      <c r="D1501" s="10"/>
      <c r="E1501" s="10"/>
      <c r="F1501" s="16"/>
      <c r="G1501" s="10"/>
      <c r="H1501" s="10"/>
      <c r="I1501" s="10"/>
      <c r="J1501" s="10"/>
      <c r="K1501" s="10"/>
      <c r="L1501" s="10"/>
      <c r="M1501" s="14"/>
      <c r="N1501" s="17" t="str">
        <f aca="false">IF($B1501="","",IF($L1501="已完成",IF($M1501="","",$M1501-$B1501),IF(设置!$B$6&lt;$B1501,"",IF((设置!$B$6-$B1501)&gt;=设置!$B$5,"超期"&amp;(设置!$B$6-$B1501)&amp;"天","已等"&amp;(设置!$B$6-$B1501)&amp;"天"))))</f>
        <v/>
      </c>
      <c r="O1501" s="18" t="str">
        <f aca="false">IF(OR($D1501="",$E1501=""),"",COUNTIFS($D$7:$D1501,$D1501,$E$7:$E1501,$E1501))</f>
        <v/>
      </c>
      <c r="P1501" s="16"/>
      <c r="Q1501" s="19"/>
      <c r="R1501" s="10"/>
      <c r="S1501" s="16"/>
      <c r="T1501" s="0" t="str">
        <f aca="false">IF(OR($D1501="",单元查询!$B$3=""),"",IF($D1501&lt;&gt;单元查询!$B$3,"",IF(OR(单元查询!$D$3="",$E1501&amp;""=单元查询!$D$3&amp;""),IF(ISNUMBER($B1501),$B1501*10000,0)+ROW(),"")))</f>
        <v/>
      </c>
      <c r="U1501" s="0" t="str">
        <f aca="false">IF(OR($B1501="",$L1501="已完成"),"",IF(ISNUMBER($B1501),IF(设置!$B$6&lt;$B1501,"",(设置!$B$6-$B1501)*100000+ROW()),""))</f>
        <v/>
      </c>
      <c r="V1501" s="0" t="str">
        <f aca="false">IF(ISNUMBER($O1501),IF($O1501&gt;=2,IF(COUNTIFS($D1501:$D$2006,$D1501,$E1501:$E$2006,$E1501)=1,ROW(),""),""),"")</f>
        <v/>
      </c>
    </row>
    <row r="1502" customFormat="false" ht="15" hidden="false" customHeight="true" outlineLevel="0" collapsed="false">
      <c r="A1502" s="13" t="str">
        <f aca="false">IF(AND($B1502="",$D1502="",$E1502="",$F1502=""),"",IF(OR($B1502="",$D1502="",$E1502=""),"待补",IF($D1502="公共区域","公",IF($D1502="商铺","S",SUBSTITUTE($D1502,"栋","")))&amp;"-"&amp;$E1502&amp;"-"&amp;TEXT(MONTH($B1502),"00")&amp;TEXT(DAY($B1502),"00")&amp;IF(ISNUMBER($O1502),IF($O1502&gt;1,"-"&amp;TEXT($O1502,"00"),""),"")))</f>
        <v/>
      </c>
      <c r="B1502" s="14"/>
      <c r="C1502" s="10"/>
      <c r="D1502" s="10"/>
      <c r="E1502" s="10"/>
      <c r="F1502" s="16"/>
      <c r="G1502" s="10"/>
      <c r="H1502" s="10"/>
      <c r="I1502" s="10"/>
      <c r="J1502" s="10"/>
      <c r="K1502" s="10"/>
      <c r="L1502" s="10"/>
      <c r="M1502" s="14"/>
      <c r="N1502" s="17" t="str">
        <f aca="false">IF($B1502="","",IF($L1502="已完成",IF($M1502="","",$M1502-$B1502),IF(设置!$B$6&lt;$B1502,"",IF((设置!$B$6-$B1502)&gt;=设置!$B$5,"超期"&amp;(设置!$B$6-$B1502)&amp;"天","已等"&amp;(设置!$B$6-$B1502)&amp;"天"))))</f>
        <v/>
      </c>
      <c r="O1502" s="18" t="str">
        <f aca="false">IF(OR($D1502="",$E1502=""),"",COUNTIFS($D$7:$D1502,$D1502,$E$7:$E1502,$E1502))</f>
        <v/>
      </c>
      <c r="P1502" s="16"/>
      <c r="Q1502" s="19"/>
      <c r="R1502" s="10"/>
      <c r="S1502" s="16"/>
      <c r="T1502" s="0" t="str">
        <f aca="false">IF(OR($D1502="",单元查询!$B$3=""),"",IF($D1502&lt;&gt;单元查询!$B$3,"",IF(OR(单元查询!$D$3="",$E1502&amp;""=单元查询!$D$3&amp;""),IF(ISNUMBER($B1502),$B1502*10000,0)+ROW(),"")))</f>
        <v/>
      </c>
      <c r="U1502" s="0" t="str">
        <f aca="false">IF(OR($B1502="",$L1502="已完成"),"",IF(ISNUMBER($B1502),IF(设置!$B$6&lt;$B1502,"",(设置!$B$6-$B1502)*100000+ROW()),""))</f>
        <v/>
      </c>
      <c r="V1502" s="0" t="str">
        <f aca="false">IF(ISNUMBER($O1502),IF($O1502&gt;=2,IF(COUNTIFS($D1502:$D$2006,$D1502,$E1502:$E$2006,$E1502)=1,ROW(),""),""),"")</f>
        <v/>
      </c>
    </row>
    <row r="1503" customFormat="false" ht="15" hidden="false" customHeight="true" outlineLevel="0" collapsed="false">
      <c r="A1503" s="13" t="str">
        <f aca="false">IF(AND($B1503="",$D1503="",$E1503="",$F1503=""),"",IF(OR($B1503="",$D1503="",$E1503=""),"待补",IF($D1503="公共区域","公",IF($D1503="商铺","S",SUBSTITUTE($D1503,"栋","")))&amp;"-"&amp;$E1503&amp;"-"&amp;TEXT(MONTH($B1503),"00")&amp;TEXT(DAY($B1503),"00")&amp;IF(ISNUMBER($O1503),IF($O1503&gt;1,"-"&amp;TEXT($O1503,"00"),""),"")))</f>
        <v/>
      </c>
      <c r="B1503" s="14"/>
      <c r="C1503" s="10"/>
      <c r="D1503" s="10"/>
      <c r="E1503" s="10"/>
      <c r="F1503" s="16"/>
      <c r="G1503" s="10"/>
      <c r="H1503" s="10"/>
      <c r="I1503" s="10"/>
      <c r="J1503" s="10"/>
      <c r="K1503" s="10"/>
      <c r="L1503" s="10"/>
      <c r="M1503" s="14"/>
      <c r="N1503" s="17" t="str">
        <f aca="false">IF($B1503="","",IF($L1503="已完成",IF($M1503="","",$M1503-$B1503),IF(设置!$B$6&lt;$B1503,"",IF((设置!$B$6-$B1503)&gt;=设置!$B$5,"超期"&amp;(设置!$B$6-$B1503)&amp;"天","已等"&amp;(设置!$B$6-$B1503)&amp;"天"))))</f>
        <v/>
      </c>
      <c r="O1503" s="18" t="str">
        <f aca="false">IF(OR($D1503="",$E1503=""),"",COUNTIFS($D$7:$D1503,$D1503,$E$7:$E1503,$E1503))</f>
        <v/>
      </c>
      <c r="P1503" s="16"/>
      <c r="Q1503" s="19"/>
      <c r="R1503" s="10"/>
      <c r="S1503" s="16"/>
      <c r="T1503" s="0" t="str">
        <f aca="false">IF(OR($D1503="",单元查询!$B$3=""),"",IF($D1503&lt;&gt;单元查询!$B$3,"",IF(OR(单元查询!$D$3="",$E1503&amp;""=单元查询!$D$3&amp;""),IF(ISNUMBER($B1503),$B1503*10000,0)+ROW(),"")))</f>
        <v/>
      </c>
      <c r="U1503" s="0" t="str">
        <f aca="false">IF(OR($B1503="",$L1503="已完成"),"",IF(ISNUMBER($B1503),IF(设置!$B$6&lt;$B1503,"",(设置!$B$6-$B1503)*100000+ROW()),""))</f>
        <v/>
      </c>
      <c r="V1503" s="0" t="str">
        <f aca="false">IF(ISNUMBER($O1503),IF($O1503&gt;=2,IF(COUNTIFS($D1503:$D$2006,$D1503,$E1503:$E$2006,$E1503)=1,ROW(),""),""),"")</f>
        <v/>
      </c>
    </row>
    <row r="1504" customFormat="false" ht="15" hidden="false" customHeight="true" outlineLevel="0" collapsed="false">
      <c r="A1504" s="13" t="str">
        <f aca="false">IF(AND($B1504="",$D1504="",$E1504="",$F1504=""),"",IF(OR($B1504="",$D1504="",$E1504=""),"待补",IF($D1504="公共区域","公",IF($D1504="商铺","S",SUBSTITUTE($D1504,"栋","")))&amp;"-"&amp;$E1504&amp;"-"&amp;TEXT(MONTH($B1504),"00")&amp;TEXT(DAY($B1504),"00")&amp;IF(ISNUMBER($O1504),IF($O1504&gt;1,"-"&amp;TEXT($O1504,"00"),""),"")))</f>
        <v/>
      </c>
      <c r="B1504" s="14"/>
      <c r="C1504" s="10"/>
      <c r="D1504" s="10"/>
      <c r="E1504" s="10"/>
      <c r="F1504" s="16"/>
      <c r="G1504" s="10"/>
      <c r="H1504" s="10"/>
      <c r="I1504" s="10"/>
      <c r="J1504" s="10"/>
      <c r="K1504" s="10"/>
      <c r="L1504" s="10"/>
      <c r="M1504" s="14"/>
      <c r="N1504" s="17" t="str">
        <f aca="false">IF($B1504="","",IF($L1504="已完成",IF($M1504="","",$M1504-$B1504),IF(设置!$B$6&lt;$B1504,"",IF((设置!$B$6-$B1504)&gt;=设置!$B$5,"超期"&amp;(设置!$B$6-$B1504)&amp;"天","已等"&amp;(设置!$B$6-$B1504)&amp;"天"))))</f>
        <v/>
      </c>
      <c r="O1504" s="18" t="str">
        <f aca="false">IF(OR($D1504="",$E1504=""),"",COUNTIFS($D$7:$D1504,$D1504,$E$7:$E1504,$E1504))</f>
        <v/>
      </c>
      <c r="P1504" s="16"/>
      <c r="Q1504" s="19"/>
      <c r="R1504" s="10"/>
      <c r="S1504" s="16"/>
      <c r="T1504" s="0" t="str">
        <f aca="false">IF(OR($D1504="",单元查询!$B$3=""),"",IF($D1504&lt;&gt;单元查询!$B$3,"",IF(OR(单元查询!$D$3="",$E1504&amp;""=单元查询!$D$3&amp;""),IF(ISNUMBER($B1504),$B1504*10000,0)+ROW(),"")))</f>
        <v/>
      </c>
      <c r="U1504" s="0" t="str">
        <f aca="false">IF(OR($B1504="",$L1504="已完成"),"",IF(ISNUMBER($B1504),IF(设置!$B$6&lt;$B1504,"",(设置!$B$6-$B1504)*100000+ROW()),""))</f>
        <v/>
      </c>
      <c r="V1504" s="0" t="str">
        <f aca="false">IF(ISNUMBER($O1504),IF($O1504&gt;=2,IF(COUNTIFS($D1504:$D$2006,$D1504,$E1504:$E$2006,$E1504)=1,ROW(),""),""),"")</f>
        <v/>
      </c>
    </row>
    <row r="1505" customFormat="false" ht="15" hidden="false" customHeight="true" outlineLevel="0" collapsed="false">
      <c r="A1505" s="13" t="str">
        <f aca="false">IF(AND($B1505="",$D1505="",$E1505="",$F1505=""),"",IF(OR($B1505="",$D1505="",$E1505=""),"待补",IF($D1505="公共区域","公",IF($D1505="商铺","S",SUBSTITUTE($D1505,"栋","")))&amp;"-"&amp;$E1505&amp;"-"&amp;TEXT(MONTH($B1505),"00")&amp;TEXT(DAY($B1505),"00")&amp;IF(ISNUMBER($O1505),IF($O1505&gt;1,"-"&amp;TEXT($O1505,"00"),""),"")))</f>
        <v/>
      </c>
      <c r="B1505" s="14"/>
      <c r="C1505" s="10"/>
      <c r="D1505" s="10"/>
      <c r="E1505" s="10"/>
      <c r="F1505" s="16"/>
      <c r="G1505" s="10"/>
      <c r="H1505" s="10"/>
      <c r="I1505" s="10"/>
      <c r="J1505" s="10"/>
      <c r="K1505" s="10"/>
      <c r="L1505" s="10"/>
      <c r="M1505" s="14"/>
      <c r="N1505" s="17" t="str">
        <f aca="false">IF($B1505="","",IF($L1505="已完成",IF($M1505="","",$M1505-$B1505),IF(设置!$B$6&lt;$B1505,"",IF((设置!$B$6-$B1505)&gt;=设置!$B$5,"超期"&amp;(设置!$B$6-$B1505)&amp;"天","已等"&amp;(设置!$B$6-$B1505)&amp;"天"))))</f>
        <v/>
      </c>
      <c r="O1505" s="18" t="str">
        <f aca="false">IF(OR($D1505="",$E1505=""),"",COUNTIFS($D$7:$D1505,$D1505,$E$7:$E1505,$E1505))</f>
        <v/>
      </c>
      <c r="P1505" s="16"/>
      <c r="Q1505" s="19"/>
      <c r="R1505" s="10"/>
      <c r="S1505" s="16"/>
      <c r="T1505" s="0" t="str">
        <f aca="false">IF(OR($D1505="",单元查询!$B$3=""),"",IF($D1505&lt;&gt;单元查询!$B$3,"",IF(OR(单元查询!$D$3="",$E1505&amp;""=单元查询!$D$3&amp;""),IF(ISNUMBER($B1505),$B1505*10000,0)+ROW(),"")))</f>
        <v/>
      </c>
      <c r="U1505" s="0" t="str">
        <f aca="false">IF(OR($B1505="",$L1505="已完成"),"",IF(ISNUMBER($B1505),IF(设置!$B$6&lt;$B1505,"",(设置!$B$6-$B1505)*100000+ROW()),""))</f>
        <v/>
      </c>
      <c r="V1505" s="0" t="str">
        <f aca="false">IF(ISNUMBER($O1505),IF($O1505&gt;=2,IF(COUNTIFS($D1505:$D$2006,$D1505,$E1505:$E$2006,$E1505)=1,ROW(),""),""),"")</f>
        <v/>
      </c>
    </row>
    <row r="1506" customFormat="false" ht="15" hidden="false" customHeight="true" outlineLevel="0" collapsed="false">
      <c r="A1506" s="13" t="str">
        <f aca="false">IF(AND($B1506="",$D1506="",$E1506="",$F1506=""),"",IF(OR($B1506="",$D1506="",$E1506=""),"待补",IF($D1506="公共区域","公",IF($D1506="商铺","S",SUBSTITUTE($D1506,"栋","")))&amp;"-"&amp;$E1506&amp;"-"&amp;TEXT(MONTH($B1506),"00")&amp;TEXT(DAY($B1506),"00")&amp;IF(ISNUMBER($O1506),IF($O1506&gt;1,"-"&amp;TEXT($O1506,"00"),""),"")))</f>
        <v/>
      </c>
      <c r="B1506" s="14"/>
      <c r="C1506" s="10"/>
      <c r="D1506" s="10"/>
      <c r="E1506" s="10"/>
      <c r="F1506" s="16"/>
      <c r="G1506" s="10"/>
      <c r="H1506" s="10"/>
      <c r="I1506" s="10"/>
      <c r="J1506" s="10"/>
      <c r="K1506" s="10"/>
      <c r="L1506" s="10"/>
      <c r="M1506" s="14"/>
      <c r="N1506" s="17" t="str">
        <f aca="false">IF($B1506="","",IF($L1506="已完成",IF($M1506="","",$M1506-$B1506),IF(设置!$B$6&lt;$B1506,"",IF((设置!$B$6-$B1506)&gt;=设置!$B$5,"超期"&amp;(设置!$B$6-$B1506)&amp;"天","已等"&amp;(设置!$B$6-$B1506)&amp;"天"))))</f>
        <v/>
      </c>
      <c r="O1506" s="18" t="str">
        <f aca="false">IF(OR($D1506="",$E1506=""),"",COUNTIFS($D$7:$D1506,$D1506,$E$7:$E1506,$E1506))</f>
        <v/>
      </c>
      <c r="P1506" s="16"/>
      <c r="Q1506" s="19"/>
      <c r="R1506" s="10"/>
      <c r="S1506" s="16"/>
      <c r="T1506" s="0" t="str">
        <f aca="false">IF(OR($D1506="",单元查询!$B$3=""),"",IF($D1506&lt;&gt;单元查询!$B$3,"",IF(OR(单元查询!$D$3="",$E1506&amp;""=单元查询!$D$3&amp;""),IF(ISNUMBER($B1506),$B1506*10000,0)+ROW(),"")))</f>
        <v/>
      </c>
      <c r="U1506" s="0" t="str">
        <f aca="false">IF(OR($B1506="",$L1506="已完成"),"",IF(ISNUMBER($B1506),IF(设置!$B$6&lt;$B1506,"",(设置!$B$6-$B1506)*100000+ROW()),""))</f>
        <v/>
      </c>
      <c r="V1506" s="0" t="str">
        <f aca="false">IF(ISNUMBER($O1506),IF($O1506&gt;=2,IF(COUNTIFS($D1506:$D$2006,$D1506,$E1506:$E$2006,$E1506)=1,ROW(),""),""),"")</f>
        <v/>
      </c>
    </row>
    <row r="1507" customFormat="false" ht="15" hidden="false" customHeight="true" outlineLevel="0" collapsed="false">
      <c r="A1507" s="13" t="str">
        <f aca="false">IF(AND($B1507="",$D1507="",$E1507="",$F1507=""),"",IF(OR($B1507="",$D1507="",$E1507=""),"待补",IF($D1507="公共区域","公",IF($D1507="商铺","S",SUBSTITUTE($D1507,"栋","")))&amp;"-"&amp;$E1507&amp;"-"&amp;TEXT(MONTH($B1507),"00")&amp;TEXT(DAY($B1507),"00")&amp;IF(ISNUMBER($O1507),IF($O1507&gt;1,"-"&amp;TEXT($O1507,"00"),""),"")))</f>
        <v/>
      </c>
      <c r="B1507" s="14"/>
      <c r="C1507" s="10"/>
      <c r="D1507" s="10"/>
      <c r="E1507" s="10"/>
      <c r="F1507" s="16"/>
      <c r="G1507" s="10"/>
      <c r="H1507" s="10"/>
      <c r="I1507" s="10"/>
      <c r="J1507" s="10"/>
      <c r="K1507" s="10"/>
      <c r="L1507" s="10"/>
      <c r="M1507" s="14"/>
      <c r="N1507" s="17" t="str">
        <f aca="false">IF($B1507="","",IF($L1507="已完成",IF($M1507="","",$M1507-$B1507),IF(设置!$B$6&lt;$B1507,"",IF((设置!$B$6-$B1507)&gt;=设置!$B$5,"超期"&amp;(设置!$B$6-$B1507)&amp;"天","已等"&amp;(设置!$B$6-$B1507)&amp;"天"))))</f>
        <v/>
      </c>
      <c r="O1507" s="18" t="str">
        <f aca="false">IF(OR($D1507="",$E1507=""),"",COUNTIFS($D$7:$D1507,$D1507,$E$7:$E1507,$E1507))</f>
        <v/>
      </c>
      <c r="P1507" s="16"/>
      <c r="Q1507" s="19"/>
      <c r="R1507" s="10"/>
      <c r="S1507" s="16"/>
      <c r="T1507" s="0" t="str">
        <f aca="false">IF(OR($D1507="",单元查询!$B$3=""),"",IF($D1507&lt;&gt;单元查询!$B$3,"",IF(OR(单元查询!$D$3="",$E1507&amp;""=单元查询!$D$3&amp;""),IF(ISNUMBER($B1507),$B1507*10000,0)+ROW(),"")))</f>
        <v/>
      </c>
      <c r="U1507" s="0" t="str">
        <f aca="false">IF(OR($B1507="",$L1507="已完成"),"",IF(ISNUMBER($B1507),IF(设置!$B$6&lt;$B1507,"",(设置!$B$6-$B1507)*100000+ROW()),""))</f>
        <v/>
      </c>
      <c r="V1507" s="0" t="str">
        <f aca="false">IF(ISNUMBER($O1507),IF($O1507&gt;=2,IF(COUNTIFS($D1507:$D$2006,$D1507,$E1507:$E$2006,$E1507)=1,ROW(),""),""),"")</f>
        <v/>
      </c>
    </row>
    <row r="1508" customFormat="false" ht="15" hidden="false" customHeight="true" outlineLevel="0" collapsed="false">
      <c r="A1508" s="13" t="str">
        <f aca="false">IF(AND($B1508="",$D1508="",$E1508="",$F1508=""),"",IF(OR($B1508="",$D1508="",$E1508=""),"待补",IF($D1508="公共区域","公",IF($D1508="商铺","S",SUBSTITUTE($D1508,"栋","")))&amp;"-"&amp;$E1508&amp;"-"&amp;TEXT(MONTH($B1508),"00")&amp;TEXT(DAY($B1508),"00")&amp;IF(ISNUMBER($O1508),IF($O1508&gt;1,"-"&amp;TEXT($O1508,"00"),""),"")))</f>
        <v/>
      </c>
      <c r="B1508" s="14"/>
      <c r="C1508" s="10"/>
      <c r="D1508" s="10"/>
      <c r="E1508" s="10"/>
      <c r="F1508" s="16"/>
      <c r="G1508" s="10"/>
      <c r="H1508" s="10"/>
      <c r="I1508" s="10"/>
      <c r="J1508" s="10"/>
      <c r="K1508" s="10"/>
      <c r="L1508" s="10"/>
      <c r="M1508" s="14"/>
      <c r="N1508" s="17" t="str">
        <f aca="false">IF($B1508="","",IF($L1508="已完成",IF($M1508="","",$M1508-$B1508),IF(设置!$B$6&lt;$B1508,"",IF((设置!$B$6-$B1508)&gt;=设置!$B$5,"超期"&amp;(设置!$B$6-$B1508)&amp;"天","已等"&amp;(设置!$B$6-$B1508)&amp;"天"))))</f>
        <v/>
      </c>
      <c r="O1508" s="18" t="str">
        <f aca="false">IF(OR($D1508="",$E1508=""),"",COUNTIFS($D$7:$D1508,$D1508,$E$7:$E1508,$E1508))</f>
        <v/>
      </c>
      <c r="P1508" s="16"/>
      <c r="Q1508" s="19"/>
      <c r="R1508" s="10"/>
      <c r="S1508" s="16"/>
      <c r="T1508" s="0" t="str">
        <f aca="false">IF(OR($D1508="",单元查询!$B$3=""),"",IF($D1508&lt;&gt;单元查询!$B$3,"",IF(OR(单元查询!$D$3="",$E1508&amp;""=单元查询!$D$3&amp;""),IF(ISNUMBER($B1508),$B1508*10000,0)+ROW(),"")))</f>
        <v/>
      </c>
      <c r="U1508" s="0" t="str">
        <f aca="false">IF(OR($B1508="",$L1508="已完成"),"",IF(ISNUMBER($B1508),IF(设置!$B$6&lt;$B1508,"",(设置!$B$6-$B1508)*100000+ROW()),""))</f>
        <v/>
      </c>
      <c r="V1508" s="0" t="str">
        <f aca="false">IF(ISNUMBER($O1508),IF($O1508&gt;=2,IF(COUNTIFS($D1508:$D$2006,$D1508,$E1508:$E$2006,$E1508)=1,ROW(),""),""),"")</f>
        <v/>
      </c>
    </row>
    <row r="1509" customFormat="false" ht="15" hidden="false" customHeight="true" outlineLevel="0" collapsed="false">
      <c r="A1509" s="13" t="str">
        <f aca="false">IF(AND($B1509="",$D1509="",$E1509="",$F1509=""),"",IF(OR($B1509="",$D1509="",$E1509=""),"待补",IF($D1509="公共区域","公",IF($D1509="商铺","S",SUBSTITUTE($D1509,"栋","")))&amp;"-"&amp;$E1509&amp;"-"&amp;TEXT(MONTH($B1509),"00")&amp;TEXT(DAY($B1509),"00")&amp;IF(ISNUMBER($O1509),IF($O1509&gt;1,"-"&amp;TEXT($O1509,"00"),""),"")))</f>
        <v/>
      </c>
      <c r="B1509" s="14"/>
      <c r="C1509" s="10"/>
      <c r="D1509" s="10"/>
      <c r="E1509" s="10"/>
      <c r="F1509" s="16"/>
      <c r="G1509" s="10"/>
      <c r="H1509" s="10"/>
      <c r="I1509" s="10"/>
      <c r="J1509" s="10"/>
      <c r="K1509" s="10"/>
      <c r="L1509" s="10"/>
      <c r="M1509" s="14"/>
      <c r="N1509" s="17" t="str">
        <f aca="false">IF($B1509="","",IF($L1509="已完成",IF($M1509="","",$M1509-$B1509),IF(设置!$B$6&lt;$B1509,"",IF((设置!$B$6-$B1509)&gt;=设置!$B$5,"超期"&amp;(设置!$B$6-$B1509)&amp;"天","已等"&amp;(设置!$B$6-$B1509)&amp;"天"))))</f>
        <v/>
      </c>
      <c r="O1509" s="18" t="str">
        <f aca="false">IF(OR($D1509="",$E1509=""),"",COUNTIFS($D$7:$D1509,$D1509,$E$7:$E1509,$E1509))</f>
        <v/>
      </c>
      <c r="P1509" s="16"/>
      <c r="Q1509" s="19"/>
      <c r="R1509" s="10"/>
      <c r="S1509" s="16"/>
      <c r="T1509" s="0" t="str">
        <f aca="false">IF(OR($D1509="",单元查询!$B$3=""),"",IF($D1509&lt;&gt;单元查询!$B$3,"",IF(OR(单元查询!$D$3="",$E1509&amp;""=单元查询!$D$3&amp;""),IF(ISNUMBER($B1509),$B1509*10000,0)+ROW(),"")))</f>
        <v/>
      </c>
      <c r="U1509" s="0" t="str">
        <f aca="false">IF(OR($B1509="",$L1509="已完成"),"",IF(ISNUMBER($B1509),IF(设置!$B$6&lt;$B1509,"",(设置!$B$6-$B1509)*100000+ROW()),""))</f>
        <v/>
      </c>
      <c r="V1509" s="0" t="str">
        <f aca="false">IF(ISNUMBER($O1509),IF($O1509&gt;=2,IF(COUNTIFS($D1509:$D$2006,$D1509,$E1509:$E$2006,$E1509)=1,ROW(),""),""),"")</f>
        <v/>
      </c>
    </row>
    <row r="1510" customFormat="false" ht="15" hidden="false" customHeight="true" outlineLevel="0" collapsed="false">
      <c r="A1510" s="13" t="str">
        <f aca="false">IF(AND($B1510="",$D1510="",$E1510="",$F1510=""),"",IF(OR($B1510="",$D1510="",$E1510=""),"待补",IF($D1510="公共区域","公",IF($D1510="商铺","S",SUBSTITUTE($D1510,"栋","")))&amp;"-"&amp;$E1510&amp;"-"&amp;TEXT(MONTH($B1510),"00")&amp;TEXT(DAY($B1510),"00")&amp;IF(ISNUMBER($O1510),IF($O1510&gt;1,"-"&amp;TEXT($O1510,"00"),""),"")))</f>
        <v/>
      </c>
      <c r="B1510" s="14"/>
      <c r="C1510" s="10"/>
      <c r="D1510" s="10"/>
      <c r="E1510" s="10"/>
      <c r="F1510" s="16"/>
      <c r="G1510" s="10"/>
      <c r="H1510" s="10"/>
      <c r="I1510" s="10"/>
      <c r="J1510" s="10"/>
      <c r="K1510" s="10"/>
      <c r="L1510" s="10"/>
      <c r="M1510" s="14"/>
      <c r="N1510" s="17" t="str">
        <f aca="false">IF($B1510="","",IF($L1510="已完成",IF($M1510="","",$M1510-$B1510),IF(设置!$B$6&lt;$B1510,"",IF((设置!$B$6-$B1510)&gt;=设置!$B$5,"超期"&amp;(设置!$B$6-$B1510)&amp;"天","已等"&amp;(设置!$B$6-$B1510)&amp;"天"))))</f>
        <v/>
      </c>
      <c r="O1510" s="18" t="str">
        <f aca="false">IF(OR($D1510="",$E1510=""),"",COUNTIFS($D$7:$D1510,$D1510,$E$7:$E1510,$E1510))</f>
        <v/>
      </c>
      <c r="P1510" s="16"/>
      <c r="Q1510" s="19"/>
      <c r="R1510" s="10"/>
      <c r="S1510" s="16"/>
      <c r="T1510" s="0" t="str">
        <f aca="false">IF(OR($D1510="",单元查询!$B$3=""),"",IF($D1510&lt;&gt;单元查询!$B$3,"",IF(OR(单元查询!$D$3="",$E1510&amp;""=单元查询!$D$3&amp;""),IF(ISNUMBER($B1510),$B1510*10000,0)+ROW(),"")))</f>
        <v/>
      </c>
      <c r="U1510" s="0" t="str">
        <f aca="false">IF(OR($B1510="",$L1510="已完成"),"",IF(ISNUMBER($B1510),IF(设置!$B$6&lt;$B1510,"",(设置!$B$6-$B1510)*100000+ROW()),""))</f>
        <v/>
      </c>
      <c r="V1510" s="0" t="str">
        <f aca="false">IF(ISNUMBER($O1510),IF($O1510&gt;=2,IF(COUNTIFS($D1510:$D$2006,$D1510,$E1510:$E$2006,$E1510)=1,ROW(),""),""),"")</f>
        <v/>
      </c>
    </row>
    <row r="1511" customFormat="false" ht="15" hidden="false" customHeight="true" outlineLevel="0" collapsed="false">
      <c r="A1511" s="13" t="str">
        <f aca="false">IF(AND($B1511="",$D1511="",$E1511="",$F1511=""),"",IF(OR($B1511="",$D1511="",$E1511=""),"待补",IF($D1511="公共区域","公",IF($D1511="商铺","S",SUBSTITUTE($D1511,"栋","")))&amp;"-"&amp;$E1511&amp;"-"&amp;TEXT(MONTH($B1511),"00")&amp;TEXT(DAY($B1511),"00")&amp;IF(ISNUMBER($O1511),IF($O1511&gt;1,"-"&amp;TEXT($O1511,"00"),""),"")))</f>
        <v/>
      </c>
      <c r="B1511" s="14"/>
      <c r="C1511" s="10"/>
      <c r="D1511" s="10"/>
      <c r="E1511" s="10"/>
      <c r="F1511" s="16"/>
      <c r="G1511" s="10"/>
      <c r="H1511" s="10"/>
      <c r="I1511" s="10"/>
      <c r="J1511" s="10"/>
      <c r="K1511" s="10"/>
      <c r="L1511" s="10"/>
      <c r="M1511" s="14"/>
      <c r="N1511" s="17" t="str">
        <f aca="false">IF($B1511="","",IF($L1511="已完成",IF($M1511="","",$M1511-$B1511),IF(设置!$B$6&lt;$B1511,"",IF((设置!$B$6-$B1511)&gt;=设置!$B$5,"超期"&amp;(设置!$B$6-$B1511)&amp;"天","已等"&amp;(设置!$B$6-$B1511)&amp;"天"))))</f>
        <v/>
      </c>
      <c r="O1511" s="18" t="str">
        <f aca="false">IF(OR($D1511="",$E1511=""),"",COUNTIFS($D$7:$D1511,$D1511,$E$7:$E1511,$E1511))</f>
        <v/>
      </c>
      <c r="P1511" s="16"/>
      <c r="Q1511" s="19"/>
      <c r="R1511" s="10"/>
      <c r="S1511" s="16"/>
      <c r="T1511" s="0" t="str">
        <f aca="false">IF(OR($D1511="",单元查询!$B$3=""),"",IF($D1511&lt;&gt;单元查询!$B$3,"",IF(OR(单元查询!$D$3="",$E1511&amp;""=单元查询!$D$3&amp;""),IF(ISNUMBER($B1511),$B1511*10000,0)+ROW(),"")))</f>
        <v/>
      </c>
      <c r="U1511" s="0" t="str">
        <f aca="false">IF(OR($B1511="",$L1511="已完成"),"",IF(ISNUMBER($B1511),IF(设置!$B$6&lt;$B1511,"",(设置!$B$6-$B1511)*100000+ROW()),""))</f>
        <v/>
      </c>
      <c r="V1511" s="0" t="str">
        <f aca="false">IF(ISNUMBER($O1511),IF($O1511&gt;=2,IF(COUNTIFS($D1511:$D$2006,$D1511,$E1511:$E$2006,$E1511)=1,ROW(),""),""),"")</f>
        <v/>
      </c>
    </row>
    <row r="1512" customFormat="false" ht="15" hidden="false" customHeight="true" outlineLevel="0" collapsed="false">
      <c r="A1512" s="13" t="str">
        <f aca="false">IF(AND($B1512="",$D1512="",$E1512="",$F1512=""),"",IF(OR($B1512="",$D1512="",$E1512=""),"待补",IF($D1512="公共区域","公",IF($D1512="商铺","S",SUBSTITUTE($D1512,"栋","")))&amp;"-"&amp;$E1512&amp;"-"&amp;TEXT(MONTH($B1512),"00")&amp;TEXT(DAY($B1512),"00")&amp;IF(ISNUMBER($O1512),IF($O1512&gt;1,"-"&amp;TEXT($O1512,"00"),""),"")))</f>
        <v/>
      </c>
      <c r="B1512" s="14"/>
      <c r="C1512" s="10"/>
      <c r="D1512" s="10"/>
      <c r="E1512" s="10"/>
      <c r="F1512" s="16"/>
      <c r="G1512" s="10"/>
      <c r="H1512" s="10"/>
      <c r="I1512" s="10"/>
      <c r="J1512" s="10"/>
      <c r="K1512" s="10"/>
      <c r="L1512" s="10"/>
      <c r="M1512" s="14"/>
      <c r="N1512" s="17" t="str">
        <f aca="false">IF($B1512="","",IF($L1512="已完成",IF($M1512="","",$M1512-$B1512),IF(设置!$B$6&lt;$B1512,"",IF((设置!$B$6-$B1512)&gt;=设置!$B$5,"超期"&amp;(设置!$B$6-$B1512)&amp;"天","已等"&amp;(设置!$B$6-$B1512)&amp;"天"))))</f>
        <v/>
      </c>
      <c r="O1512" s="18" t="str">
        <f aca="false">IF(OR($D1512="",$E1512=""),"",COUNTIFS($D$7:$D1512,$D1512,$E$7:$E1512,$E1512))</f>
        <v/>
      </c>
      <c r="P1512" s="16"/>
      <c r="Q1512" s="19"/>
      <c r="R1512" s="10"/>
      <c r="S1512" s="16"/>
      <c r="T1512" s="0" t="str">
        <f aca="false">IF(OR($D1512="",单元查询!$B$3=""),"",IF($D1512&lt;&gt;单元查询!$B$3,"",IF(OR(单元查询!$D$3="",$E1512&amp;""=单元查询!$D$3&amp;""),IF(ISNUMBER($B1512),$B1512*10000,0)+ROW(),"")))</f>
        <v/>
      </c>
      <c r="U1512" s="0" t="str">
        <f aca="false">IF(OR($B1512="",$L1512="已完成"),"",IF(ISNUMBER($B1512),IF(设置!$B$6&lt;$B1512,"",(设置!$B$6-$B1512)*100000+ROW()),""))</f>
        <v/>
      </c>
      <c r="V1512" s="0" t="str">
        <f aca="false">IF(ISNUMBER($O1512),IF($O1512&gt;=2,IF(COUNTIFS($D1512:$D$2006,$D1512,$E1512:$E$2006,$E1512)=1,ROW(),""),""),"")</f>
        <v/>
      </c>
    </row>
    <row r="1513" customFormat="false" ht="15" hidden="false" customHeight="true" outlineLevel="0" collapsed="false">
      <c r="A1513" s="13" t="str">
        <f aca="false">IF(AND($B1513="",$D1513="",$E1513="",$F1513=""),"",IF(OR($B1513="",$D1513="",$E1513=""),"待补",IF($D1513="公共区域","公",IF($D1513="商铺","S",SUBSTITUTE($D1513,"栋","")))&amp;"-"&amp;$E1513&amp;"-"&amp;TEXT(MONTH($B1513),"00")&amp;TEXT(DAY($B1513),"00")&amp;IF(ISNUMBER($O1513),IF($O1513&gt;1,"-"&amp;TEXT($O1513,"00"),""),"")))</f>
        <v/>
      </c>
      <c r="B1513" s="14"/>
      <c r="C1513" s="10"/>
      <c r="D1513" s="10"/>
      <c r="E1513" s="10"/>
      <c r="F1513" s="16"/>
      <c r="G1513" s="10"/>
      <c r="H1513" s="10"/>
      <c r="I1513" s="10"/>
      <c r="J1513" s="10"/>
      <c r="K1513" s="10"/>
      <c r="L1513" s="10"/>
      <c r="M1513" s="14"/>
      <c r="N1513" s="17" t="str">
        <f aca="false">IF($B1513="","",IF($L1513="已完成",IF($M1513="","",$M1513-$B1513),IF(设置!$B$6&lt;$B1513,"",IF((设置!$B$6-$B1513)&gt;=设置!$B$5,"超期"&amp;(设置!$B$6-$B1513)&amp;"天","已等"&amp;(设置!$B$6-$B1513)&amp;"天"))))</f>
        <v/>
      </c>
      <c r="O1513" s="18" t="str">
        <f aca="false">IF(OR($D1513="",$E1513=""),"",COUNTIFS($D$7:$D1513,$D1513,$E$7:$E1513,$E1513))</f>
        <v/>
      </c>
      <c r="P1513" s="16"/>
      <c r="Q1513" s="19"/>
      <c r="R1513" s="10"/>
      <c r="S1513" s="16"/>
      <c r="T1513" s="0" t="str">
        <f aca="false">IF(OR($D1513="",单元查询!$B$3=""),"",IF($D1513&lt;&gt;单元查询!$B$3,"",IF(OR(单元查询!$D$3="",$E1513&amp;""=单元查询!$D$3&amp;""),IF(ISNUMBER($B1513),$B1513*10000,0)+ROW(),"")))</f>
        <v/>
      </c>
      <c r="U1513" s="0" t="str">
        <f aca="false">IF(OR($B1513="",$L1513="已完成"),"",IF(ISNUMBER($B1513),IF(设置!$B$6&lt;$B1513,"",(设置!$B$6-$B1513)*100000+ROW()),""))</f>
        <v/>
      </c>
      <c r="V1513" s="0" t="str">
        <f aca="false">IF(ISNUMBER($O1513),IF($O1513&gt;=2,IF(COUNTIFS($D1513:$D$2006,$D1513,$E1513:$E$2006,$E1513)=1,ROW(),""),""),"")</f>
        <v/>
      </c>
    </row>
    <row r="1514" customFormat="false" ht="15" hidden="false" customHeight="true" outlineLevel="0" collapsed="false">
      <c r="A1514" s="13" t="str">
        <f aca="false">IF(AND($B1514="",$D1514="",$E1514="",$F1514=""),"",IF(OR($B1514="",$D1514="",$E1514=""),"待补",IF($D1514="公共区域","公",IF($D1514="商铺","S",SUBSTITUTE($D1514,"栋","")))&amp;"-"&amp;$E1514&amp;"-"&amp;TEXT(MONTH($B1514),"00")&amp;TEXT(DAY($B1514),"00")&amp;IF(ISNUMBER($O1514),IF($O1514&gt;1,"-"&amp;TEXT($O1514,"00"),""),"")))</f>
        <v/>
      </c>
      <c r="B1514" s="14"/>
      <c r="C1514" s="10"/>
      <c r="D1514" s="10"/>
      <c r="E1514" s="10"/>
      <c r="F1514" s="16"/>
      <c r="G1514" s="10"/>
      <c r="H1514" s="10"/>
      <c r="I1514" s="10"/>
      <c r="J1514" s="10"/>
      <c r="K1514" s="10"/>
      <c r="L1514" s="10"/>
      <c r="M1514" s="14"/>
      <c r="N1514" s="17" t="str">
        <f aca="false">IF($B1514="","",IF($L1514="已完成",IF($M1514="","",$M1514-$B1514),IF(设置!$B$6&lt;$B1514,"",IF((设置!$B$6-$B1514)&gt;=设置!$B$5,"超期"&amp;(设置!$B$6-$B1514)&amp;"天","已等"&amp;(设置!$B$6-$B1514)&amp;"天"))))</f>
        <v/>
      </c>
      <c r="O1514" s="18" t="str">
        <f aca="false">IF(OR($D1514="",$E1514=""),"",COUNTIFS($D$7:$D1514,$D1514,$E$7:$E1514,$E1514))</f>
        <v/>
      </c>
      <c r="P1514" s="16"/>
      <c r="Q1514" s="19"/>
      <c r="R1514" s="10"/>
      <c r="S1514" s="16"/>
      <c r="T1514" s="0" t="str">
        <f aca="false">IF(OR($D1514="",单元查询!$B$3=""),"",IF($D1514&lt;&gt;单元查询!$B$3,"",IF(OR(单元查询!$D$3="",$E1514&amp;""=单元查询!$D$3&amp;""),IF(ISNUMBER($B1514),$B1514*10000,0)+ROW(),"")))</f>
        <v/>
      </c>
      <c r="U1514" s="0" t="str">
        <f aca="false">IF(OR($B1514="",$L1514="已完成"),"",IF(ISNUMBER($B1514),IF(设置!$B$6&lt;$B1514,"",(设置!$B$6-$B1514)*100000+ROW()),""))</f>
        <v/>
      </c>
      <c r="V1514" s="0" t="str">
        <f aca="false">IF(ISNUMBER($O1514),IF($O1514&gt;=2,IF(COUNTIFS($D1514:$D$2006,$D1514,$E1514:$E$2006,$E1514)=1,ROW(),""),""),"")</f>
        <v/>
      </c>
    </row>
    <row r="1515" customFormat="false" ht="15" hidden="false" customHeight="true" outlineLevel="0" collapsed="false">
      <c r="A1515" s="13" t="str">
        <f aca="false">IF(AND($B1515="",$D1515="",$E1515="",$F1515=""),"",IF(OR($B1515="",$D1515="",$E1515=""),"待补",IF($D1515="公共区域","公",IF($D1515="商铺","S",SUBSTITUTE($D1515,"栋","")))&amp;"-"&amp;$E1515&amp;"-"&amp;TEXT(MONTH($B1515),"00")&amp;TEXT(DAY($B1515),"00")&amp;IF(ISNUMBER($O1515),IF($O1515&gt;1,"-"&amp;TEXT($O1515,"00"),""),"")))</f>
        <v/>
      </c>
      <c r="B1515" s="14"/>
      <c r="C1515" s="10"/>
      <c r="D1515" s="10"/>
      <c r="E1515" s="10"/>
      <c r="F1515" s="16"/>
      <c r="G1515" s="10"/>
      <c r="H1515" s="10"/>
      <c r="I1515" s="10"/>
      <c r="J1515" s="10"/>
      <c r="K1515" s="10"/>
      <c r="L1515" s="10"/>
      <c r="M1515" s="14"/>
      <c r="N1515" s="17" t="str">
        <f aca="false">IF($B1515="","",IF($L1515="已完成",IF($M1515="","",$M1515-$B1515),IF(设置!$B$6&lt;$B1515,"",IF((设置!$B$6-$B1515)&gt;=设置!$B$5,"超期"&amp;(设置!$B$6-$B1515)&amp;"天","已等"&amp;(设置!$B$6-$B1515)&amp;"天"))))</f>
        <v/>
      </c>
      <c r="O1515" s="18" t="str">
        <f aca="false">IF(OR($D1515="",$E1515=""),"",COUNTIFS($D$7:$D1515,$D1515,$E$7:$E1515,$E1515))</f>
        <v/>
      </c>
      <c r="P1515" s="16"/>
      <c r="Q1515" s="19"/>
      <c r="R1515" s="10"/>
      <c r="S1515" s="16"/>
      <c r="T1515" s="0" t="str">
        <f aca="false">IF(OR($D1515="",单元查询!$B$3=""),"",IF($D1515&lt;&gt;单元查询!$B$3,"",IF(OR(单元查询!$D$3="",$E1515&amp;""=单元查询!$D$3&amp;""),IF(ISNUMBER($B1515),$B1515*10000,0)+ROW(),"")))</f>
        <v/>
      </c>
      <c r="U1515" s="0" t="str">
        <f aca="false">IF(OR($B1515="",$L1515="已完成"),"",IF(ISNUMBER($B1515),IF(设置!$B$6&lt;$B1515,"",(设置!$B$6-$B1515)*100000+ROW()),""))</f>
        <v/>
      </c>
      <c r="V1515" s="0" t="str">
        <f aca="false">IF(ISNUMBER($O1515),IF($O1515&gt;=2,IF(COUNTIFS($D1515:$D$2006,$D1515,$E1515:$E$2006,$E1515)=1,ROW(),""),""),"")</f>
        <v/>
      </c>
    </row>
    <row r="1516" customFormat="false" ht="15" hidden="false" customHeight="true" outlineLevel="0" collapsed="false">
      <c r="A1516" s="13" t="str">
        <f aca="false">IF(AND($B1516="",$D1516="",$E1516="",$F1516=""),"",IF(OR($B1516="",$D1516="",$E1516=""),"待补",IF($D1516="公共区域","公",IF($D1516="商铺","S",SUBSTITUTE($D1516,"栋","")))&amp;"-"&amp;$E1516&amp;"-"&amp;TEXT(MONTH($B1516),"00")&amp;TEXT(DAY($B1516),"00")&amp;IF(ISNUMBER($O1516),IF($O1516&gt;1,"-"&amp;TEXT($O1516,"00"),""),"")))</f>
        <v/>
      </c>
      <c r="B1516" s="14"/>
      <c r="C1516" s="10"/>
      <c r="D1516" s="10"/>
      <c r="E1516" s="10"/>
      <c r="F1516" s="16"/>
      <c r="G1516" s="10"/>
      <c r="H1516" s="10"/>
      <c r="I1516" s="10"/>
      <c r="J1516" s="10"/>
      <c r="K1516" s="10"/>
      <c r="L1516" s="10"/>
      <c r="M1516" s="14"/>
      <c r="N1516" s="17" t="str">
        <f aca="false">IF($B1516="","",IF($L1516="已完成",IF($M1516="","",$M1516-$B1516),IF(设置!$B$6&lt;$B1516,"",IF((设置!$B$6-$B1516)&gt;=设置!$B$5,"超期"&amp;(设置!$B$6-$B1516)&amp;"天","已等"&amp;(设置!$B$6-$B1516)&amp;"天"))))</f>
        <v/>
      </c>
      <c r="O1516" s="18" t="str">
        <f aca="false">IF(OR($D1516="",$E1516=""),"",COUNTIFS($D$7:$D1516,$D1516,$E$7:$E1516,$E1516))</f>
        <v/>
      </c>
      <c r="P1516" s="16"/>
      <c r="Q1516" s="19"/>
      <c r="R1516" s="10"/>
      <c r="S1516" s="16"/>
      <c r="T1516" s="0" t="str">
        <f aca="false">IF(OR($D1516="",单元查询!$B$3=""),"",IF($D1516&lt;&gt;单元查询!$B$3,"",IF(OR(单元查询!$D$3="",$E1516&amp;""=单元查询!$D$3&amp;""),IF(ISNUMBER($B1516),$B1516*10000,0)+ROW(),"")))</f>
        <v/>
      </c>
      <c r="U1516" s="0" t="str">
        <f aca="false">IF(OR($B1516="",$L1516="已完成"),"",IF(ISNUMBER($B1516),IF(设置!$B$6&lt;$B1516,"",(设置!$B$6-$B1516)*100000+ROW()),""))</f>
        <v/>
      </c>
      <c r="V1516" s="0" t="str">
        <f aca="false">IF(ISNUMBER($O1516),IF($O1516&gt;=2,IF(COUNTIFS($D1516:$D$2006,$D1516,$E1516:$E$2006,$E1516)=1,ROW(),""),""),"")</f>
        <v/>
      </c>
    </row>
    <row r="1517" customFormat="false" ht="15" hidden="false" customHeight="true" outlineLevel="0" collapsed="false">
      <c r="A1517" s="13" t="str">
        <f aca="false">IF(AND($B1517="",$D1517="",$E1517="",$F1517=""),"",IF(OR($B1517="",$D1517="",$E1517=""),"待补",IF($D1517="公共区域","公",IF($D1517="商铺","S",SUBSTITUTE($D1517,"栋","")))&amp;"-"&amp;$E1517&amp;"-"&amp;TEXT(MONTH($B1517),"00")&amp;TEXT(DAY($B1517),"00")&amp;IF(ISNUMBER($O1517),IF($O1517&gt;1,"-"&amp;TEXT($O1517,"00"),""),"")))</f>
        <v/>
      </c>
      <c r="B1517" s="14"/>
      <c r="C1517" s="10"/>
      <c r="D1517" s="10"/>
      <c r="E1517" s="10"/>
      <c r="F1517" s="16"/>
      <c r="G1517" s="10"/>
      <c r="H1517" s="10"/>
      <c r="I1517" s="10"/>
      <c r="J1517" s="10"/>
      <c r="K1517" s="10"/>
      <c r="L1517" s="10"/>
      <c r="M1517" s="14"/>
      <c r="N1517" s="17" t="str">
        <f aca="false">IF($B1517="","",IF($L1517="已完成",IF($M1517="","",$M1517-$B1517),IF(设置!$B$6&lt;$B1517,"",IF((设置!$B$6-$B1517)&gt;=设置!$B$5,"超期"&amp;(设置!$B$6-$B1517)&amp;"天","已等"&amp;(设置!$B$6-$B1517)&amp;"天"))))</f>
        <v/>
      </c>
      <c r="O1517" s="18" t="str">
        <f aca="false">IF(OR($D1517="",$E1517=""),"",COUNTIFS($D$7:$D1517,$D1517,$E$7:$E1517,$E1517))</f>
        <v/>
      </c>
      <c r="P1517" s="16"/>
      <c r="Q1517" s="19"/>
      <c r="R1517" s="10"/>
      <c r="S1517" s="16"/>
      <c r="T1517" s="0" t="str">
        <f aca="false">IF(OR($D1517="",单元查询!$B$3=""),"",IF($D1517&lt;&gt;单元查询!$B$3,"",IF(OR(单元查询!$D$3="",$E1517&amp;""=单元查询!$D$3&amp;""),IF(ISNUMBER($B1517),$B1517*10000,0)+ROW(),"")))</f>
        <v/>
      </c>
      <c r="U1517" s="0" t="str">
        <f aca="false">IF(OR($B1517="",$L1517="已完成"),"",IF(ISNUMBER($B1517),IF(设置!$B$6&lt;$B1517,"",(设置!$B$6-$B1517)*100000+ROW()),""))</f>
        <v/>
      </c>
      <c r="V1517" s="0" t="str">
        <f aca="false">IF(ISNUMBER($O1517),IF($O1517&gt;=2,IF(COUNTIFS($D1517:$D$2006,$D1517,$E1517:$E$2006,$E1517)=1,ROW(),""),""),"")</f>
        <v/>
      </c>
    </row>
    <row r="1518" customFormat="false" ht="15" hidden="false" customHeight="true" outlineLevel="0" collapsed="false">
      <c r="A1518" s="13" t="str">
        <f aca="false">IF(AND($B1518="",$D1518="",$E1518="",$F1518=""),"",IF(OR($B1518="",$D1518="",$E1518=""),"待补",IF($D1518="公共区域","公",IF($D1518="商铺","S",SUBSTITUTE($D1518,"栋","")))&amp;"-"&amp;$E1518&amp;"-"&amp;TEXT(MONTH($B1518),"00")&amp;TEXT(DAY($B1518),"00")&amp;IF(ISNUMBER($O1518),IF($O1518&gt;1,"-"&amp;TEXT($O1518,"00"),""),"")))</f>
        <v/>
      </c>
      <c r="B1518" s="14"/>
      <c r="C1518" s="10"/>
      <c r="D1518" s="10"/>
      <c r="E1518" s="10"/>
      <c r="F1518" s="16"/>
      <c r="G1518" s="10"/>
      <c r="H1518" s="10"/>
      <c r="I1518" s="10"/>
      <c r="J1518" s="10"/>
      <c r="K1518" s="10"/>
      <c r="L1518" s="10"/>
      <c r="M1518" s="14"/>
      <c r="N1518" s="17" t="str">
        <f aca="false">IF($B1518="","",IF($L1518="已完成",IF($M1518="","",$M1518-$B1518),IF(设置!$B$6&lt;$B1518,"",IF((设置!$B$6-$B1518)&gt;=设置!$B$5,"超期"&amp;(设置!$B$6-$B1518)&amp;"天","已等"&amp;(设置!$B$6-$B1518)&amp;"天"))))</f>
        <v/>
      </c>
      <c r="O1518" s="18" t="str">
        <f aca="false">IF(OR($D1518="",$E1518=""),"",COUNTIFS($D$7:$D1518,$D1518,$E$7:$E1518,$E1518))</f>
        <v/>
      </c>
      <c r="P1518" s="16"/>
      <c r="Q1518" s="19"/>
      <c r="R1518" s="10"/>
      <c r="S1518" s="16"/>
      <c r="T1518" s="0" t="str">
        <f aca="false">IF(OR($D1518="",单元查询!$B$3=""),"",IF($D1518&lt;&gt;单元查询!$B$3,"",IF(OR(单元查询!$D$3="",$E1518&amp;""=单元查询!$D$3&amp;""),IF(ISNUMBER($B1518),$B1518*10000,0)+ROW(),"")))</f>
        <v/>
      </c>
      <c r="U1518" s="0" t="str">
        <f aca="false">IF(OR($B1518="",$L1518="已完成"),"",IF(ISNUMBER($B1518),IF(设置!$B$6&lt;$B1518,"",(设置!$B$6-$B1518)*100000+ROW()),""))</f>
        <v/>
      </c>
      <c r="V1518" s="0" t="str">
        <f aca="false">IF(ISNUMBER($O1518),IF($O1518&gt;=2,IF(COUNTIFS($D1518:$D$2006,$D1518,$E1518:$E$2006,$E1518)=1,ROW(),""),""),"")</f>
        <v/>
      </c>
    </row>
    <row r="1519" customFormat="false" ht="15" hidden="false" customHeight="true" outlineLevel="0" collapsed="false">
      <c r="A1519" s="13" t="str">
        <f aca="false">IF(AND($B1519="",$D1519="",$E1519="",$F1519=""),"",IF(OR($B1519="",$D1519="",$E1519=""),"待补",IF($D1519="公共区域","公",IF($D1519="商铺","S",SUBSTITUTE($D1519,"栋","")))&amp;"-"&amp;$E1519&amp;"-"&amp;TEXT(MONTH($B1519),"00")&amp;TEXT(DAY($B1519),"00")&amp;IF(ISNUMBER($O1519),IF($O1519&gt;1,"-"&amp;TEXT($O1519,"00"),""),"")))</f>
        <v/>
      </c>
      <c r="B1519" s="14"/>
      <c r="C1519" s="10"/>
      <c r="D1519" s="10"/>
      <c r="E1519" s="10"/>
      <c r="F1519" s="16"/>
      <c r="G1519" s="10"/>
      <c r="H1519" s="10"/>
      <c r="I1519" s="10"/>
      <c r="J1519" s="10"/>
      <c r="K1519" s="10"/>
      <c r="L1519" s="10"/>
      <c r="M1519" s="14"/>
      <c r="N1519" s="17" t="str">
        <f aca="false">IF($B1519="","",IF($L1519="已完成",IF($M1519="","",$M1519-$B1519),IF(设置!$B$6&lt;$B1519,"",IF((设置!$B$6-$B1519)&gt;=设置!$B$5,"超期"&amp;(设置!$B$6-$B1519)&amp;"天","已等"&amp;(设置!$B$6-$B1519)&amp;"天"))))</f>
        <v/>
      </c>
      <c r="O1519" s="18" t="str">
        <f aca="false">IF(OR($D1519="",$E1519=""),"",COUNTIFS($D$7:$D1519,$D1519,$E$7:$E1519,$E1519))</f>
        <v/>
      </c>
      <c r="P1519" s="16"/>
      <c r="Q1519" s="19"/>
      <c r="R1519" s="10"/>
      <c r="S1519" s="16"/>
      <c r="T1519" s="0" t="str">
        <f aca="false">IF(OR($D1519="",单元查询!$B$3=""),"",IF($D1519&lt;&gt;单元查询!$B$3,"",IF(OR(单元查询!$D$3="",$E1519&amp;""=单元查询!$D$3&amp;""),IF(ISNUMBER($B1519),$B1519*10000,0)+ROW(),"")))</f>
        <v/>
      </c>
      <c r="U1519" s="0" t="str">
        <f aca="false">IF(OR($B1519="",$L1519="已完成"),"",IF(ISNUMBER($B1519),IF(设置!$B$6&lt;$B1519,"",(设置!$B$6-$B1519)*100000+ROW()),""))</f>
        <v/>
      </c>
      <c r="V1519" s="0" t="str">
        <f aca="false">IF(ISNUMBER($O1519),IF($O1519&gt;=2,IF(COUNTIFS($D1519:$D$2006,$D1519,$E1519:$E$2006,$E1519)=1,ROW(),""),""),"")</f>
        <v/>
      </c>
    </row>
    <row r="1520" customFormat="false" ht="15" hidden="false" customHeight="true" outlineLevel="0" collapsed="false">
      <c r="A1520" s="13" t="str">
        <f aca="false">IF(AND($B1520="",$D1520="",$E1520="",$F1520=""),"",IF(OR($B1520="",$D1520="",$E1520=""),"待补",IF($D1520="公共区域","公",IF($D1520="商铺","S",SUBSTITUTE($D1520,"栋","")))&amp;"-"&amp;$E1520&amp;"-"&amp;TEXT(MONTH($B1520),"00")&amp;TEXT(DAY($B1520),"00")&amp;IF(ISNUMBER($O1520),IF($O1520&gt;1,"-"&amp;TEXT($O1520,"00"),""),"")))</f>
        <v/>
      </c>
      <c r="B1520" s="14"/>
      <c r="C1520" s="10"/>
      <c r="D1520" s="10"/>
      <c r="E1520" s="10"/>
      <c r="F1520" s="16"/>
      <c r="G1520" s="10"/>
      <c r="H1520" s="10"/>
      <c r="I1520" s="10"/>
      <c r="J1520" s="10"/>
      <c r="K1520" s="10"/>
      <c r="L1520" s="10"/>
      <c r="M1520" s="14"/>
      <c r="N1520" s="17" t="str">
        <f aca="false">IF($B1520="","",IF($L1520="已完成",IF($M1520="","",$M1520-$B1520),IF(设置!$B$6&lt;$B1520,"",IF((设置!$B$6-$B1520)&gt;=设置!$B$5,"超期"&amp;(设置!$B$6-$B1520)&amp;"天","已等"&amp;(设置!$B$6-$B1520)&amp;"天"))))</f>
        <v/>
      </c>
      <c r="O1520" s="18" t="str">
        <f aca="false">IF(OR($D1520="",$E1520=""),"",COUNTIFS($D$7:$D1520,$D1520,$E$7:$E1520,$E1520))</f>
        <v/>
      </c>
      <c r="P1520" s="16"/>
      <c r="Q1520" s="19"/>
      <c r="R1520" s="10"/>
      <c r="S1520" s="16"/>
      <c r="T1520" s="0" t="str">
        <f aca="false">IF(OR($D1520="",单元查询!$B$3=""),"",IF($D1520&lt;&gt;单元查询!$B$3,"",IF(OR(单元查询!$D$3="",$E1520&amp;""=单元查询!$D$3&amp;""),IF(ISNUMBER($B1520),$B1520*10000,0)+ROW(),"")))</f>
        <v/>
      </c>
      <c r="U1520" s="0" t="str">
        <f aca="false">IF(OR($B1520="",$L1520="已完成"),"",IF(ISNUMBER($B1520),IF(设置!$B$6&lt;$B1520,"",(设置!$B$6-$B1520)*100000+ROW()),""))</f>
        <v/>
      </c>
      <c r="V1520" s="0" t="str">
        <f aca="false">IF(ISNUMBER($O1520),IF($O1520&gt;=2,IF(COUNTIFS($D1520:$D$2006,$D1520,$E1520:$E$2006,$E1520)=1,ROW(),""),""),"")</f>
        <v/>
      </c>
    </row>
    <row r="1521" customFormat="false" ht="15" hidden="false" customHeight="true" outlineLevel="0" collapsed="false">
      <c r="A1521" s="13" t="str">
        <f aca="false">IF(AND($B1521="",$D1521="",$E1521="",$F1521=""),"",IF(OR($B1521="",$D1521="",$E1521=""),"待补",IF($D1521="公共区域","公",IF($D1521="商铺","S",SUBSTITUTE($D1521,"栋","")))&amp;"-"&amp;$E1521&amp;"-"&amp;TEXT(MONTH($B1521),"00")&amp;TEXT(DAY($B1521),"00")&amp;IF(ISNUMBER($O1521),IF($O1521&gt;1,"-"&amp;TEXT($O1521,"00"),""),"")))</f>
        <v/>
      </c>
      <c r="B1521" s="14"/>
      <c r="C1521" s="10"/>
      <c r="D1521" s="10"/>
      <c r="E1521" s="10"/>
      <c r="F1521" s="16"/>
      <c r="G1521" s="10"/>
      <c r="H1521" s="10"/>
      <c r="I1521" s="10"/>
      <c r="J1521" s="10"/>
      <c r="K1521" s="10"/>
      <c r="L1521" s="10"/>
      <c r="M1521" s="14"/>
      <c r="N1521" s="17" t="str">
        <f aca="false">IF($B1521="","",IF($L1521="已完成",IF($M1521="","",$M1521-$B1521),IF(设置!$B$6&lt;$B1521,"",IF((设置!$B$6-$B1521)&gt;=设置!$B$5,"超期"&amp;(设置!$B$6-$B1521)&amp;"天","已等"&amp;(设置!$B$6-$B1521)&amp;"天"))))</f>
        <v/>
      </c>
      <c r="O1521" s="18" t="str">
        <f aca="false">IF(OR($D1521="",$E1521=""),"",COUNTIFS($D$7:$D1521,$D1521,$E$7:$E1521,$E1521))</f>
        <v/>
      </c>
      <c r="P1521" s="16"/>
      <c r="Q1521" s="19"/>
      <c r="R1521" s="10"/>
      <c r="S1521" s="16"/>
      <c r="T1521" s="0" t="str">
        <f aca="false">IF(OR($D1521="",单元查询!$B$3=""),"",IF($D1521&lt;&gt;单元查询!$B$3,"",IF(OR(单元查询!$D$3="",$E1521&amp;""=单元查询!$D$3&amp;""),IF(ISNUMBER($B1521),$B1521*10000,0)+ROW(),"")))</f>
        <v/>
      </c>
      <c r="U1521" s="0" t="str">
        <f aca="false">IF(OR($B1521="",$L1521="已完成"),"",IF(ISNUMBER($B1521),IF(设置!$B$6&lt;$B1521,"",(设置!$B$6-$B1521)*100000+ROW()),""))</f>
        <v/>
      </c>
      <c r="V1521" s="0" t="str">
        <f aca="false">IF(ISNUMBER($O1521),IF($O1521&gt;=2,IF(COUNTIFS($D1521:$D$2006,$D1521,$E1521:$E$2006,$E1521)=1,ROW(),""),""),"")</f>
        <v/>
      </c>
    </row>
    <row r="1522" customFormat="false" ht="15" hidden="false" customHeight="true" outlineLevel="0" collapsed="false">
      <c r="A1522" s="13" t="str">
        <f aca="false">IF(AND($B1522="",$D1522="",$E1522="",$F1522=""),"",IF(OR($B1522="",$D1522="",$E1522=""),"待补",IF($D1522="公共区域","公",IF($D1522="商铺","S",SUBSTITUTE($D1522,"栋","")))&amp;"-"&amp;$E1522&amp;"-"&amp;TEXT(MONTH($B1522),"00")&amp;TEXT(DAY($B1522),"00")&amp;IF(ISNUMBER($O1522),IF($O1522&gt;1,"-"&amp;TEXT($O1522,"00"),""),"")))</f>
        <v/>
      </c>
      <c r="B1522" s="14"/>
      <c r="C1522" s="10"/>
      <c r="D1522" s="10"/>
      <c r="E1522" s="10"/>
      <c r="F1522" s="16"/>
      <c r="G1522" s="10"/>
      <c r="H1522" s="10"/>
      <c r="I1522" s="10"/>
      <c r="J1522" s="10"/>
      <c r="K1522" s="10"/>
      <c r="L1522" s="10"/>
      <c r="M1522" s="14"/>
      <c r="N1522" s="17" t="str">
        <f aca="false">IF($B1522="","",IF($L1522="已完成",IF($M1522="","",$M1522-$B1522),IF(设置!$B$6&lt;$B1522,"",IF((设置!$B$6-$B1522)&gt;=设置!$B$5,"超期"&amp;(设置!$B$6-$B1522)&amp;"天","已等"&amp;(设置!$B$6-$B1522)&amp;"天"))))</f>
        <v/>
      </c>
      <c r="O1522" s="18" t="str">
        <f aca="false">IF(OR($D1522="",$E1522=""),"",COUNTIFS($D$7:$D1522,$D1522,$E$7:$E1522,$E1522))</f>
        <v/>
      </c>
      <c r="P1522" s="16"/>
      <c r="Q1522" s="19"/>
      <c r="R1522" s="10"/>
      <c r="S1522" s="16"/>
      <c r="T1522" s="0" t="str">
        <f aca="false">IF(OR($D1522="",单元查询!$B$3=""),"",IF($D1522&lt;&gt;单元查询!$B$3,"",IF(OR(单元查询!$D$3="",$E1522&amp;""=单元查询!$D$3&amp;""),IF(ISNUMBER($B1522),$B1522*10000,0)+ROW(),"")))</f>
        <v/>
      </c>
      <c r="U1522" s="0" t="str">
        <f aca="false">IF(OR($B1522="",$L1522="已完成"),"",IF(ISNUMBER($B1522),IF(设置!$B$6&lt;$B1522,"",(设置!$B$6-$B1522)*100000+ROW()),""))</f>
        <v/>
      </c>
      <c r="V1522" s="0" t="str">
        <f aca="false">IF(ISNUMBER($O1522),IF($O1522&gt;=2,IF(COUNTIFS($D1522:$D$2006,$D1522,$E1522:$E$2006,$E1522)=1,ROW(),""),""),"")</f>
        <v/>
      </c>
    </row>
    <row r="1523" customFormat="false" ht="15" hidden="false" customHeight="true" outlineLevel="0" collapsed="false">
      <c r="A1523" s="13" t="str">
        <f aca="false">IF(AND($B1523="",$D1523="",$E1523="",$F1523=""),"",IF(OR($B1523="",$D1523="",$E1523=""),"待补",IF($D1523="公共区域","公",IF($D1523="商铺","S",SUBSTITUTE($D1523,"栋","")))&amp;"-"&amp;$E1523&amp;"-"&amp;TEXT(MONTH($B1523),"00")&amp;TEXT(DAY($B1523),"00")&amp;IF(ISNUMBER($O1523),IF($O1523&gt;1,"-"&amp;TEXT($O1523,"00"),""),"")))</f>
        <v/>
      </c>
      <c r="B1523" s="14"/>
      <c r="C1523" s="10"/>
      <c r="D1523" s="10"/>
      <c r="E1523" s="10"/>
      <c r="F1523" s="16"/>
      <c r="G1523" s="10"/>
      <c r="H1523" s="10"/>
      <c r="I1523" s="10"/>
      <c r="J1523" s="10"/>
      <c r="K1523" s="10"/>
      <c r="L1523" s="10"/>
      <c r="M1523" s="14"/>
      <c r="N1523" s="17" t="str">
        <f aca="false">IF($B1523="","",IF($L1523="已完成",IF($M1523="","",$M1523-$B1523),IF(设置!$B$6&lt;$B1523,"",IF((设置!$B$6-$B1523)&gt;=设置!$B$5,"超期"&amp;(设置!$B$6-$B1523)&amp;"天","已等"&amp;(设置!$B$6-$B1523)&amp;"天"))))</f>
        <v/>
      </c>
      <c r="O1523" s="18" t="str">
        <f aca="false">IF(OR($D1523="",$E1523=""),"",COUNTIFS($D$7:$D1523,$D1523,$E$7:$E1523,$E1523))</f>
        <v/>
      </c>
      <c r="P1523" s="16"/>
      <c r="Q1523" s="19"/>
      <c r="R1523" s="10"/>
      <c r="S1523" s="16"/>
      <c r="T1523" s="0" t="str">
        <f aca="false">IF(OR($D1523="",单元查询!$B$3=""),"",IF($D1523&lt;&gt;单元查询!$B$3,"",IF(OR(单元查询!$D$3="",$E1523&amp;""=单元查询!$D$3&amp;""),IF(ISNUMBER($B1523),$B1523*10000,0)+ROW(),"")))</f>
        <v/>
      </c>
      <c r="U1523" s="0" t="str">
        <f aca="false">IF(OR($B1523="",$L1523="已完成"),"",IF(ISNUMBER($B1523),IF(设置!$B$6&lt;$B1523,"",(设置!$B$6-$B1523)*100000+ROW()),""))</f>
        <v/>
      </c>
      <c r="V1523" s="0" t="str">
        <f aca="false">IF(ISNUMBER($O1523),IF($O1523&gt;=2,IF(COUNTIFS($D1523:$D$2006,$D1523,$E1523:$E$2006,$E1523)=1,ROW(),""),""),"")</f>
        <v/>
      </c>
    </row>
    <row r="1524" customFormat="false" ht="15" hidden="false" customHeight="true" outlineLevel="0" collapsed="false">
      <c r="A1524" s="13" t="str">
        <f aca="false">IF(AND($B1524="",$D1524="",$E1524="",$F1524=""),"",IF(OR($B1524="",$D1524="",$E1524=""),"待补",IF($D1524="公共区域","公",IF($D1524="商铺","S",SUBSTITUTE($D1524,"栋","")))&amp;"-"&amp;$E1524&amp;"-"&amp;TEXT(MONTH($B1524),"00")&amp;TEXT(DAY($B1524),"00")&amp;IF(ISNUMBER($O1524),IF($O1524&gt;1,"-"&amp;TEXT($O1524,"00"),""),"")))</f>
        <v/>
      </c>
      <c r="B1524" s="14"/>
      <c r="C1524" s="10"/>
      <c r="D1524" s="10"/>
      <c r="E1524" s="10"/>
      <c r="F1524" s="16"/>
      <c r="G1524" s="10"/>
      <c r="H1524" s="10"/>
      <c r="I1524" s="10"/>
      <c r="J1524" s="10"/>
      <c r="K1524" s="10"/>
      <c r="L1524" s="10"/>
      <c r="M1524" s="14"/>
      <c r="N1524" s="17" t="str">
        <f aca="false">IF($B1524="","",IF($L1524="已完成",IF($M1524="","",$M1524-$B1524),IF(设置!$B$6&lt;$B1524,"",IF((设置!$B$6-$B1524)&gt;=设置!$B$5,"超期"&amp;(设置!$B$6-$B1524)&amp;"天","已等"&amp;(设置!$B$6-$B1524)&amp;"天"))))</f>
        <v/>
      </c>
      <c r="O1524" s="18" t="str">
        <f aca="false">IF(OR($D1524="",$E1524=""),"",COUNTIFS($D$7:$D1524,$D1524,$E$7:$E1524,$E1524))</f>
        <v/>
      </c>
      <c r="P1524" s="16"/>
      <c r="Q1524" s="19"/>
      <c r="R1524" s="10"/>
      <c r="S1524" s="16"/>
      <c r="T1524" s="0" t="str">
        <f aca="false">IF(OR($D1524="",单元查询!$B$3=""),"",IF($D1524&lt;&gt;单元查询!$B$3,"",IF(OR(单元查询!$D$3="",$E1524&amp;""=单元查询!$D$3&amp;""),IF(ISNUMBER($B1524),$B1524*10000,0)+ROW(),"")))</f>
        <v/>
      </c>
      <c r="U1524" s="0" t="str">
        <f aca="false">IF(OR($B1524="",$L1524="已完成"),"",IF(ISNUMBER($B1524),IF(设置!$B$6&lt;$B1524,"",(设置!$B$6-$B1524)*100000+ROW()),""))</f>
        <v/>
      </c>
      <c r="V1524" s="0" t="str">
        <f aca="false">IF(ISNUMBER($O1524),IF($O1524&gt;=2,IF(COUNTIFS($D1524:$D$2006,$D1524,$E1524:$E$2006,$E1524)=1,ROW(),""),""),"")</f>
        <v/>
      </c>
    </row>
    <row r="1525" customFormat="false" ht="15" hidden="false" customHeight="true" outlineLevel="0" collapsed="false">
      <c r="A1525" s="13" t="str">
        <f aca="false">IF(AND($B1525="",$D1525="",$E1525="",$F1525=""),"",IF(OR($B1525="",$D1525="",$E1525=""),"待补",IF($D1525="公共区域","公",IF($D1525="商铺","S",SUBSTITUTE($D1525,"栋","")))&amp;"-"&amp;$E1525&amp;"-"&amp;TEXT(MONTH($B1525),"00")&amp;TEXT(DAY($B1525),"00")&amp;IF(ISNUMBER($O1525),IF($O1525&gt;1,"-"&amp;TEXT($O1525,"00"),""),"")))</f>
        <v/>
      </c>
      <c r="B1525" s="14"/>
      <c r="C1525" s="10"/>
      <c r="D1525" s="10"/>
      <c r="E1525" s="10"/>
      <c r="F1525" s="16"/>
      <c r="G1525" s="10"/>
      <c r="H1525" s="10"/>
      <c r="I1525" s="10"/>
      <c r="J1525" s="10"/>
      <c r="K1525" s="10"/>
      <c r="L1525" s="10"/>
      <c r="M1525" s="14"/>
      <c r="N1525" s="17" t="str">
        <f aca="false">IF($B1525="","",IF($L1525="已完成",IF($M1525="","",$M1525-$B1525),IF(设置!$B$6&lt;$B1525,"",IF((设置!$B$6-$B1525)&gt;=设置!$B$5,"超期"&amp;(设置!$B$6-$B1525)&amp;"天","已等"&amp;(设置!$B$6-$B1525)&amp;"天"))))</f>
        <v/>
      </c>
      <c r="O1525" s="18" t="str">
        <f aca="false">IF(OR($D1525="",$E1525=""),"",COUNTIFS($D$7:$D1525,$D1525,$E$7:$E1525,$E1525))</f>
        <v/>
      </c>
      <c r="P1525" s="16"/>
      <c r="Q1525" s="19"/>
      <c r="R1525" s="10"/>
      <c r="S1525" s="16"/>
      <c r="T1525" s="0" t="str">
        <f aca="false">IF(OR($D1525="",单元查询!$B$3=""),"",IF($D1525&lt;&gt;单元查询!$B$3,"",IF(OR(单元查询!$D$3="",$E1525&amp;""=单元查询!$D$3&amp;""),IF(ISNUMBER($B1525),$B1525*10000,0)+ROW(),"")))</f>
        <v/>
      </c>
      <c r="U1525" s="0" t="str">
        <f aca="false">IF(OR($B1525="",$L1525="已完成"),"",IF(ISNUMBER($B1525),IF(设置!$B$6&lt;$B1525,"",(设置!$B$6-$B1525)*100000+ROW()),""))</f>
        <v/>
      </c>
      <c r="V1525" s="0" t="str">
        <f aca="false">IF(ISNUMBER($O1525),IF($O1525&gt;=2,IF(COUNTIFS($D1525:$D$2006,$D1525,$E1525:$E$2006,$E1525)=1,ROW(),""),""),"")</f>
        <v/>
      </c>
    </row>
    <row r="1526" customFormat="false" ht="15" hidden="false" customHeight="true" outlineLevel="0" collapsed="false">
      <c r="A1526" s="13" t="str">
        <f aca="false">IF(AND($B1526="",$D1526="",$E1526="",$F1526=""),"",IF(OR($B1526="",$D1526="",$E1526=""),"待补",IF($D1526="公共区域","公",IF($D1526="商铺","S",SUBSTITUTE($D1526,"栋","")))&amp;"-"&amp;$E1526&amp;"-"&amp;TEXT(MONTH($B1526),"00")&amp;TEXT(DAY($B1526),"00")&amp;IF(ISNUMBER($O1526),IF($O1526&gt;1,"-"&amp;TEXT($O1526,"00"),""),"")))</f>
        <v/>
      </c>
      <c r="B1526" s="14"/>
      <c r="C1526" s="10"/>
      <c r="D1526" s="10"/>
      <c r="E1526" s="10"/>
      <c r="F1526" s="16"/>
      <c r="G1526" s="10"/>
      <c r="H1526" s="10"/>
      <c r="I1526" s="10"/>
      <c r="J1526" s="10"/>
      <c r="K1526" s="10"/>
      <c r="L1526" s="10"/>
      <c r="M1526" s="14"/>
      <c r="N1526" s="17" t="str">
        <f aca="false">IF($B1526="","",IF($L1526="已完成",IF($M1526="","",$M1526-$B1526),IF(设置!$B$6&lt;$B1526,"",IF((设置!$B$6-$B1526)&gt;=设置!$B$5,"超期"&amp;(设置!$B$6-$B1526)&amp;"天","已等"&amp;(设置!$B$6-$B1526)&amp;"天"))))</f>
        <v/>
      </c>
      <c r="O1526" s="18" t="str">
        <f aca="false">IF(OR($D1526="",$E1526=""),"",COUNTIFS($D$7:$D1526,$D1526,$E$7:$E1526,$E1526))</f>
        <v/>
      </c>
      <c r="P1526" s="16"/>
      <c r="Q1526" s="19"/>
      <c r="R1526" s="10"/>
      <c r="S1526" s="16"/>
      <c r="T1526" s="0" t="str">
        <f aca="false">IF(OR($D1526="",单元查询!$B$3=""),"",IF($D1526&lt;&gt;单元查询!$B$3,"",IF(OR(单元查询!$D$3="",$E1526&amp;""=单元查询!$D$3&amp;""),IF(ISNUMBER($B1526),$B1526*10000,0)+ROW(),"")))</f>
        <v/>
      </c>
      <c r="U1526" s="0" t="str">
        <f aca="false">IF(OR($B1526="",$L1526="已完成"),"",IF(ISNUMBER($B1526),IF(设置!$B$6&lt;$B1526,"",(设置!$B$6-$B1526)*100000+ROW()),""))</f>
        <v/>
      </c>
      <c r="V1526" s="0" t="str">
        <f aca="false">IF(ISNUMBER($O1526),IF($O1526&gt;=2,IF(COUNTIFS($D1526:$D$2006,$D1526,$E1526:$E$2006,$E1526)=1,ROW(),""),""),"")</f>
        <v/>
      </c>
    </row>
    <row r="1527" customFormat="false" ht="15" hidden="false" customHeight="true" outlineLevel="0" collapsed="false">
      <c r="A1527" s="13" t="str">
        <f aca="false">IF(AND($B1527="",$D1527="",$E1527="",$F1527=""),"",IF(OR($B1527="",$D1527="",$E1527=""),"待补",IF($D1527="公共区域","公",IF($D1527="商铺","S",SUBSTITUTE($D1527,"栋","")))&amp;"-"&amp;$E1527&amp;"-"&amp;TEXT(MONTH($B1527),"00")&amp;TEXT(DAY($B1527),"00")&amp;IF(ISNUMBER($O1527),IF($O1527&gt;1,"-"&amp;TEXT($O1527,"00"),""),"")))</f>
        <v/>
      </c>
      <c r="B1527" s="14"/>
      <c r="C1527" s="10"/>
      <c r="D1527" s="10"/>
      <c r="E1527" s="10"/>
      <c r="F1527" s="16"/>
      <c r="G1527" s="10"/>
      <c r="H1527" s="10"/>
      <c r="I1527" s="10"/>
      <c r="J1527" s="10"/>
      <c r="K1527" s="10"/>
      <c r="L1527" s="10"/>
      <c r="M1527" s="14"/>
      <c r="N1527" s="17" t="str">
        <f aca="false">IF($B1527="","",IF($L1527="已完成",IF($M1527="","",$M1527-$B1527),IF(设置!$B$6&lt;$B1527,"",IF((设置!$B$6-$B1527)&gt;=设置!$B$5,"超期"&amp;(设置!$B$6-$B1527)&amp;"天","已等"&amp;(设置!$B$6-$B1527)&amp;"天"))))</f>
        <v/>
      </c>
      <c r="O1527" s="18" t="str">
        <f aca="false">IF(OR($D1527="",$E1527=""),"",COUNTIFS($D$7:$D1527,$D1527,$E$7:$E1527,$E1527))</f>
        <v/>
      </c>
      <c r="P1527" s="16"/>
      <c r="Q1527" s="19"/>
      <c r="R1527" s="10"/>
      <c r="S1527" s="16"/>
      <c r="T1527" s="0" t="str">
        <f aca="false">IF(OR($D1527="",单元查询!$B$3=""),"",IF($D1527&lt;&gt;单元查询!$B$3,"",IF(OR(单元查询!$D$3="",$E1527&amp;""=单元查询!$D$3&amp;""),IF(ISNUMBER($B1527),$B1527*10000,0)+ROW(),"")))</f>
        <v/>
      </c>
      <c r="U1527" s="0" t="str">
        <f aca="false">IF(OR($B1527="",$L1527="已完成"),"",IF(ISNUMBER($B1527),IF(设置!$B$6&lt;$B1527,"",(设置!$B$6-$B1527)*100000+ROW()),""))</f>
        <v/>
      </c>
      <c r="V1527" s="0" t="str">
        <f aca="false">IF(ISNUMBER($O1527),IF($O1527&gt;=2,IF(COUNTIFS($D1527:$D$2006,$D1527,$E1527:$E$2006,$E1527)=1,ROW(),""),""),"")</f>
        <v/>
      </c>
    </row>
    <row r="1528" customFormat="false" ht="15" hidden="false" customHeight="true" outlineLevel="0" collapsed="false">
      <c r="A1528" s="13" t="str">
        <f aca="false">IF(AND($B1528="",$D1528="",$E1528="",$F1528=""),"",IF(OR($B1528="",$D1528="",$E1528=""),"待补",IF($D1528="公共区域","公",IF($D1528="商铺","S",SUBSTITUTE($D1528,"栋","")))&amp;"-"&amp;$E1528&amp;"-"&amp;TEXT(MONTH($B1528),"00")&amp;TEXT(DAY($B1528),"00")&amp;IF(ISNUMBER($O1528),IF($O1528&gt;1,"-"&amp;TEXT($O1528,"00"),""),"")))</f>
        <v/>
      </c>
      <c r="B1528" s="14"/>
      <c r="C1528" s="10"/>
      <c r="D1528" s="10"/>
      <c r="E1528" s="10"/>
      <c r="F1528" s="16"/>
      <c r="G1528" s="10"/>
      <c r="H1528" s="10"/>
      <c r="I1528" s="10"/>
      <c r="J1528" s="10"/>
      <c r="K1528" s="10"/>
      <c r="L1528" s="10"/>
      <c r="M1528" s="14"/>
      <c r="N1528" s="17" t="str">
        <f aca="false">IF($B1528="","",IF($L1528="已完成",IF($M1528="","",$M1528-$B1528),IF(设置!$B$6&lt;$B1528,"",IF((设置!$B$6-$B1528)&gt;=设置!$B$5,"超期"&amp;(设置!$B$6-$B1528)&amp;"天","已等"&amp;(设置!$B$6-$B1528)&amp;"天"))))</f>
        <v/>
      </c>
      <c r="O1528" s="18" t="str">
        <f aca="false">IF(OR($D1528="",$E1528=""),"",COUNTIFS($D$7:$D1528,$D1528,$E$7:$E1528,$E1528))</f>
        <v/>
      </c>
      <c r="P1528" s="16"/>
      <c r="Q1528" s="19"/>
      <c r="R1528" s="10"/>
      <c r="S1528" s="16"/>
      <c r="T1528" s="0" t="str">
        <f aca="false">IF(OR($D1528="",单元查询!$B$3=""),"",IF($D1528&lt;&gt;单元查询!$B$3,"",IF(OR(单元查询!$D$3="",$E1528&amp;""=单元查询!$D$3&amp;""),IF(ISNUMBER($B1528),$B1528*10000,0)+ROW(),"")))</f>
        <v/>
      </c>
      <c r="U1528" s="0" t="str">
        <f aca="false">IF(OR($B1528="",$L1528="已完成"),"",IF(ISNUMBER($B1528),IF(设置!$B$6&lt;$B1528,"",(设置!$B$6-$B1528)*100000+ROW()),""))</f>
        <v/>
      </c>
      <c r="V1528" s="0" t="str">
        <f aca="false">IF(ISNUMBER($O1528),IF($O1528&gt;=2,IF(COUNTIFS($D1528:$D$2006,$D1528,$E1528:$E$2006,$E1528)=1,ROW(),""),""),"")</f>
        <v/>
      </c>
    </row>
    <row r="1529" customFormat="false" ht="15" hidden="false" customHeight="true" outlineLevel="0" collapsed="false">
      <c r="A1529" s="13" t="str">
        <f aca="false">IF(AND($B1529="",$D1529="",$E1529="",$F1529=""),"",IF(OR($B1529="",$D1529="",$E1529=""),"待补",IF($D1529="公共区域","公",IF($D1529="商铺","S",SUBSTITUTE($D1529,"栋","")))&amp;"-"&amp;$E1529&amp;"-"&amp;TEXT(MONTH($B1529),"00")&amp;TEXT(DAY($B1529),"00")&amp;IF(ISNUMBER($O1529),IF($O1529&gt;1,"-"&amp;TEXT($O1529,"00"),""),"")))</f>
        <v/>
      </c>
      <c r="B1529" s="14"/>
      <c r="C1529" s="10"/>
      <c r="D1529" s="10"/>
      <c r="E1529" s="10"/>
      <c r="F1529" s="16"/>
      <c r="G1529" s="10"/>
      <c r="H1529" s="10"/>
      <c r="I1529" s="10"/>
      <c r="J1529" s="10"/>
      <c r="K1529" s="10"/>
      <c r="L1529" s="10"/>
      <c r="M1529" s="14"/>
      <c r="N1529" s="17" t="str">
        <f aca="false">IF($B1529="","",IF($L1529="已完成",IF($M1529="","",$M1529-$B1529),IF(设置!$B$6&lt;$B1529,"",IF((设置!$B$6-$B1529)&gt;=设置!$B$5,"超期"&amp;(设置!$B$6-$B1529)&amp;"天","已等"&amp;(设置!$B$6-$B1529)&amp;"天"))))</f>
        <v/>
      </c>
      <c r="O1529" s="18" t="str">
        <f aca="false">IF(OR($D1529="",$E1529=""),"",COUNTIFS($D$7:$D1529,$D1529,$E$7:$E1529,$E1529))</f>
        <v/>
      </c>
      <c r="P1529" s="16"/>
      <c r="Q1529" s="19"/>
      <c r="R1529" s="10"/>
      <c r="S1529" s="16"/>
      <c r="T1529" s="0" t="str">
        <f aca="false">IF(OR($D1529="",单元查询!$B$3=""),"",IF($D1529&lt;&gt;单元查询!$B$3,"",IF(OR(单元查询!$D$3="",$E1529&amp;""=单元查询!$D$3&amp;""),IF(ISNUMBER($B1529),$B1529*10000,0)+ROW(),"")))</f>
        <v/>
      </c>
      <c r="U1529" s="0" t="str">
        <f aca="false">IF(OR($B1529="",$L1529="已完成"),"",IF(ISNUMBER($B1529),IF(设置!$B$6&lt;$B1529,"",(设置!$B$6-$B1529)*100000+ROW()),""))</f>
        <v/>
      </c>
      <c r="V1529" s="0" t="str">
        <f aca="false">IF(ISNUMBER($O1529),IF($O1529&gt;=2,IF(COUNTIFS($D1529:$D$2006,$D1529,$E1529:$E$2006,$E1529)=1,ROW(),""),""),"")</f>
        <v/>
      </c>
    </row>
    <row r="1530" customFormat="false" ht="15" hidden="false" customHeight="true" outlineLevel="0" collapsed="false">
      <c r="A1530" s="13" t="str">
        <f aca="false">IF(AND($B1530="",$D1530="",$E1530="",$F1530=""),"",IF(OR($B1530="",$D1530="",$E1530=""),"待补",IF($D1530="公共区域","公",IF($D1530="商铺","S",SUBSTITUTE($D1530,"栋","")))&amp;"-"&amp;$E1530&amp;"-"&amp;TEXT(MONTH($B1530),"00")&amp;TEXT(DAY($B1530),"00")&amp;IF(ISNUMBER($O1530),IF($O1530&gt;1,"-"&amp;TEXT($O1530,"00"),""),"")))</f>
        <v/>
      </c>
      <c r="B1530" s="14"/>
      <c r="C1530" s="10"/>
      <c r="D1530" s="10"/>
      <c r="E1530" s="10"/>
      <c r="F1530" s="16"/>
      <c r="G1530" s="10"/>
      <c r="H1530" s="10"/>
      <c r="I1530" s="10"/>
      <c r="J1530" s="10"/>
      <c r="K1530" s="10"/>
      <c r="L1530" s="10"/>
      <c r="M1530" s="14"/>
      <c r="N1530" s="17" t="str">
        <f aca="false">IF($B1530="","",IF($L1530="已完成",IF($M1530="","",$M1530-$B1530),IF(设置!$B$6&lt;$B1530,"",IF((设置!$B$6-$B1530)&gt;=设置!$B$5,"超期"&amp;(设置!$B$6-$B1530)&amp;"天","已等"&amp;(设置!$B$6-$B1530)&amp;"天"))))</f>
        <v/>
      </c>
      <c r="O1530" s="18" t="str">
        <f aca="false">IF(OR($D1530="",$E1530=""),"",COUNTIFS($D$7:$D1530,$D1530,$E$7:$E1530,$E1530))</f>
        <v/>
      </c>
      <c r="P1530" s="16"/>
      <c r="Q1530" s="19"/>
      <c r="R1530" s="10"/>
      <c r="S1530" s="16"/>
      <c r="T1530" s="0" t="str">
        <f aca="false">IF(OR($D1530="",单元查询!$B$3=""),"",IF($D1530&lt;&gt;单元查询!$B$3,"",IF(OR(单元查询!$D$3="",$E1530&amp;""=单元查询!$D$3&amp;""),IF(ISNUMBER($B1530),$B1530*10000,0)+ROW(),"")))</f>
        <v/>
      </c>
      <c r="U1530" s="0" t="str">
        <f aca="false">IF(OR($B1530="",$L1530="已完成"),"",IF(ISNUMBER($B1530),IF(设置!$B$6&lt;$B1530,"",(设置!$B$6-$B1530)*100000+ROW()),""))</f>
        <v/>
      </c>
      <c r="V1530" s="0" t="str">
        <f aca="false">IF(ISNUMBER($O1530),IF($O1530&gt;=2,IF(COUNTIFS($D1530:$D$2006,$D1530,$E1530:$E$2006,$E1530)=1,ROW(),""),""),"")</f>
        <v/>
      </c>
    </row>
    <row r="1531" customFormat="false" ht="15" hidden="false" customHeight="true" outlineLevel="0" collapsed="false">
      <c r="A1531" s="13" t="str">
        <f aca="false">IF(AND($B1531="",$D1531="",$E1531="",$F1531=""),"",IF(OR($B1531="",$D1531="",$E1531=""),"待补",IF($D1531="公共区域","公",IF($D1531="商铺","S",SUBSTITUTE($D1531,"栋","")))&amp;"-"&amp;$E1531&amp;"-"&amp;TEXT(MONTH($B1531),"00")&amp;TEXT(DAY($B1531),"00")&amp;IF(ISNUMBER($O1531),IF($O1531&gt;1,"-"&amp;TEXT($O1531,"00"),""),"")))</f>
        <v/>
      </c>
      <c r="B1531" s="14"/>
      <c r="C1531" s="10"/>
      <c r="D1531" s="10"/>
      <c r="E1531" s="10"/>
      <c r="F1531" s="16"/>
      <c r="G1531" s="10"/>
      <c r="H1531" s="10"/>
      <c r="I1531" s="10"/>
      <c r="J1531" s="10"/>
      <c r="K1531" s="10"/>
      <c r="L1531" s="10"/>
      <c r="M1531" s="14"/>
      <c r="N1531" s="17" t="str">
        <f aca="false">IF($B1531="","",IF($L1531="已完成",IF($M1531="","",$M1531-$B1531),IF(设置!$B$6&lt;$B1531,"",IF((设置!$B$6-$B1531)&gt;=设置!$B$5,"超期"&amp;(设置!$B$6-$B1531)&amp;"天","已等"&amp;(设置!$B$6-$B1531)&amp;"天"))))</f>
        <v/>
      </c>
      <c r="O1531" s="18" t="str">
        <f aca="false">IF(OR($D1531="",$E1531=""),"",COUNTIFS($D$7:$D1531,$D1531,$E$7:$E1531,$E1531))</f>
        <v/>
      </c>
      <c r="P1531" s="16"/>
      <c r="Q1531" s="19"/>
      <c r="R1531" s="10"/>
      <c r="S1531" s="16"/>
      <c r="T1531" s="0" t="str">
        <f aca="false">IF(OR($D1531="",单元查询!$B$3=""),"",IF($D1531&lt;&gt;单元查询!$B$3,"",IF(OR(单元查询!$D$3="",$E1531&amp;""=单元查询!$D$3&amp;""),IF(ISNUMBER($B1531),$B1531*10000,0)+ROW(),"")))</f>
        <v/>
      </c>
      <c r="U1531" s="0" t="str">
        <f aca="false">IF(OR($B1531="",$L1531="已完成"),"",IF(ISNUMBER($B1531),IF(设置!$B$6&lt;$B1531,"",(设置!$B$6-$B1531)*100000+ROW()),""))</f>
        <v/>
      </c>
      <c r="V1531" s="0" t="str">
        <f aca="false">IF(ISNUMBER($O1531),IF($O1531&gt;=2,IF(COUNTIFS($D1531:$D$2006,$D1531,$E1531:$E$2006,$E1531)=1,ROW(),""),""),"")</f>
        <v/>
      </c>
    </row>
    <row r="1532" customFormat="false" ht="15" hidden="false" customHeight="true" outlineLevel="0" collapsed="false">
      <c r="A1532" s="13" t="str">
        <f aca="false">IF(AND($B1532="",$D1532="",$E1532="",$F1532=""),"",IF(OR($B1532="",$D1532="",$E1532=""),"待补",IF($D1532="公共区域","公",IF($D1532="商铺","S",SUBSTITUTE($D1532,"栋","")))&amp;"-"&amp;$E1532&amp;"-"&amp;TEXT(MONTH($B1532),"00")&amp;TEXT(DAY($B1532),"00")&amp;IF(ISNUMBER($O1532),IF($O1532&gt;1,"-"&amp;TEXT($O1532,"00"),""),"")))</f>
        <v/>
      </c>
      <c r="B1532" s="14"/>
      <c r="C1532" s="10"/>
      <c r="D1532" s="10"/>
      <c r="E1532" s="10"/>
      <c r="F1532" s="16"/>
      <c r="G1532" s="10"/>
      <c r="H1532" s="10"/>
      <c r="I1532" s="10"/>
      <c r="J1532" s="10"/>
      <c r="K1532" s="10"/>
      <c r="L1532" s="10"/>
      <c r="M1532" s="14"/>
      <c r="N1532" s="17" t="str">
        <f aca="false">IF($B1532="","",IF($L1532="已完成",IF($M1532="","",$M1532-$B1532),IF(设置!$B$6&lt;$B1532,"",IF((设置!$B$6-$B1532)&gt;=设置!$B$5,"超期"&amp;(设置!$B$6-$B1532)&amp;"天","已等"&amp;(设置!$B$6-$B1532)&amp;"天"))))</f>
        <v/>
      </c>
      <c r="O1532" s="18" t="str">
        <f aca="false">IF(OR($D1532="",$E1532=""),"",COUNTIFS($D$7:$D1532,$D1532,$E$7:$E1532,$E1532))</f>
        <v/>
      </c>
      <c r="P1532" s="16"/>
      <c r="Q1532" s="19"/>
      <c r="R1532" s="10"/>
      <c r="S1532" s="16"/>
      <c r="T1532" s="0" t="str">
        <f aca="false">IF(OR($D1532="",单元查询!$B$3=""),"",IF($D1532&lt;&gt;单元查询!$B$3,"",IF(OR(单元查询!$D$3="",$E1532&amp;""=单元查询!$D$3&amp;""),IF(ISNUMBER($B1532),$B1532*10000,0)+ROW(),"")))</f>
        <v/>
      </c>
      <c r="U1532" s="0" t="str">
        <f aca="false">IF(OR($B1532="",$L1532="已完成"),"",IF(ISNUMBER($B1532),IF(设置!$B$6&lt;$B1532,"",(设置!$B$6-$B1532)*100000+ROW()),""))</f>
        <v/>
      </c>
      <c r="V1532" s="0" t="str">
        <f aca="false">IF(ISNUMBER($O1532),IF($O1532&gt;=2,IF(COUNTIFS($D1532:$D$2006,$D1532,$E1532:$E$2006,$E1532)=1,ROW(),""),""),"")</f>
        <v/>
      </c>
    </row>
    <row r="1533" customFormat="false" ht="15" hidden="false" customHeight="true" outlineLevel="0" collapsed="false">
      <c r="A1533" s="13" t="str">
        <f aca="false">IF(AND($B1533="",$D1533="",$E1533="",$F1533=""),"",IF(OR($B1533="",$D1533="",$E1533=""),"待补",IF($D1533="公共区域","公",IF($D1533="商铺","S",SUBSTITUTE($D1533,"栋","")))&amp;"-"&amp;$E1533&amp;"-"&amp;TEXT(MONTH($B1533),"00")&amp;TEXT(DAY($B1533),"00")&amp;IF(ISNUMBER($O1533),IF($O1533&gt;1,"-"&amp;TEXT($O1533,"00"),""),"")))</f>
        <v/>
      </c>
      <c r="B1533" s="14"/>
      <c r="C1533" s="10"/>
      <c r="D1533" s="10"/>
      <c r="E1533" s="10"/>
      <c r="F1533" s="16"/>
      <c r="G1533" s="10"/>
      <c r="H1533" s="10"/>
      <c r="I1533" s="10"/>
      <c r="J1533" s="10"/>
      <c r="K1533" s="10"/>
      <c r="L1533" s="10"/>
      <c r="M1533" s="14"/>
      <c r="N1533" s="17" t="str">
        <f aca="false">IF($B1533="","",IF($L1533="已完成",IF($M1533="","",$M1533-$B1533),IF(设置!$B$6&lt;$B1533,"",IF((设置!$B$6-$B1533)&gt;=设置!$B$5,"超期"&amp;(设置!$B$6-$B1533)&amp;"天","已等"&amp;(设置!$B$6-$B1533)&amp;"天"))))</f>
        <v/>
      </c>
      <c r="O1533" s="18" t="str">
        <f aca="false">IF(OR($D1533="",$E1533=""),"",COUNTIFS($D$7:$D1533,$D1533,$E$7:$E1533,$E1533))</f>
        <v/>
      </c>
      <c r="P1533" s="16"/>
      <c r="Q1533" s="19"/>
      <c r="R1533" s="10"/>
      <c r="S1533" s="16"/>
      <c r="T1533" s="0" t="str">
        <f aca="false">IF(OR($D1533="",单元查询!$B$3=""),"",IF($D1533&lt;&gt;单元查询!$B$3,"",IF(OR(单元查询!$D$3="",$E1533&amp;""=单元查询!$D$3&amp;""),IF(ISNUMBER($B1533),$B1533*10000,0)+ROW(),"")))</f>
        <v/>
      </c>
      <c r="U1533" s="0" t="str">
        <f aca="false">IF(OR($B1533="",$L1533="已完成"),"",IF(ISNUMBER($B1533),IF(设置!$B$6&lt;$B1533,"",(设置!$B$6-$B1533)*100000+ROW()),""))</f>
        <v/>
      </c>
      <c r="V1533" s="0" t="str">
        <f aca="false">IF(ISNUMBER($O1533),IF($O1533&gt;=2,IF(COUNTIFS($D1533:$D$2006,$D1533,$E1533:$E$2006,$E1533)=1,ROW(),""),""),"")</f>
        <v/>
      </c>
    </row>
    <row r="1534" customFormat="false" ht="15" hidden="false" customHeight="true" outlineLevel="0" collapsed="false">
      <c r="A1534" s="13" t="str">
        <f aca="false">IF(AND($B1534="",$D1534="",$E1534="",$F1534=""),"",IF(OR($B1534="",$D1534="",$E1534=""),"待补",IF($D1534="公共区域","公",IF($D1534="商铺","S",SUBSTITUTE($D1534,"栋","")))&amp;"-"&amp;$E1534&amp;"-"&amp;TEXT(MONTH($B1534),"00")&amp;TEXT(DAY($B1534),"00")&amp;IF(ISNUMBER($O1534),IF($O1534&gt;1,"-"&amp;TEXT($O1534,"00"),""),"")))</f>
        <v/>
      </c>
      <c r="B1534" s="14"/>
      <c r="C1534" s="10"/>
      <c r="D1534" s="10"/>
      <c r="E1534" s="10"/>
      <c r="F1534" s="16"/>
      <c r="G1534" s="10"/>
      <c r="H1534" s="10"/>
      <c r="I1534" s="10"/>
      <c r="J1534" s="10"/>
      <c r="K1534" s="10"/>
      <c r="L1534" s="10"/>
      <c r="M1534" s="14"/>
      <c r="N1534" s="17" t="str">
        <f aca="false">IF($B1534="","",IF($L1534="已完成",IF($M1534="","",$M1534-$B1534),IF(设置!$B$6&lt;$B1534,"",IF((设置!$B$6-$B1534)&gt;=设置!$B$5,"超期"&amp;(设置!$B$6-$B1534)&amp;"天","已等"&amp;(设置!$B$6-$B1534)&amp;"天"))))</f>
        <v/>
      </c>
      <c r="O1534" s="18" t="str">
        <f aca="false">IF(OR($D1534="",$E1534=""),"",COUNTIFS($D$7:$D1534,$D1534,$E$7:$E1534,$E1534))</f>
        <v/>
      </c>
      <c r="P1534" s="16"/>
      <c r="Q1534" s="19"/>
      <c r="R1534" s="10"/>
      <c r="S1534" s="16"/>
      <c r="T1534" s="0" t="str">
        <f aca="false">IF(OR($D1534="",单元查询!$B$3=""),"",IF($D1534&lt;&gt;单元查询!$B$3,"",IF(OR(单元查询!$D$3="",$E1534&amp;""=单元查询!$D$3&amp;""),IF(ISNUMBER($B1534),$B1534*10000,0)+ROW(),"")))</f>
        <v/>
      </c>
      <c r="U1534" s="0" t="str">
        <f aca="false">IF(OR($B1534="",$L1534="已完成"),"",IF(ISNUMBER($B1534),IF(设置!$B$6&lt;$B1534,"",(设置!$B$6-$B1534)*100000+ROW()),""))</f>
        <v/>
      </c>
      <c r="V1534" s="0" t="str">
        <f aca="false">IF(ISNUMBER($O1534),IF($O1534&gt;=2,IF(COUNTIFS($D1534:$D$2006,$D1534,$E1534:$E$2006,$E1534)=1,ROW(),""),""),"")</f>
        <v/>
      </c>
    </row>
    <row r="1535" customFormat="false" ht="15" hidden="false" customHeight="true" outlineLevel="0" collapsed="false">
      <c r="A1535" s="13" t="str">
        <f aca="false">IF(AND($B1535="",$D1535="",$E1535="",$F1535=""),"",IF(OR($B1535="",$D1535="",$E1535=""),"待补",IF($D1535="公共区域","公",IF($D1535="商铺","S",SUBSTITUTE($D1535,"栋","")))&amp;"-"&amp;$E1535&amp;"-"&amp;TEXT(MONTH($B1535),"00")&amp;TEXT(DAY($B1535),"00")&amp;IF(ISNUMBER($O1535),IF($O1535&gt;1,"-"&amp;TEXT($O1535,"00"),""),"")))</f>
        <v/>
      </c>
      <c r="B1535" s="14"/>
      <c r="C1535" s="10"/>
      <c r="D1535" s="10"/>
      <c r="E1535" s="10"/>
      <c r="F1535" s="16"/>
      <c r="G1535" s="10"/>
      <c r="H1535" s="10"/>
      <c r="I1535" s="10"/>
      <c r="J1535" s="10"/>
      <c r="K1535" s="10"/>
      <c r="L1535" s="10"/>
      <c r="M1535" s="14"/>
      <c r="N1535" s="17" t="str">
        <f aca="false">IF($B1535="","",IF($L1535="已完成",IF($M1535="","",$M1535-$B1535),IF(设置!$B$6&lt;$B1535,"",IF((设置!$B$6-$B1535)&gt;=设置!$B$5,"超期"&amp;(设置!$B$6-$B1535)&amp;"天","已等"&amp;(设置!$B$6-$B1535)&amp;"天"))))</f>
        <v/>
      </c>
      <c r="O1535" s="18" t="str">
        <f aca="false">IF(OR($D1535="",$E1535=""),"",COUNTIFS($D$7:$D1535,$D1535,$E$7:$E1535,$E1535))</f>
        <v/>
      </c>
      <c r="P1535" s="16"/>
      <c r="Q1535" s="19"/>
      <c r="R1535" s="10"/>
      <c r="S1535" s="16"/>
      <c r="T1535" s="0" t="str">
        <f aca="false">IF(OR($D1535="",单元查询!$B$3=""),"",IF($D1535&lt;&gt;单元查询!$B$3,"",IF(OR(单元查询!$D$3="",$E1535&amp;""=单元查询!$D$3&amp;""),IF(ISNUMBER($B1535),$B1535*10000,0)+ROW(),"")))</f>
        <v/>
      </c>
      <c r="U1535" s="0" t="str">
        <f aca="false">IF(OR($B1535="",$L1535="已完成"),"",IF(ISNUMBER($B1535),IF(设置!$B$6&lt;$B1535,"",(设置!$B$6-$B1535)*100000+ROW()),""))</f>
        <v/>
      </c>
      <c r="V1535" s="0" t="str">
        <f aca="false">IF(ISNUMBER($O1535),IF($O1535&gt;=2,IF(COUNTIFS($D1535:$D$2006,$D1535,$E1535:$E$2006,$E1535)=1,ROW(),""),""),"")</f>
        <v/>
      </c>
    </row>
    <row r="1536" customFormat="false" ht="15" hidden="false" customHeight="true" outlineLevel="0" collapsed="false">
      <c r="A1536" s="13" t="str">
        <f aca="false">IF(AND($B1536="",$D1536="",$E1536="",$F1536=""),"",IF(OR($B1536="",$D1536="",$E1536=""),"待补",IF($D1536="公共区域","公",IF($D1536="商铺","S",SUBSTITUTE($D1536,"栋","")))&amp;"-"&amp;$E1536&amp;"-"&amp;TEXT(MONTH($B1536),"00")&amp;TEXT(DAY($B1536),"00")&amp;IF(ISNUMBER($O1536),IF($O1536&gt;1,"-"&amp;TEXT($O1536,"00"),""),"")))</f>
        <v/>
      </c>
      <c r="B1536" s="14"/>
      <c r="C1536" s="10"/>
      <c r="D1536" s="10"/>
      <c r="E1536" s="10"/>
      <c r="F1536" s="16"/>
      <c r="G1536" s="10"/>
      <c r="H1536" s="10"/>
      <c r="I1536" s="10"/>
      <c r="J1536" s="10"/>
      <c r="K1536" s="10"/>
      <c r="L1536" s="10"/>
      <c r="M1536" s="14"/>
      <c r="N1536" s="17" t="str">
        <f aca="false">IF($B1536="","",IF($L1536="已完成",IF($M1536="","",$M1536-$B1536),IF(设置!$B$6&lt;$B1536,"",IF((设置!$B$6-$B1536)&gt;=设置!$B$5,"超期"&amp;(设置!$B$6-$B1536)&amp;"天","已等"&amp;(设置!$B$6-$B1536)&amp;"天"))))</f>
        <v/>
      </c>
      <c r="O1536" s="18" t="str">
        <f aca="false">IF(OR($D1536="",$E1536=""),"",COUNTIFS($D$7:$D1536,$D1536,$E$7:$E1536,$E1536))</f>
        <v/>
      </c>
      <c r="P1536" s="16"/>
      <c r="Q1536" s="19"/>
      <c r="R1536" s="10"/>
      <c r="S1536" s="16"/>
      <c r="T1536" s="0" t="str">
        <f aca="false">IF(OR($D1536="",单元查询!$B$3=""),"",IF($D1536&lt;&gt;单元查询!$B$3,"",IF(OR(单元查询!$D$3="",$E1536&amp;""=单元查询!$D$3&amp;""),IF(ISNUMBER($B1536),$B1536*10000,0)+ROW(),"")))</f>
        <v/>
      </c>
      <c r="U1536" s="0" t="str">
        <f aca="false">IF(OR($B1536="",$L1536="已完成"),"",IF(ISNUMBER($B1536),IF(设置!$B$6&lt;$B1536,"",(设置!$B$6-$B1536)*100000+ROW()),""))</f>
        <v/>
      </c>
      <c r="V1536" s="0" t="str">
        <f aca="false">IF(ISNUMBER($O1536),IF($O1536&gt;=2,IF(COUNTIFS($D1536:$D$2006,$D1536,$E1536:$E$2006,$E1536)=1,ROW(),""),""),"")</f>
        <v/>
      </c>
    </row>
    <row r="1537" customFormat="false" ht="15" hidden="false" customHeight="true" outlineLevel="0" collapsed="false">
      <c r="A1537" s="13" t="str">
        <f aca="false">IF(AND($B1537="",$D1537="",$E1537="",$F1537=""),"",IF(OR($B1537="",$D1537="",$E1537=""),"待补",IF($D1537="公共区域","公",IF($D1537="商铺","S",SUBSTITUTE($D1537,"栋","")))&amp;"-"&amp;$E1537&amp;"-"&amp;TEXT(MONTH($B1537),"00")&amp;TEXT(DAY($B1537),"00")&amp;IF(ISNUMBER($O1537),IF($O1537&gt;1,"-"&amp;TEXT($O1537,"00"),""),"")))</f>
        <v/>
      </c>
      <c r="B1537" s="14"/>
      <c r="C1537" s="10"/>
      <c r="D1537" s="10"/>
      <c r="E1537" s="10"/>
      <c r="F1537" s="16"/>
      <c r="G1537" s="10"/>
      <c r="H1537" s="10"/>
      <c r="I1537" s="10"/>
      <c r="J1537" s="10"/>
      <c r="K1537" s="10"/>
      <c r="L1537" s="10"/>
      <c r="M1537" s="14"/>
      <c r="N1537" s="17" t="str">
        <f aca="false">IF($B1537="","",IF($L1537="已完成",IF($M1537="","",$M1537-$B1537),IF(设置!$B$6&lt;$B1537,"",IF((设置!$B$6-$B1537)&gt;=设置!$B$5,"超期"&amp;(设置!$B$6-$B1537)&amp;"天","已等"&amp;(设置!$B$6-$B1537)&amp;"天"))))</f>
        <v/>
      </c>
      <c r="O1537" s="18" t="str">
        <f aca="false">IF(OR($D1537="",$E1537=""),"",COUNTIFS($D$7:$D1537,$D1537,$E$7:$E1537,$E1537))</f>
        <v/>
      </c>
      <c r="P1537" s="16"/>
      <c r="Q1537" s="19"/>
      <c r="R1537" s="10"/>
      <c r="S1537" s="16"/>
      <c r="T1537" s="0" t="str">
        <f aca="false">IF(OR($D1537="",单元查询!$B$3=""),"",IF($D1537&lt;&gt;单元查询!$B$3,"",IF(OR(单元查询!$D$3="",$E1537&amp;""=单元查询!$D$3&amp;""),IF(ISNUMBER($B1537),$B1537*10000,0)+ROW(),"")))</f>
        <v/>
      </c>
      <c r="U1537" s="0" t="str">
        <f aca="false">IF(OR($B1537="",$L1537="已完成"),"",IF(ISNUMBER($B1537),IF(设置!$B$6&lt;$B1537,"",(设置!$B$6-$B1537)*100000+ROW()),""))</f>
        <v/>
      </c>
      <c r="V1537" s="0" t="str">
        <f aca="false">IF(ISNUMBER($O1537),IF($O1537&gt;=2,IF(COUNTIFS($D1537:$D$2006,$D1537,$E1537:$E$2006,$E1537)=1,ROW(),""),""),"")</f>
        <v/>
      </c>
    </row>
    <row r="1538" customFormat="false" ht="15" hidden="false" customHeight="true" outlineLevel="0" collapsed="false">
      <c r="A1538" s="13" t="str">
        <f aca="false">IF(AND($B1538="",$D1538="",$E1538="",$F1538=""),"",IF(OR($B1538="",$D1538="",$E1538=""),"待补",IF($D1538="公共区域","公",IF($D1538="商铺","S",SUBSTITUTE($D1538,"栋","")))&amp;"-"&amp;$E1538&amp;"-"&amp;TEXT(MONTH($B1538),"00")&amp;TEXT(DAY($B1538),"00")&amp;IF(ISNUMBER($O1538),IF($O1538&gt;1,"-"&amp;TEXT($O1538,"00"),""),"")))</f>
        <v/>
      </c>
      <c r="B1538" s="14"/>
      <c r="C1538" s="10"/>
      <c r="D1538" s="10"/>
      <c r="E1538" s="10"/>
      <c r="F1538" s="16"/>
      <c r="G1538" s="10"/>
      <c r="H1538" s="10"/>
      <c r="I1538" s="10"/>
      <c r="J1538" s="10"/>
      <c r="K1538" s="10"/>
      <c r="L1538" s="10"/>
      <c r="M1538" s="14"/>
      <c r="N1538" s="17" t="str">
        <f aca="false">IF($B1538="","",IF($L1538="已完成",IF($M1538="","",$M1538-$B1538),IF(设置!$B$6&lt;$B1538,"",IF((设置!$B$6-$B1538)&gt;=设置!$B$5,"超期"&amp;(设置!$B$6-$B1538)&amp;"天","已等"&amp;(设置!$B$6-$B1538)&amp;"天"))))</f>
        <v/>
      </c>
      <c r="O1538" s="18" t="str">
        <f aca="false">IF(OR($D1538="",$E1538=""),"",COUNTIFS($D$7:$D1538,$D1538,$E$7:$E1538,$E1538))</f>
        <v/>
      </c>
      <c r="P1538" s="16"/>
      <c r="Q1538" s="19"/>
      <c r="R1538" s="10"/>
      <c r="S1538" s="16"/>
      <c r="T1538" s="0" t="str">
        <f aca="false">IF(OR($D1538="",单元查询!$B$3=""),"",IF($D1538&lt;&gt;单元查询!$B$3,"",IF(OR(单元查询!$D$3="",$E1538&amp;""=单元查询!$D$3&amp;""),IF(ISNUMBER($B1538),$B1538*10000,0)+ROW(),"")))</f>
        <v/>
      </c>
      <c r="U1538" s="0" t="str">
        <f aca="false">IF(OR($B1538="",$L1538="已完成"),"",IF(ISNUMBER($B1538),IF(设置!$B$6&lt;$B1538,"",(设置!$B$6-$B1538)*100000+ROW()),""))</f>
        <v/>
      </c>
      <c r="V1538" s="0" t="str">
        <f aca="false">IF(ISNUMBER($O1538),IF($O1538&gt;=2,IF(COUNTIFS($D1538:$D$2006,$D1538,$E1538:$E$2006,$E1538)=1,ROW(),""),""),"")</f>
        <v/>
      </c>
    </row>
    <row r="1539" customFormat="false" ht="15" hidden="false" customHeight="true" outlineLevel="0" collapsed="false">
      <c r="A1539" s="13" t="str">
        <f aca="false">IF(AND($B1539="",$D1539="",$E1539="",$F1539=""),"",IF(OR($B1539="",$D1539="",$E1539=""),"待补",IF($D1539="公共区域","公",IF($D1539="商铺","S",SUBSTITUTE($D1539,"栋","")))&amp;"-"&amp;$E1539&amp;"-"&amp;TEXT(MONTH($B1539),"00")&amp;TEXT(DAY($B1539),"00")&amp;IF(ISNUMBER($O1539),IF($O1539&gt;1,"-"&amp;TEXT($O1539,"00"),""),"")))</f>
        <v/>
      </c>
      <c r="B1539" s="14"/>
      <c r="C1539" s="10"/>
      <c r="D1539" s="10"/>
      <c r="E1539" s="10"/>
      <c r="F1539" s="16"/>
      <c r="G1539" s="10"/>
      <c r="H1539" s="10"/>
      <c r="I1539" s="10"/>
      <c r="J1539" s="10"/>
      <c r="K1539" s="10"/>
      <c r="L1539" s="10"/>
      <c r="M1539" s="14"/>
      <c r="N1539" s="17" t="str">
        <f aca="false">IF($B1539="","",IF($L1539="已完成",IF($M1539="","",$M1539-$B1539),IF(设置!$B$6&lt;$B1539,"",IF((设置!$B$6-$B1539)&gt;=设置!$B$5,"超期"&amp;(设置!$B$6-$B1539)&amp;"天","已等"&amp;(设置!$B$6-$B1539)&amp;"天"))))</f>
        <v/>
      </c>
      <c r="O1539" s="18" t="str">
        <f aca="false">IF(OR($D1539="",$E1539=""),"",COUNTIFS($D$7:$D1539,$D1539,$E$7:$E1539,$E1539))</f>
        <v/>
      </c>
      <c r="P1539" s="16"/>
      <c r="Q1539" s="19"/>
      <c r="R1539" s="10"/>
      <c r="S1539" s="16"/>
      <c r="T1539" s="0" t="str">
        <f aca="false">IF(OR($D1539="",单元查询!$B$3=""),"",IF($D1539&lt;&gt;单元查询!$B$3,"",IF(OR(单元查询!$D$3="",$E1539&amp;""=单元查询!$D$3&amp;""),IF(ISNUMBER($B1539),$B1539*10000,0)+ROW(),"")))</f>
        <v/>
      </c>
      <c r="U1539" s="0" t="str">
        <f aca="false">IF(OR($B1539="",$L1539="已完成"),"",IF(ISNUMBER($B1539),IF(设置!$B$6&lt;$B1539,"",(设置!$B$6-$B1539)*100000+ROW()),""))</f>
        <v/>
      </c>
      <c r="V1539" s="0" t="str">
        <f aca="false">IF(ISNUMBER($O1539),IF($O1539&gt;=2,IF(COUNTIFS($D1539:$D$2006,$D1539,$E1539:$E$2006,$E1539)=1,ROW(),""),""),"")</f>
        <v/>
      </c>
    </row>
    <row r="1540" customFormat="false" ht="15" hidden="false" customHeight="true" outlineLevel="0" collapsed="false">
      <c r="A1540" s="13" t="str">
        <f aca="false">IF(AND($B1540="",$D1540="",$E1540="",$F1540=""),"",IF(OR($B1540="",$D1540="",$E1540=""),"待补",IF($D1540="公共区域","公",IF($D1540="商铺","S",SUBSTITUTE($D1540,"栋","")))&amp;"-"&amp;$E1540&amp;"-"&amp;TEXT(MONTH($B1540),"00")&amp;TEXT(DAY($B1540),"00")&amp;IF(ISNUMBER($O1540),IF($O1540&gt;1,"-"&amp;TEXT($O1540,"00"),""),"")))</f>
        <v/>
      </c>
      <c r="B1540" s="14"/>
      <c r="C1540" s="10"/>
      <c r="D1540" s="10"/>
      <c r="E1540" s="10"/>
      <c r="F1540" s="16"/>
      <c r="G1540" s="10"/>
      <c r="H1540" s="10"/>
      <c r="I1540" s="10"/>
      <c r="J1540" s="10"/>
      <c r="K1540" s="10"/>
      <c r="L1540" s="10"/>
      <c r="M1540" s="14"/>
      <c r="N1540" s="17" t="str">
        <f aca="false">IF($B1540="","",IF($L1540="已完成",IF($M1540="","",$M1540-$B1540),IF(设置!$B$6&lt;$B1540,"",IF((设置!$B$6-$B1540)&gt;=设置!$B$5,"超期"&amp;(设置!$B$6-$B1540)&amp;"天","已等"&amp;(设置!$B$6-$B1540)&amp;"天"))))</f>
        <v/>
      </c>
      <c r="O1540" s="18" t="str">
        <f aca="false">IF(OR($D1540="",$E1540=""),"",COUNTIFS($D$7:$D1540,$D1540,$E$7:$E1540,$E1540))</f>
        <v/>
      </c>
      <c r="P1540" s="16"/>
      <c r="Q1540" s="19"/>
      <c r="R1540" s="10"/>
      <c r="S1540" s="16"/>
      <c r="T1540" s="0" t="str">
        <f aca="false">IF(OR($D1540="",单元查询!$B$3=""),"",IF($D1540&lt;&gt;单元查询!$B$3,"",IF(OR(单元查询!$D$3="",$E1540&amp;""=单元查询!$D$3&amp;""),IF(ISNUMBER($B1540),$B1540*10000,0)+ROW(),"")))</f>
        <v/>
      </c>
      <c r="U1540" s="0" t="str">
        <f aca="false">IF(OR($B1540="",$L1540="已完成"),"",IF(ISNUMBER($B1540),IF(设置!$B$6&lt;$B1540,"",(设置!$B$6-$B1540)*100000+ROW()),""))</f>
        <v/>
      </c>
      <c r="V1540" s="0" t="str">
        <f aca="false">IF(ISNUMBER($O1540),IF($O1540&gt;=2,IF(COUNTIFS($D1540:$D$2006,$D1540,$E1540:$E$2006,$E1540)=1,ROW(),""),""),"")</f>
        <v/>
      </c>
    </row>
    <row r="1541" customFormat="false" ht="15" hidden="false" customHeight="true" outlineLevel="0" collapsed="false">
      <c r="A1541" s="13" t="str">
        <f aca="false">IF(AND($B1541="",$D1541="",$E1541="",$F1541=""),"",IF(OR($B1541="",$D1541="",$E1541=""),"待补",IF($D1541="公共区域","公",IF($D1541="商铺","S",SUBSTITUTE($D1541,"栋","")))&amp;"-"&amp;$E1541&amp;"-"&amp;TEXT(MONTH($B1541),"00")&amp;TEXT(DAY($B1541),"00")&amp;IF(ISNUMBER($O1541),IF($O1541&gt;1,"-"&amp;TEXT($O1541,"00"),""),"")))</f>
        <v/>
      </c>
      <c r="B1541" s="14"/>
      <c r="C1541" s="10"/>
      <c r="D1541" s="10"/>
      <c r="E1541" s="10"/>
      <c r="F1541" s="16"/>
      <c r="G1541" s="10"/>
      <c r="H1541" s="10"/>
      <c r="I1541" s="10"/>
      <c r="J1541" s="10"/>
      <c r="K1541" s="10"/>
      <c r="L1541" s="10"/>
      <c r="M1541" s="14"/>
      <c r="N1541" s="17" t="str">
        <f aca="false">IF($B1541="","",IF($L1541="已完成",IF($M1541="","",$M1541-$B1541),IF(设置!$B$6&lt;$B1541,"",IF((设置!$B$6-$B1541)&gt;=设置!$B$5,"超期"&amp;(设置!$B$6-$B1541)&amp;"天","已等"&amp;(设置!$B$6-$B1541)&amp;"天"))))</f>
        <v/>
      </c>
      <c r="O1541" s="18" t="str">
        <f aca="false">IF(OR($D1541="",$E1541=""),"",COUNTIFS($D$7:$D1541,$D1541,$E$7:$E1541,$E1541))</f>
        <v/>
      </c>
      <c r="P1541" s="16"/>
      <c r="Q1541" s="19"/>
      <c r="R1541" s="10"/>
      <c r="S1541" s="16"/>
      <c r="T1541" s="0" t="str">
        <f aca="false">IF(OR($D1541="",单元查询!$B$3=""),"",IF($D1541&lt;&gt;单元查询!$B$3,"",IF(OR(单元查询!$D$3="",$E1541&amp;""=单元查询!$D$3&amp;""),IF(ISNUMBER($B1541),$B1541*10000,0)+ROW(),"")))</f>
        <v/>
      </c>
      <c r="U1541" s="0" t="str">
        <f aca="false">IF(OR($B1541="",$L1541="已完成"),"",IF(ISNUMBER($B1541),IF(设置!$B$6&lt;$B1541,"",(设置!$B$6-$B1541)*100000+ROW()),""))</f>
        <v/>
      </c>
      <c r="V1541" s="0" t="str">
        <f aca="false">IF(ISNUMBER($O1541),IF($O1541&gt;=2,IF(COUNTIFS($D1541:$D$2006,$D1541,$E1541:$E$2006,$E1541)=1,ROW(),""),""),"")</f>
        <v/>
      </c>
    </row>
    <row r="1542" customFormat="false" ht="15" hidden="false" customHeight="true" outlineLevel="0" collapsed="false">
      <c r="A1542" s="13" t="str">
        <f aca="false">IF(AND($B1542="",$D1542="",$E1542="",$F1542=""),"",IF(OR($B1542="",$D1542="",$E1542=""),"待补",IF($D1542="公共区域","公",IF($D1542="商铺","S",SUBSTITUTE($D1542,"栋","")))&amp;"-"&amp;$E1542&amp;"-"&amp;TEXT(MONTH($B1542),"00")&amp;TEXT(DAY($B1542),"00")&amp;IF(ISNUMBER($O1542),IF($O1542&gt;1,"-"&amp;TEXT($O1542,"00"),""),"")))</f>
        <v/>
      </c>
      <c r="B1542" s="14"/>
      <c r="C1542" s="10"/>
      <c r="D1542" s="10"/>
      <c r="E1542" s="10"/>
      <c r="F1542" s="16"/>
      <c r="G1542" s="10"/>
      <c r="H1542" s="10"/>
      <c r="I1542" s="10"/>
      <c r="J1542" s="10"/>
      <c r="K1542" s="10"/>
      <c r="L1542" s="10"/>
      <c r="M1542" s="14"/>
      <c r="N1542" s="17" t="str">
        <f aca="false">IF($B1542="","",IF($L1542="已完成",IF($M1542="","",$M1542-$B1542),IF(设置!$B$6&lt;$B1542,"",IF((设置!$B$6-$B1542)&gt;=设置!$B$5,"超期"&amp;(设置!$B$6-$B1542)&amp;"天","已等"&amp;(设置!$B$6-$B1542)&amp;"天"))))</f>
        <v/>
      </c>
      <c r="O1542" s="18" t="str">
        <f aca="false">IF(OR($D1542="",$E1542=""),"",COUNTIFS($D$7:$D1542,$D1542,$E$7:$E1542,$E1542))</f>
        <v/>
      </c>
      <c r="P1542" s="16"/>
      <c r="Q1542" s="19"/>
      <c r="R1542" s="10"/>
      <c r="S1542" s="16"/>
      <c r="T1542" s="0" t="str">
        <f aca="false">IF(OR($D1542="",单元查询!$B$3=""),"",IF($D1542&lt;&gt;单元查询!$B$3,"",IF(OR(单元查询!$D$3="",$E1542&amp;""=单元查询!$D$3&amp;""),IF(ISNUMBER($B1542),$B1542*10000,0)+ROW(),"")))</f>
        <v/>
      </c>
      <c r="U1542" s="0" t="str">
        <f aca="false">IF(OR($B1542="",$L1542="已完成"),"",IF(ISNUMBER($B1542),IF(设置!$B$6&lt;$B1542,"",(设置!$B$6-$B1542)*100000+ROW()),""))</f>
        <v/>
      </c>
      <c r="V1542" s="0" t="str">
        <f aca="false">IF(ISNUMBER($O1542),IF($O1542&gt;=2,IF(COUNTIFS($D1542:$D$2006,$D1542,$E1542:$E$2006,$E1542)=1,ROW(),""),""),"")</f>
        <v/>
      </c>
    </row>
    <row r="1543" customFormat="false" ht="15" hidden="false" customHeight="true" outlineLevel="0" collapsed="false">
      <c r="A1543" s="13" t="str">
        <f aca="false">IF(AND($B1543="",$D1543="",$E1543="",$F1543=""),"",IF(OR($B1543="",$D1543="",$E1543=""),"待补",IF($D1543="公共区域","公",IF($D1543="商铺","S",SUBSTITUTE($D1543,"栋","")))&amp;"-"&amp;$E1543&amp;"-"&amp;TEXT(MONTH($B1543),"00")&amp;TEXT(DAY($B1543),"00")&amp;IF(ISNUMBER($O1543),IF($O1543&gt;1,"-"&amp;TEXT($O1543,"00"),""),"")))</f>
        <v/>
      </c>
      <c r="B1543" s="14"/>
      <c r="C1543" s="10"/>
      <c r="D1543" s="10"/>
      <c r="E1543" s="10"/>
      <c r="F1543" s="16"/>
      <c r="G1543" s="10"/>
      <c r="H1543" s="10"/>
      <c r="I1543" s="10"/>
      <c r="J1543" s="10"/>
      <c r="K1543" s="10"/>
      <c r="L1543" s="10"/>
      <c r="M1543" s="14"/>
      <c r="N1543" s="17" t="str">
        <f aca="false">IF($B1543="","",IF($L1543="已完成",IF($M1543="","",$M1543-$B1543),IF(设置!$B$6&lt;$B1543,"",IF((设置!$B$6-$B1543)&gt;=设置!$B$5,"超期"&amp;(设置!$B$6-$B1543)&amp;"天","已等"&amp;(设置!$B$6-$B1543)&amp;"天"))))</f>
        <v/>
      </c>
      <c r="O1543" s="18" t="str">
        <f aca="false">IF(OR($D1543="",$E1543=""),"",COUNTIFS($D$7:$D1543,$D1543,$E$7:$E1543,$E1543))</f>
        <v/>
      </c>
      <c r="P1543" s="16"/>
      <c r="Q1543" s="19"/>
      <c r="R1543" s="10"/>
      <c r="S1543" s="16"/>
      <c r="T1543" s="0" t="str">
        <f aca="false">IF(OR($D1543="",单元查询!$B$3=""),"",IF($D1543&lt;&gt;单元查询!$B$3,"",IF(OR(单元查询!$D$3="",$E1543&amp;""=单元查询!$D$3&amp;""),IF(ISNUMBER($B1543),$B1543*10000,0)+ROW(),"")))</f>
        <v/>
      </c>
      <c r="U1543" s="0" t="str">
        <f aca="false">IF(OR($B1543="",$L1543="已完成"),"",IF(ISNUMBER($B1543),IF(设置!$B$6&lt;$B1543,"",(设置!$B$6-$B1543)*100000+ROW()),""))</f>
        <v/>
      </c>
      <c r="V1543" s="0" t="str">
        <f aca="false">IF(ISNUMBER($O1543),IF($O1543&gt;=2,IF(COUNTIFS($D1543:$D$2006,$D1543,$E1543:$E$2006,$E1543)=1,ROW(),""),""),"")</f>
        <v/>
      </c>
    </row>
    <row r="1544" customFormat="false" ht="15" hidden="false" customHeight="true" outlineLevel="0" collapsed="false">
      <c r="A1544" s="13" t="str">
        <f aca="false">IF(AND($B1544="",$D1544="",$E1544="",$F1544=""),"",IF(OR($B1544="",$D1544="",$E1544=""),"待补",IF($D1544="公共区域","公",IF($D1544="商铺","S",SUBSTITUTE($D1544,"栋","")))&amp;"-"&amp;$E1544&amp;"-"&amp;TEXT(MONTH($B1544),"00")&amp;TEXT(DAY($B1544),"00")&amp;IF(ISNUMBER($O1544),IF($O1544&gt;1,"-"&amp;TEXT($O1544,"00"),""),"")))</f>
        <v/>
      </c>
      <c r="B1544" s="14"/>
      <c r="C1544" s="10"/>
      <c r="D1544" s="10"/>
      <c r="E1544" s="10"/>
      <c r="F1544" s="16"/>
      <c r="G1544" s="10"/>
      <c r="H1544" s="10"/>
      <c r="I1544" s="10"/>
      <c r="J1544" s="10"/>
      <c r="K1544" s="10"/>
      <c r="L1544" s="10"/>
      <c r="M1544" s="14"/>
      <c r="N1544" s="17" t="str">
        <f aca="false">IF($B1544="","",IF($L1544="已完成",IF($M1544="","",$M1544-$B1544),IF(设置!$B$6&lt;$B1544,"",IF((设置!$B$6-$B1544)&gt;=设置!$B$5,"超期"&amp;(设置!$B$6-$B1544)&amp;"天","已等"&amp;(设置!$B$6-$B1544)&amp;"天"))))</f>
        <v/>
      </c>
      <c r="O1544" s="18" t="str">
        <f aca="false">IF(OR($D1544="",$E1544=""),"",COUNTIFS($D$7:$D1544,$D1544,$E$7:$E1544,$E1544))</f>
        <v/>
      </c>
      <c r="P1544" s="16"/>
      <c r="Q1544" s="19"/>
      <c r="R1544" s="10"/>
      <c r="S1544" s="16"/>
      <c r="T1544" s="0" t="str">
        <f aca="false">IF(OR($D1544="",单元查询!$B$3=""),"",IF($D1544&lt;&gt;单元查询!$B$3,"",IF(OR(单元查询!$D$3="",$E1544&amp;""=单元查询!$D$3&amp;""),IF(ISNUMBER($B1544),$B1544*10000,0)+ROW(),"")))</f>
        <v/>
      </c>
      <c r="U1544" s="0" t="str">
        <f aca="false">IF(OR($B1544="",$L1544="已完成"),"",IF(ISNUMBER($B1544),IF(设置!$B$6&lt;$B1544,"",(设置!$B$6-$B1544)*100000+ROW()),""))</f>
        <v/>
      </c>
      <c r="V1544" s="0" t="str">
        <f aca="false">IF(ISNUMBER($O1544),IF($O1544&gt;=2,IF(COUNTIFS($D1544:$D$2006,$D1544,$E1544:$E$2006,$E1544)=1,ROW(),""),""),"")</f>
        <v/>
      </c>
    </row>
    <row r="1545" customFormat="false" ht="15" hidden="false" customHeight="true" outlineLevel="0" collapsed="false">
      <c r="A1545" s="13" t="str">
        <f aca="false">IF(AND($B1545="",$D1545="",$E1545="",$F1545=""),"",IF(OR($B1545="",$D1545="",$E1545=""),"待补",IF($D1545="公共区域","公",IF($D1545="商铺","S",SUBSTITUTE($D1545,"栋","")))&amp;"-"&amp;$E1545&amp;"-"&amp;TEXT(MONTH($B1545),"00")&amp;TEXT(DAY($B1545),"00")&amp;IF(ISNUMBER($O1545),IF($O1545&gt;1,"-"&amp;TEXT($O1545,"00"),""),"")))</f>
        <v/>
      </c>
      <c r="B1545" s="14"/>
      <c r="C1545" s="10"/>
      <c r="D1545" s="10"/>
      <c r="E1545" s="10"/>
      <c r="F1545" s="16"/>
      <c r="G1545" s="10"/>
      <c r="H1545" s="10"/>
      <c r="I1545" s="10"/>
      <c r="J1545" s="10"/>
      <c r="K1545" s="10"/>
      <c r="L1545" s="10"/>
      <c r="M1545" s="14"/>
      <c r="N1545" s="17" t="str">
        <f aca="false">IF($B1545="","",IF($L1545="已完成",IF($M1545="","",$M1545-$B1545),IF(设置!$B$6&lt;$B1545,"",IF((设置!$B$6-$B1545)&gt;=设置!$B$5,"超期"&amp;(设置!$B$6-$B1545)&amp;"天","已等"&amp;(设置!$B$6-$B1545)&amp;"天"))))</f>
        <v/>
      </c>
      <c r="O1545" s="18" t="str">
        <f aca="false">IF(OR($D1545="",$E1545=""),"",COUNTIFS($D$7:$D1545,$D1545,$E$7:$E1545,$E1545))</f>
        <v/>
      </c>
      <c r="P1545" s="16"/>
      <c r="Q1545" s="19"/>
      <c r="R1545" s="10"/>
      <c r="S1545" s="16"/>
      <c r="T1545" s="0" t="str">
        <f aca="false">IF(OR($D1545="",单元查询!$B$3=""),"",IF($D1545&lt;&gt;单元查询!$B$3,"",IF(OR(单元查询!$D$3="",$E1545&amp;""=单元查询!$D$3&amp;""),IF(ISNUMBER($B1545),$B1545*10000,0)+ROW(),"")))</f>
        <v/>
      </c>
      <c r="U1545" s="0" t="str">
        <f aca="false">IF(OR($B1545="",$L1545="已完成"),"",IF(ISNUMBER($B1545),IF(设置!$B$6&lt;$B1545,"",(设置!$B$6-$B1545)*100000+ROW()),""))</f>
        <v/>
      </c>
      <c r="V1545" s="0" t="str">
        <f aca="false">IF(ISNUMBER($O1545),IF($O1545&gt;=2,IF(COUNTIFS($D1545:$D$2006,$D1545,$E1545:$E$2006,$E1545)=1,ROW(),""),""),"")</f>
        <v/>
      </c>
    </row>
    <row r="1546" customFormat="false" ht="15" hidden="false" customHeight="true" outlineLevel="0" collapsed="false">
      <c r="A1546" s="13" t="str">
        <f aca="false">IF(AND($B1546="",$D1546="",$E1546="",$F1546=""),"",IF(OR($B1546="",$D1546="",$E1546=""),"待补",IF($D1546="公共区域","公",IF($D1546="商铺","S",SUBSTITUTE($D1546,"栋","")))&amp;"-"&amp;$E1546&amp;"-"&amp;TEXT(MONTH($B1546),"00")&amp;TEXT(DAY($B1546),"00")&amp;IF(ISNUMBER($O1546),IF($O1546&gt;1,"-"&amp;TEXT($O1546,"00"),""),"")))</f>
        <v/>
      </c>
      <c r="B1546" s="14"/>
      <c r="C1546" s="10"/>
      <c r="D1546" s="10"/>
      <c r="E1546" s="10"/>
      <c r="F1546" s="16"/>
      <c r="G1546" s="10"/>
      <c r="H1546" s="10"/>
      <c r="I1546" s="10"/>
      <c r="J1546" s="10"/>
      <c r="K1546" s="10"/>
      <c r="L1546" s="10"/>
      <c r="M1546" s="14"/>
      <c r="N1546" s="17" t="str">
        <f aca="false">IF($B1546="","",IF($L1546="已完成",IF($M1546="","",$M1546-$B1546),IF(设置!$B$6&lt;$B1546,"",IF((设置!$B$6-$B1546)&gt;=设置!$B$5,"超期"&amp;(设置!$B$6-$B1546)&amp;"天","已等"&amp;(设置!$B$6-$B1546)&amp;"天"))))</f>
        <v/>
      </c>
      <c r="O1546" s="18" t="str">
        <f aca="false">IF(OR($D1546="",$E1546=""),"",COUNTIFS($D$7:$D1546,$D1546,$E$7:$E1546,$E1546))</f>
        <v/>
      </c>
      <c r="P1546" s="16"/>
      <c r="Q1546" s="19"/>
      <c r="R1546" s="10"/>
      <c r="S1546" s="16"/>
      <c r="T1546" s="0" t="str">
        <f aca="false">IF(OR($D1546="",单元查询!$B$3=""),"",IF($D1546&lt;&gt;单元查询!$B$3,"",IF(OR(单元查询!$D$3="",$E1546&amp;""=单元查询!$D$3&amp;""),IF(ISNUMBER($B1546),$B1546*10000,0)+ROW(),"")))</f>
        <v/>
      </c>
      <c r="U1546" s="0" t="str">
        <f aca="false">IF(OR($B1546="",$L1546="已完成"),"",IF(ISNUMBER($B1546),IF(设置!$B$6&lt;$B1546,"",(设置!$B$6-$B1546)*100000+ROW()),""))</f>
        <v/>
      </c>
      <c r="V1546" s="0" t="str">
        <f aca="false">IF(ISNUMBER($O1546),IF($O1546&gt;=2,IF(COUNTIFS($D1546:$D$2006,$D1546,$E1546:$E$2006,$E1546)=1,ROW(),""),""),"")</f>
        <v/>
      </c>
    </row>
    <row r="1547" customFormat="false" ht="15" hidden="false" customHeight="true" outlineLevel="0" collapsed="false">
      <c r="A1547" s="13" t="str">
        <f aca="false">IF(AND($B1547="",$D1547="",$E1547="",$F1547=""),"",IF(OR($B1547="",$D1547="",$E1547=""),"待补",IF($D1547="公共区域","公",IF($D1547="商铺","S",SUBSTITUTE($D1547,"栋","")))&amp;"-"&amp;$E1547&amp;"-"&amp;TEXT(MONTH($B1547),"00")&amp;TEXT(DAY($B1547),"00")&amp;IF(ISNUMBER($O1547),IF($O1547&gt;1,"-"&amp;TEXT($O1547,"00"),""),"")))</f>
        <v/>
      </c>
      <c r="B1547" s="14"/>
      <c r="C1547" s="10"/>
      <c r="D1547" s="10"/>
      <c r="E1547" s="10"/>
      <c r="F1547" s="16"/>
      <c r="G1547" s="10"/>
      <c r="H1547" s="10"/>
      <c r="I1547" s="10"/>
      <c r="J1547" s="10"/>
      <c r="K1547" s="10"/>
      <c r="L1547" s="10"/>
      <c r="M1547" s="14"/>
      <c r="N1547" s="17" t="str">
        <f aca="false">IF($B1547="","",IF($L1547="已完成",IF($M1547="","",$M1547-$B1547),IF(设置!$B$6&lt;$B1547,"",IF((设置!$B$6-$B1547)&gt;=设置!$B$5,"超期"&amp;(设置!$B$6-$B1547)&amp;"天","已等"&amp;(设置!$B$6-$B1547)&amp;"天"))))</f>
        <v/>
      </c>
      <c r="O1547" s="18" t="str">
        <f aca="false">IF(OR($D1547="",$E1547=""),"",COUNTIFS($D$7:$D1547,$D1547,$E$7:$E1547,$E1547))</f>
        <v/>
      </c>
      <c r="P1547" s="16"/>
      <c r="Q1547" s="19"/>
      <c r="R1547" s="10"/>
      <c r="S1547" s="16"/>
      <c r="T1547" s="0" t="str">
        <f aca="false">IF(OR($D1547="",单元查询!$B$3=""),"",IF($D1547&lt;&gt;单元查询!$B$3,"",IF(OR(单元查询!$D$3="",$E1547&amp;""=单元查询!$D$3&amp;""),IF(ISNUMBER($B1547),$B1547*10000,0)+ROW(),"")))</f>
        <v/>
      </c>
      <c r="U1547" s="0" t="str">
        <f aca="false">IF(OR($B1547="",$L1547="已完成"),"",IF(ISNUMBER($B1547),IF(设置!$B$6&lt;$B1547,"",(设置!$B$6-$B1547)*100000+ROW()),""))</f>
        <v/>
      </c>
      <c r="V1547" s="0" t="str">
        <f aca="false">IF(ISNUMBER($O1547),IF($O1547&gt;=2,IF(COUNTIFS($D1547:$D$2006,$D1547,$E1547:$E$2006,$E1547)=1,ROW(),""),""),"")</f>
        <v/>
      </c>
    </row>
    <row r="1548" customFormat="false" ht="15" hidden="false" customHeight="true" outlineLevel="0" collapsed="false">
      <c r="A1548" s="13" t="str">
        <f aca="false">IF(AND($B1548="",$D1548="",$E1548="",$F1548=""),"",IF(OR($B1548="",$D1548="",$E1548=""),"待补",IF($D1548="公共区域","公",IF($D1548="商铺","S",SUBSTITUTE($D1548,"栋","")))&amp;"-"&amp;$E1548&amp;"-"&amp;TEXT(MONTH($B1548),"00")&amp;TEXT(DAY($B1548),"00")&amp;IF(ISNUMBER($O1548),IF($O1548&gt;1,"-"&amp;TEXT($O1548,"00"),""),"")))</f>
        <v/>
      </c>
      <c r="B1548" s="14"/>
      <c r="C1548" s="10"/>
      <c r="D1548" s="10"/>
      <c r="E1548" s="10"/>
      <c r="F1548" s="16"/>
      <c r="G1548" s="10"/>
      <c r="H1548" s="10"/>
      <c r="I1548" s="10"/>
      <c r="J1548" s="10"/>
      <c r="K1548" s="10"/>
      <c r="L1548" s="10"/>
      <c r="M1548" s="14"/>
      <c r="N1548" s="17" t="str">
        <f aca="false">IF($B1548="","",IF($L1548="已完成",IF($M1548="","",$M1548-$B1548),IF(设置!$B$6&lt;$B1548,"",IF((设置!$B$6-$B1548)&gt;=设置!$B$5,"超期"&amp;(设置!$B$6-$B1548)&amp;"天","已等"&amp;(设置!$B$6-$B1548)&amp;"天"))))</f>
        <v/>
      </c>
      <c r="O1548" s="18" t="str">
        <f aca="false">IF(OR($D1548="",$E1548=""),"",COUNTIFS($D$7:$D1548,$D1548,$E$7:$E1548,$E1548))</f>
        <v/>
      </c>
      <c r="P1548" s="16"/>
      <c r="Q1548" s="19"/>
      <c r="R1548" s="10"/>
      <c r="S1548" s="16"/>
      <c r="T1548" s="0" t="str">
        <f aca="false">IF(OR($D1548="",单元查询!$B$3=""),"",IF($D1548&lt;&gt;单元查询!$B$3,"",IF(OR(单元查询!$D$3="",$E1548&amp;""=单元查询!$D$3&amp;""),IF(ISNUMBER($B1548),$B1548*10000,0)+ROW(),"")))</f>
        <v/>
      </c>
      <c r="U1548" s="0" t="str">
        <f aca="false">IF(OR($B1548="",$L1548="已完成"),"",IF(ISNUMBER($B1548),IF(设置!$B$6&lt;$B1548,"",(设置!$B$6-$B1548)*100000+ROW()),""))</f>
        <v/>
      </c>
      <c r="V1548" s="0" t="str">
        <f aca="false">IF(ISNUMBER($O1548),IF($O1548&gt;=2,IF(COUNTIFS($D1548:$D$2006,$D1548,$E1548:$E$2006,$E1548)=1,ROW(),""),""),"")</f>
        <v/>
      </c>
    </row>
    <row r="1549" customFormat="false" ht="15" hidden="false" customHeight="true" outlineLevel="0" collapsed="false">
      <c r="A1549" s="13" t="str">
        <f aca="false">IF(AND($B1549="",$D1549="",$E1549="",$F1549=""),"",IF(OR($B1549="",$D1549="",$E1549=""),"待补",IF($D1549="公共区域","公",IF($D1549="商铺","S",SUBSTITUTE($D1549,"栋","")))&amp;"-"&amp;$E1549&amp;"-"&amp;TEXT(MONTH($B1549),"00")&amp;TEXT(DAY($B1549),"00")&amp;IF(ISNUMBER($O1549),IF($O1549&gt;1,"-"&amp;TEXT($O1549,"00"),""),"")))</f>
        <v/>
      </c>
      <c r="B1549" s="14"/>
      <c r="C1549" s="10"/>
      <c r="D1549" s="10"/>
      <c r="E1549" s="10"/>
      <c r="F1549" s="16"/>
      <c r="G1549" s="10"/>
      <c r="H1549" s="10"/>
      <c r="I1549" s="10"/>
      <c r="J1549" s="10"/>
      <c r="K1549" s="10"/>
      <c r="L1549" s="10"/>
      <c r="M1549" s="14"/>
      <c r="N1549" s="17" t="str">
        <f aca="false">IF($B1549="","",IF($L1549="已完成",IF($M1549="","",$M1549-$B1549),IF(设置!$B$6&lt;$B1549,"",IF((设置!$B$6-$B1549)&gt;=设置!$B$5,"超期"&amp;(设置!$B$6-$B1549)&amp;"天","已等"&amp;(设置!$B$6-$B1549)&amp;"天"))))</f>
        <v/>
      </c>
      <c r="O1549" s="18" t="str">
        <f aca="false">IF(OR($D1549="",$E1549=""),"",COUNTIFS($D$7:$D1549,$D1549,$E$7:$E1549,$E1549))</f>
        <v/>
      </c>
      <c r="P1549" s="16"/>
      <c r="Q1549" s="19"/>
      <c r="R1549" s="10"/>
      <c r="S1549" s="16"/>
      <c r="T1549" s="0" t="str">
        <f aca="false">IF(OR($D1549="",单元查询!$B$3=""),"",IF($D1549&lt;&gt;单元查询!$B$3,"",IF(OR(单元查询!$D$3="",$E1549&amp;""=单元查询!$D$3&amp;""),IF(ISNUMBER($B1549),$B1549*10000,0)+ROW(),"")))</f>
        <v/>
      </c>
      <c r="U1549" s="0" t="str">
        <f aca="false">IF(OR($B1549="",$L1549="已完成"),"",IF(ISNUMBER($B1549),IF(设置!$B$6&lt;$B1549,"",(设置!$B$6-$B1549)*100000+ROW()),""))</f>
        <v/>
      </c>
      <c r="V1549" s="0" t="str">
        <f aca="false">IF(ISNUMBER($O1549),IF($O1549&gt;=2,IF(COUNTIFS($D1549:$D$2006,$D1549,$E1549:$E$2006,$E1549)=1,ROW(),""),""),"")</f>
        <v/>
      </c>
    </row>
    <row r="1550" customFormat="false" ht="15" hidden="false" customHeight="true" outlineLevel="0" collapsed="false">
      <c r="A1550" s="13" t="str">
        <f aca="false">IF(AND($B1550="",$D1550="",$E1550="",$F1550=""),"",IF(OR($B1550="",$D1550="",$E1550=""),"待补",IF($D1550="公共区域","公",IF($D1550="商铺","S",SUBSTITUTE($D1550,"栋","")))&amp;"-"&amp;$E1550&amp;"-"&amp;TEXT(MONTH($B1550),"00")&amp;TEXT(DAY($B1550),"00")&amp;IF(ISNUMBER($O1550),IF($O1550&gt;1,"-"&amp;TEXT($O1550,"00"),""),"")))</f>
        <v/>
      </c>
      <c r="B1550" s="14"/>
      <c r="C1550" s="10"/>
      <c r="D1550" s="10"/>
      <c r="E1550" s="10"/>
      <c r="F1550" s="16"/>
      <c r="G1550" s="10"/>
      <c r="H1550" s="10"/>
      <c r="I1550" s="10"/>
      <c r="J1550" s="10"/>
      <c r="K1550" s="10"/>
      <c r="L1550" s="10"/>
      <c r="M1550" s="14"/>
      <c r="N1550" s="17" t="str">
        <f aca="false">IF($B1550="","",IF($L1550="已完成",IF($M1550="","",$M1550-$B1550),IF(设置!$B$6&lt;$B1550,"",IF((设置!$B$6-$B1550)&gt;=设置!$B$5,"超期"&amp;(设置!$B$6-$B1550)&amp;"天","已等"&amp;(设置!$B$6-$B1550)&amp;"天"))))</f>
        <v/>
      </c>
      <c r="O1550" s="18" t="str">
        <f aca="false">IF(OR($D1550="",$E1550=""),"",COUNTIFS($D$7:$D1550,$D1550,$E$7:$E1550,$E1550))</f>
        <v/>
      </c>
      <c r="P1550" s="16"/>
      <c r="Q1550" s="19"/>
      <c r="R1550" s="10"/>
      <c r="S1550" s="16"/>
      <c r="T1550" s="0" t="str">
        <f aca="false">IF(OR($D1550="",单元查询!$B$3=""),"",IF($D1550&lt;&gt;单元查询!$B$3,"",IF(OR(单元查询!$D$3="",$E1550&amp;""=单元查询!$D$3&amp;""),IF(ISNUMBER($B1550),$B1550*10000,0)+ROW(),"")))</f>
        <v/>
      </c>
      <c r="U1550" s="0" t="str">
        <f aca="false">IF(OR($B1550="",$L1550="已完成"),"",IF(ISNUMBER($B1550),IF(设置!$B$6&lt;$B1550,"",(设置!$B$6-$B1550)*100000+ROW()),""))</f>
        <v/>
      </c>
      <c r="V1550" s="0" t="str">
        <f aca="false">IF(ISNUMBER($O1550),IF($O1550&gt;=2,IF(COUNTIFS($D1550:$D$2006,$D1550,$E1550:$E$2006,$E1550)=1,ROW(),""),""),"")</f>
        <v/>
      </c>
    </row>
    <row r="1551" customFormat="false" ht="15" hidden="false" customHeight="true" outlineLevel="0" collapsed="false">
      <c r="A1551" s="13" t="str">
        <f aca="false">IF(AND($B1551="",$D1551="",$E1551="",$F1551=""),"",IF(OR($B1551="",$D1551="",$E1551=""),"待补",IF($D1551="公共区域","公",IF($D1551="商铺","S",SUBSTITUTE($D1551,"栋","")))&amp;"-"&amp;$E1551&amp;"-"&amp;TEXT(MONTH($B1551),"00")&amp;TEXT(DAY($B1551),"00")&amp;IF(ISNUMBER($O1551),IF($O1551&gt;1,"-"&amp;TEXT($O1551,"00"),""),"")))</f>
        <v/>
      </c>
      <c r="B1551" s="14"/>
      <c r="C1551" s="10"/>
      <c r="D1551" s="10"/>
      <c r="E1551" s="10"/>
      <c r="F1551" s="16"/>
      <c r="G1551" s="10"/>
      <c r="H1551" s="10"/>
      <c r="I1551" s="10"/>
      <c r="J1551" s="10"/>
      <c r="K1551" s="10"/>
      <c r="L1551" s="10"/>
      <c r="M1551" s="14"/>
      <c r="N1551" s="17" t="str">
        <f aca="false">IF($B1551="","",IF($L1551="已完成",IF($M1551="","",$M1551-$B1551),IF(设置!$B$6&lt;$B1551,"",IF((设置!$B$6-$B1551)&gt;=设置!$B$5,"超期"&amp;(设置!$B$6-$B1551)&amp;"天","已等"&amp;(设置!$B$6-$B1551)&amp;"天"))))</f>
        <v/>
      </c>
      <c r="O1551" s="18" t="str">
        <f aca="false">IF(OR($D1551="",$E1551=""),"",COUNTIFS($D$7:$D1551,$D1551,$E$7:$E1551,$E1551))</f>
        <v/>
      </c>
      <c r="P1551" s="16"/>
      <c r="Q1551" s="19"/>
      <c r="R1551" s="10"/>
      <c r="S1551" s="16"/>
      <c r="T1551" s="0" t="str">
        <f aca="false">IF(OR($D1551="",单元查询!$B$3=""),"",IF($D1551&lt;&gt;单元查询!$B$3,"",IF(OR(单元查询!$D$3="",$E1551&amp;""=单元查询!$D$3&amp;""),IF(ISNUMBER($B1551),$B1551*10000,0)+ROW(),"")))</f>
        <v/>
      </c>
      <c r="U1551" s="0" t="str">
        <f aca="false">IF(OR($B1551="",$L1551="已完成"),"",IF(ISNUMBER($B1551),IF(设置!$B$6&lt;$B1551,"",(设置!$B$6-$B1551)*100000+ROW()),""))</f>
        <v/>
      </c>
      <c r="V1551" s="0" t="str">
        <f aca="false">IF(ISNUMBER($O1551),IF($O1551&gt;=2,IF(COUNTIFS($D1551:$D$2006,$D1551,$E1551:$E$2006,$E1551)=1,ROW(),""),""),"")</f>
        <v/>
      </c>
    </row>
    <row r="1552" customFormat="false" ht="15" hidden="false" customHeight="true" outlineLevel="0" collapsed="false">
      <c r="A1552" s="13" t="str">
        <f aca="false">IF(AND($B1552="",$D1552="",$E1552="",$F1552=""),"",IF(OR($B1552="",$D1552="",$E1552=""),"待补",IF($D1552="公共区域","公",IF($D1552="商铺","S",SUBSTITUTE($D1552,"栋","")))&amp;"-"&amp;$E1552&amp;"-"&amp;TEXT(MONTH($B1552),"00")&amp;TEXT(DAY($B1552),"00")&amp;IF(ISNUMBER($O1552),IF($O1552&gt;1,"-"&amp;TEXT($O1552,"00"),""),"")))</f>
        <v/>
      </c>
      <c r="B1552" s="14"/>
      <c r="C1552" s="10"/>
      <c r="D1552" s="10"/>
      <c r="E1552" s="10"/>
      <c r="F1552" s="16"/>
      <c r="G1552" s="10"/>
      <c r="H1552" s="10"/>
      <c r="I1552" s="10"/>
      <c r="J1552" s="10"/>
      <c r="K1552" s="10"/>
      <c r="L1552" s="10"/>
      <c r="M1552" s="14"/>
      <c r="N1552" s="17" t="str">
        <f aca="false">IF($B1552="","",IF($L1552="已完成",IF($M1552="","",$M1552-$B1552),IF(设置!$B$6&lt;$B1552,"",IF((设置!$B$6-$B1552)&gt;=设置!$B$5,"超期"&amp;(设置!$B$6-$B1552)&amp;"天","已等"&amp;(设置!$B$6-$B1552)&amp;"天"))))</f>
        <v/>
      </c>
      <c r="O1552" s="18" t="str">
        <f aca="false">IF(OR($D1552="",$E1552=""),"",COUNTIFS($D$7:$D1552,$D1552,$E$7:$E1552,$E1552))</f>
        <v/>
      </c>
      <c r="P1552" s="16"/>
      <c r="Q1552" s="19"/>
      <c r="R1552" s="10"/>
      <c r="S1552" s="16"/>
      <c r="T1552" s="0" t="str">
        <f aca="false">IF(OR($D1552="",单元查询!$B$3=""),"",IF($D1552&lt;&gt;单元查询!$B$3,"",IF(OR(单元查询!$D$3="",$E1552&amp;""=单元查询!$D$3&amp;""),IF(ISNUMBER($B1552),$B1552*10000,0)+ROW(),"")))</f>
        <v/>
      </c>
      <c r="U1552" s="0" t="str">
        <f aca="false">IF(OR($B1552="",$L1552="已完成"),"",IF(ISNUMBER($B1552),IF(设置!$B$6&lt;$B1552,"",(设置!$B$6-$B1552)*100000+ROW()),""))</f>
        <v/>
      </c>
      <c r="V1552" s="0" t="str">
        <f aca="false">IF(ISNUMBER($O1552),IF($O1552&gt;=2,IF(COUNTIFS($D1552:$D$2006,$D1552,$E1552:$E$2006,$E1552)=1,ROW(),""),""),"")</f>
        <v/>
      </c>
    </row>
    <row r="1553" customFormat="false" ht="15" hidden="false" customHeight="true" outlineLevel="0" collapsed="false">
      <c r="A1553" s="13" t="str">
        <f aca="false">IF(AND($B1553="",$D1553="",$E1553="",$F1553=""),"",IF(OR($B1553="",$D1553="",$E1553=""),"待补",IF($D1553="公共区域","公",IF($D1553="商铺","S",SUBSTITUTE($D1553,"栋","")))&amp;"-"&amp;$E1553&amp;"-"&amp;TEXT(MONTH($B1553),"00")&amp;TEXT(DAY($B1553),"00")&amp;IF(ISNUMBER($O1553),IF($O1553&gt;1,"-"&amp;TEXT($O1553,"00"),""),"")))</f>
        <v/>
      </c>
      <c r="B1553" s="14"/>
      <c r="C1553" s="10"/>
      <c r="D1553" s="10"/>
      <c r="E1553" s="10"/>
      <c r="F1553" s="16"/>
      <c r="G1553" s="10"/>
      <c r="H1553" s="10"/>
      <c r="I1553" s="10"/>
      <c r="J1553" s="10"/>
      <c r="K1553" s="10"/>
      <c r="L1553" s="10"/>
      <c r="M1553" s="14"/>
      <c r="N1553" s="17" t="str">
        <f aca="false">IF($B1553="","",IF($L1553="已完成",IF($M1553="","",$M1553-$B1553),IF(设置!$B$6&lt;$B1553,"",IF((设置!$B$6-$B1553)&gt;=设置!$B$5,"超期"&amp;(设置!$B$6-$B1553)&amp;"天","已等"&amp;(设置!$B$6-$B1553)&amp;"天"))))</f>
        <v/>
      </c>
      <c r="O1553" s="18" t="str">
        <f aca="false">IF(OR($D1553="",$E1553=""),"",COUNTIFS($D$7:$D1553,$D1553,$E$7:$E1553,$E1553))</f>
        <v/>
      </c>
      <c r="P1553" s="16"/>
      <c r="Q1553" s="19"/>
      <c r="R1553" s="10"/>
      <c r="S1553" s="16"/>
      <c r="T1553" s="0" t="str">
        <f aca="false">IF(OR($D1553="",单元查询!$B$3=""),"",IF($D1553&lt;&gt;单元查询!$B$3,"",IF(OR(单元查询!$D$3="",$E1553&amp;""=单元查询!$D$3&amp;""),IF(ISNUMBER($B1553),$B1553*10000,0)+ROW(),"")))</f>
        <v/>
      </c>
      <c r="U1553" s="0" t="str">
        <f aca="false">IF(OR($B1553="",$L1553="已完成"),"",IF(ISNUMBER($B1553),IF(设置!$B$6&lt;$B1553,"",(设置!$B$6-$B1553)*100000+ROW()),""))</f>
        <v/>
      </c>
      <c r="V1553" s="0" t="str">
        <f aca="false">IF(ISNUMBER($O1553),IF($O1553&gt;=2,IF(COUNTIFS($D1553:$D$2006,$D1553,$E1553:$E$2006,$E1553)=1,ROW(),""),""),"")</f>
        <v/>
      </c>
    </row>
    <row r="1554" customFormat="false" ht="15" hidden="false" customHeight="true" outlineLevel="0" collapsed="false">
      <c r="A1554" s="13" t="str">
        <f aca="false">IF(AND($B1554="",$D1554="",$E1554="",$F1554=""),"",IF(OR($B1554="",$D1554="",$E1554=""),"待补",IF($D1554="公共区域","公",IF($D1554="商铺","S",SUBSTITUTE($D1554,"栋","")))&amp;"-"&amp;$E1554&amp;"-"&amp;TEXT(MONTH($B1554),"00")&amp;TEXT(DAY($B1554),"00")&amp;IF(ISNUMBER($O1554),IF($O1554&gt;1,"-"&amp;TEXT($O1554,"00"),""),"")))</f>
        <v/>
      </c>
      <c r="B1554" s="14"/>
      <c r="C1554" s="10"/>
      <c r="D1554" s="10"/>
      <c r="E1554" s="10"/>
      <c r="F1554" s="16"/>
      <c r="G1554" s="10"/>
      <c r="H1554" s="10"/>
      <c r="I1554" s="10"/>
      <c r="J1554" s="10"/>
      <c r="K1554" s="10"/>
      <c r="L1554" s="10"/>
      <c r="M1554" s="14"/>
      <c r="N1554" s="17" t="str">
        <f aca="false">IF($B1554="","",IF($L1554="已完成",IF($M1554="","",$M1554-$B1554),IF(设置!$B$6&lt;$B1554,"",IF((设置!$B$6-$B1554)&gt;=设置!$B$5,"超期"&amp;(设置!$B$6-$B1554)&amp;"天","已等"&amp;(设置!$B$6-$B1554)&amp;"天"))))</f>
        <v/>
      </c>
      <c r="O1554" s="18" t="str">
        <f aca="false">IF(OR($D1554="",$E1554=""),"",COUNTIFS($D$7:$D1554,$D1554,$E$7:$E1554,$E1554))</f>
        <v/>
      </c>
      <c r="P1554" s="16"/>
      <c r="Q1554" s="19"/>
      <c r="R1554" s="10"/>
      <c r="S1554" s="16"/>
      <c r="T1554" s="0" t="str">
        <f aca="false">IF(OR($D1554="",单元查询!$B$3=""),"",IF($D1554&lt;&gt;单元查询!$B$3,"",IF(OR(单元查询!$D$3="",$E1554&amp;""=单元查询!$D$3&amp;""),IF(ISNUMBER($B1554),$B1554*10000,0)+ROW(),"")))</f>
        <v/>
      </c>
      <c r="U1554" s="0" t="str">
        <f aca="false">IF(OR($B1554="",$L1554="已完成"),"",IF(ISNUMBER($B1554),IF(设置!$B$6&lt;$B1554,"",(设置!$B$6-$B1554)*100000+ROW()),""))</f>
        <v/>
      </c>
      <c r="V1554" s="0" t="str">
        <f aca="false">IF(ISNUMBER($O1554),IF($O1554&gt;=2,IF(COUNTIFS($D1554:$D$2006,$D1554,$E1554:$E$2006,$E1554)=1,ROW(),""),""),"")</f>
        <v/>
      </c>
    </row>
    <row r="1555" customFormat="false" ht="15" hidden="false" customHeight="true" outlineLevel="0" collapsed="false">
      <c r="A1555" s="13" t="str">
        <f aca="false">IF(AND($B1555="",$D1555="",$E1555="",$F1555=""),"",IF(OR($B1555="",$D1555="",$E1555=""),"待补",IF($D1555="公共区域","公",IF($D1555="商铺","S",SUBSTITUTE($D1555,"栋","")))&amp;"-"&amp;$E1555&amp;"-"&amp;TEXT(MONTH($B1555),"00")&amp;TEXT(DAY($B1555),"00")&amp;IF(ISNUMBER($O1555),IF($O1555&gt;1,"-"&amp;TEXT($O1555,"00"),""),"")))</f>
        <v/>
      </c>
      <c r="B1555" s="14"/>
      <c r="C1555" s="10"/>
      <c r="D1555" s="10"/>
      <c r="E1555" s="10"/>
      <c r="F1555" s="16"/>
      <c r="G1555" s="10"/>
      <c r="H1555" s="10"/>
      <c r="I1555" s="10"/>
      <c r="J1555" s="10"/>
      <c r="K1555" s="10"/>
      <c r="L1555" s="10"/>
      <c r="M1555" s="14"/>
      <c r="N1555" s="17" t="str">
        <f aca="false">IF($B1555="","",IF($L1555="已完成",IF($M1555="","",$M1555-$B1555),IF(设置!$B$6&lt;$B1555,"",IF((设置!$B$6-$B1555)&gt;=设置!$B$5,"超期"&amp;(设置!$B$6-$B1555)&amp;"天","已等"&amp;(设置!$B$6-$B1555)&amp;"天"))))</f>
        <v/>
      </c>
      <c r="O1555" s="18" t="str">
        <f aca="false">IF(OR($D1555="",$E1555=""),"",COUNTIFS($D$7:$D1555,$D1555,$E$7:$E1555,$E1555))</f>
        <v/>
      </c>
      <c r="P1555" s="16"/>
      <c r="Q1555" s="19"/>
      <c r="R1555" s="10"/>
      <c r="S1555" s="16"/>
      <c r="T1555" s="0" t="str">
        <f aca="false">IF(OR($D1555="",单元查询!$B$3=""),"",IF($D1555&lt;&gt;单元查询!$B$3,"",IF(OR(单元查询!$D$3="",$E1555&amp;""=单元查询!$D$3&amp;""),IF(ISNUMBER($B1555),$B1555*10000,0)+ROW(),"")))</f>
        <v/>
      </c>
      <c r="U1555" s="0" t="str">
        <f aca="false">IF(OR($B1555="",$L1555="已完成"),"",IF(ISNUMBER($B1555),IF(设置!$B$6&lt;$B1555,"",(设置!$B$6-$B1555)*100000+ROW()),""))</f>
        <v/>
      </c>
      <c r="V1555" s="0" t="str">
        <f aca="false">IF(ISNUMBER($O1555),IF($O1555&gt;=2,IF(COUNTIFS($D1555:$D$2006,$D1555,$E1555:$E$2006,$E1555)=1,ROW(),""),""),"")</f>
        <v/>
      </c>
    </row>
    <row r="1556" customFormat="false" ht="15" hidden="false" customHeight="true" outlineLevel="0" collapsed="false">
      <c r="A1556" s="13" t="str">
        <f aca="false">IF(AND($B1556="",$D1556="",$E1556="",$F1556=""),"",IF(OR($B1556="",$D1556="",$E1556=""),"待补",IF($D1556="公共区域","公",IF($D1556="商铺","S",SUBSTITUTE($D1556,"栋","")))&amp;"-"&amp;$E1556&amp;"-"&amp;TEXT(MONTH($B1556),"00")&amp;TEXT(DAY($B1556),"00")&amp;IF(ISNUMBER($O1556),IF($O1556&gt;1,"-"&amp;TEXT($O1556,"00"),""),"")))</f>
        <v/>
      </c>
      <c r="B1556" s="14"/>
      <c r="C1556" s="10"/>
      <c r="D1556" s="10"/>
      <c r="E1556" s="10"/>
      <c r="F1556" s="16"/>
      <c r="G1556" s="10"/>
      <c r="H1556" s="10"/>
      <c r="I1556" s="10"/>
      <c r="J1556" s="10"/>
      <c r="K1556" s="10"/>
      <c r="L1556" s="10"/>
      <c r="M1556" s="14"/>
      <c r="N1556" s="17" t="str">
        <f aca="false">IF($B1556="","",IF($L1556="已完成",IF($M1556="","",$M1556-$B1556),IF(设置!$B$6&lt;$B1556,"",IF((设置!$B$6-$B1556)&gt;=设置!$B$5,"超期"&amp;(设置!$B$6-$B1556)&amp;"天","已等"&amp;(设置!$B$6-$B1556)&amp;"天"))))</f>
        <v/>
      </c>
      <c r="O1556" s="18" t="str">
        <f aca="false">IF(OR($D1556="",$E1556=""),"",COUNTIFS($D$7:$D1556,$D1556,$E$7:$E1556,$E1556))</f>
        <v/>
      </c>
      <c r="P1556" s="16"/>
      <c r="Q1556" s="19"/>
      <c r="R1556" s="10"/>
      <c r="S1556" s="16"/>
      <c r="T1556" s="0" t="str">
        <f aca="false">IF(OR($D1556="",单元查询!$B$3=""),"",IF($D1556&lt;&gt;单元查询!$B$3,"",IF(OR(单元查询!$D$3="",$E1556&amp;""=单元查询!$D$3&amp;""),IF(ISNUMBER($B1556),$B1556*10000,0)+ROW(),"")))</f>
        <v/>
      </c>
      <c r="U1556" s="0" t="str">
        <f aca="false">IF(OR($B1556="",$L1556="已完成"),"",IF(ISNUMBER($B1556),IF(设置!$B$6&lt;$B1556,"",(设置!$B$6-$B1556)*100000+ROW()),""))</f>
        <v/>
      </c>
      <c r="V1556" s="0" t="str">
        <f aca="false">IF(ISNUMBER($O1556),IF($O1556&gt;=2,IF(COUNTIFS($D1556:$D$2006,$D1556,$E1556:$E$2006,$E1556)=1,ROW(),""),""),"")</f>
        <v/>
      </c>
    </row>
    <row r="1557" customFormat="false" ht="15" hidden="false" customHeight="true" outlineLevel="0" collapsed="false">
      <c r="A1557" s="13" t="str">
        <f aca="false">IF(AND($B1557="",$D1557="",$E1557="",$F1557=""),"",IF(OR($B1557="",$D1557="",$E1557=""),"待补",IF($D1557="公共区域","公",IF($D1557="商铺","S",SUBSTITUTE($D1557,"栋","")))&amp;"-"&amp;$E1557&amp;"-"&amp;TEXT(MONTH($B1557),"00")&amp;TEXT(DAY($B1557),"00")&amp;IF(ISNUMBER($O1557),IF($O1557&gt;1,"-"&amp;TEXT($O1557,"00"),""),"")))</f>
        <v/>
      </c>
      <c r="B1557" s="14"/>
      <c r="C1557" s="10"/>
      <c r="D1557" s="10"/>
      <c r="E1557" s="10"/>
      <c r="F1557" s="16"/>
      <c r="G1557" s="10"/>
      <c r="H1557" s="10"/>
      <c r="I1557" s="10"/>
      <c r="J1557" s="10"/>
      <c r="K1557" s="10"/>
      <c r="L1557" s="10"/>
      <c r="M1557" s="14"/>
      <c r="N1557" s="17" t="str">
        <f aca="false">IF($B1557="","",IF($L1557="已完成",IF($M1557="","",$M1557-$B1557),IF(设置!$B$6&lt;$B1557,"",IF((设置!$B$6-$B1557)&gt;=设置!$B$5,"超期"&amp;(设置!$B$6-$B1557)&amp;"天","已等"&amp;(设置!$B$6-$B1557)&amp;"天"))))</f>
        <v/>
      </c>
      <c r="O1557" s="18" t="str">
        <f aca="false">IF(OR($D1557="",$E1557=""),"",COUNTIFS($D$7:$D1557,$D1557,$E$7:$E1557,$E1557))</f>
        <v/>
      </c>
      <c r="P1557" s="16"/>
      <c r="Q1557" s="19"/>
      <c r="R1557" s="10"/>
      <c r="S1557" s="16"/>
      <c r="T1557" s="0" t="str">
        <f aca="false">IF(OR($D1557="",单元查询!$B$3=""),"",IF($D1557&lt;&gt;单元查询!$B$3,"",IF(OR(单元查询!$D$3="",$E1557&amp;""=单元查询!$D$3&amp;""),IF(ISNUMBER($B1557),$B1557*10000,0)+ROW(),"")))</f>
        <v/>
      </c>
      <c r="U1557" s="0" t="str">
        <f aca="false">IF(OR($B1557="",$L1557="已完成"),"",IF(ISNUMBER($B1557),IF(设置!$B$6&lt;$B1557,"",(设置!$B$6-$B1557)*100000+ROW()),""))</f>
        <v/>
      </c>
      <c r="V1557" s="0" t="str">
        <f aca="false">IF(ISNUMBER($O1557),IF($O1557&gt;=2,IF(COUNTIFS($D1557:$D$2006,$D1557,$E1557:$E$2006,$E1557)=1,ROW(),""),""),"")</f>
        <v/>
      </c>
    </row>
    <row r="1558" customFormat="false" ht="15" hidden="false" customHeight="true" outlineLevel="0" collapsed="false">
      <c r="A1558" s="13" t="str">
        <f aca="false">IF(AND($B1558="",$D1558="",$E1558="",$F1558=""),"",IF(OR($B1558="",$D1558="",$E1558=""),"待补",IF($D1558="公共区域","公",IF($D1558="商铺","S",SUBSTITUTE($D1558,"栋","")))&amp;"-"&amp;$E1558&amp;"-"&amp;TEXT(MONTH($B1558),"00")&amp;TEXT(DAY($B1558),"00")&amp;IF(ISNUMBER($O1558),IF($O1558&gt;1,"-"&amp;TEXT($O1558,"00"),""),"")))</f>
        <v/>
      </c>
      <c r="B1558" s="14"/>
      <c r="C1558" s="10"/>
      <c r="D1558" s="10"/>
      <c r="E1558" s="10"/>
      <c r="F1558" s="16"/>
      <c r="G1558" s="10"/>
      <c r="H1558" s="10"/>
      <c r="I1558" s="10"/>
      <c r="J1558" s="10"/>
      <c r="K1558" s="10"/>
      <c r="L1558" s="10"/>
      <c r="M1558" s="14"/>
      <c r="N1558" s="17" t="str">
        <f aca="false">IF($B1558="","",IF($L1558="已完成",IF($M1558="","",$M1558-$B1558),IF(设置!$B$6&lt;$B1558,"",IF((设置!$B$6-$B1558)&gt;=设置!$B$5,"超期"&amp;(设置!$B$6-$B1558)&amp;"天","已等"&amp;(设置!$B$6-$B1558)&amp;"天"))))</f>
        <v/>
      </c>
      <c r="O1558" s="18" t="str">
        <f aca="false">IF(OR($D1558="",$E1558=""),"",COUNTIFS($D$7:$D1558,$D1558,$E$7:$E1558,$E1558))</f>
        <v/>
      </c>
      <c r="P1558" s="16"/>
      <c r="Q1558" s="19"/>
      <c r="R1558" s="10"/>
      <c r="S1558" s="16"/>
      <c r="T1558" s="0" t="str">
        <f aca="false">IF(OR($D1558="",单元查询!$B$3=""),"",IF($D1558&lt;&gt;单元查询!$B$3,"",IF(OR(单元查询!$D$3="",$E1558&amp;""=单元查询!$D$3&amp;""),IF(ISNUMBER($B1558),$B1558*10000,0)+ROW(),"")))</f>
        <v/>
      </c>
      <c r="U1558" s="0" t="str">
        <f aca="false">IF(OR($B1558="",$L1558="已完成"),"",IF(ISNUMBER($B1558),IF(设置!$B$6&lt;$B1558,"",(设置!$B$6-$B1558)*100000+ROW()),""))</f>
        <v/>
      </c>
      <c r="V1558" s="0" t="str">
        <f aca="false">IF(ISNUMBER($O1558),IF($O1558&gt;=2,IF(COUNTIFS($D1558:$D$2006,$D1558,$E1558:$E$2006,$E1558)=1,ROW(),""),""),"")</f>
        <v/>
      </c>
    </row>
    <row r="1559" customFormat="false" ht="15" hidden="false" customHeight="true" outlineLevel="0" collapsed="false">
      <c r="A1559" s="13" t="str">
        <f aca="false">IF(AND($B1559="",$D1559="",$E1559="",$F1559=""),"",IF(OR($B1559="",$D1559="",$E1559=""),"待补",IF($D1559="公共区域","公",IF($D1559="商铺","S",SUBSTITUTE($D1559,"栋","")))&amp;"-"&amp;$E1559&amp;"-"&amp;TEXT(MONTH($B1559),"00")&amp;TEXT(DAY($B1559),"00")&amp;IF(ISNUMBER($O1559),IF($O1559&gt;1,"-"&amp;TEXT($O1559,"00"),""),"")))</f>
        <v/>
      </c>
      <c r="B1559" s="14"/>
      <c r="C1559" s="10"/>
      <c r="D1559" s="10"/>
      <c r="E1559" s="10"/>
      <c r="F1559" s="16"/>
      <c r="G1559" s="10"/>
      <c r="H1559" s="10"/>
      <c r="I1559" s="10"/>
      <c r="J1559" s="10"/>
      <c r="K1559" s="10"/>
      <c r="L1559" s="10"/>
      <c r="M1559" s="14"/>
      <c r="N1559" s="17" t="str">
        <f aca="false">IF($B1559="","",IF($L1559="已完成",IF($M1559="","",$M1559-$B1559),IF(设置!$B$6&lt;$B1559,"",IF((设置!$B$6-$B1559)&gt;=设置!$B$5,"超期"&amp;(设置!$B$6-$B1559)&amp;"天","已等"&amp;(设置!$B$6-$B1559)&amp;"天"))))</f>
        <v/>
      </c>
      <c r="O1559" s="18" t="str">
        <f aca="false">IF(OR($D1559="",$E1559=""),"",COUNTIFS($D$7:$D1559,$D1559,$E$7:$E1559,$E1559))</f>
        <v/>
      </c>
      <c r="P1559" s="16"/>
      <c r="Q1559" s="19"/>
      <c r="R1559" s="10"/>
      <c r="S1559" s="16"/>
      <c r="T1559" s="0" t="str">
        <f aca="false">IF(OR($D1559="",单元查询!$B$3=""),"",IF($D1559&lt;&gt;单元查询!$B$3,"",IF(OR(单元查询!$D$3="",$E1559&amp;""=单元查询!$D$3&amp;""),IF(ISNUMBER($B1559),$B1559*10000,0)+ROW(),"")))</f>
        <v/>
      </c>
      <c r="U1559" s="0" t="str">
        <f aca="false">IF(OR($B1559="",$L1559="已完成"),"",IF(ISNUMBER($B1559),IF(设置!$B$6&lt;$B1559,"",(设置!$B$6-$B1559)*100000+ROW()),""))</f>
        <v/>
      </c>
      <c r="V1559" s="0" t="str">
        <f aca="false">IF(ISNUMBER($O1559),IF($O1559&gt;=2,IF(COUNTIFS($D1559:$D$2006,$D1559,$E1559:$E$2006,$E1559)=1,ROW(),""),""),"")</f>
        <v/>
      </c>
    </row>
    <row r="1560" customFormat="false" ht="15" hidden="false" customHeight="true" outlineLevel="0" collapsed="false">
      <c r="A1560" s="13" t="str">
        <f aca="false">IF(AND($B1560="",$D1560="",$E1560="",$F1560=""),"",IF(OR($B1560="",$D1560="",$E1560=""),"待补",IF($D1560="公共区域","公",IF($D1560="商铺","S",SUBSTITUTE($D1560,"栋","")))&amp;"-"&amp;$E1560&amp;"-"&amp;TEXT(MONTH($B1560),"00")&amp;TEXT(DAY($B1560),"00")&amp;IF(ISNUMBER($O1560),IF($O1560&gt;1,"-"&amp;TEXT($O1560,"00"),""),"")))</f>
        <v/>
      </c>
      <c r="B1560" s="14"/>
      <c r="C1560" s="10"/>
      <c r="D1560" s="10"/>
      <c r="E1560" s="10"/>
      <c r="F1560" s="16"/>
      <c r="G1560" s="10"/>
      <c r="H1560" s="10"/>
      <c r="I1560" s="10"/>
      <c r="J1560" s="10"/>
      <c r="K1560" s="10"/>
      <c r="L1560" s="10"/>
      <c r="M1560" s="14"/>
      <c r="N1560" s="17" t="str">
        <f aca="false">IF($B1560="","",IF($L1560="已完成",IF($M1560="","",$M1560-$B1560),IF(设置!$B$6&lt;$B1560,"",IF((设置!$B$6-$B1560)&gt;=设置!$B$5,"超期"&amp;(设置!$B$6-$B1560)&amp;"天","已等"&amp;(设置!$B$6-$B1560)&amp;"天"))))</f>
        <v/>
      </c>
      <c r="O1560" s="18" t="str">
        <f aca="false">IF(OR($D1560="",$E1560=""),"",COUNTIFS($D$7:$D1560,$D1560,$E$7:$E1560,$E1560))</f>
        <v/>
      </c>
      <c r="P1560" s="16"/>
      <c r="Q1560" s="19"/>
      <c r="R1560" s="10"/>
      <c r="S1560" s="16"/>
      <c r="T1560" s="0" t="str">
        <f aca="false">IF(OR($D1560="",单元查询!$B$3=""),"",IF($D1560&lt;&gt;单元查询!$B$3,"",IF(OR(单元查询!$D$3="",$E1560&amp;""=单元查询!$D$3&amp;""),IF(ISNUMBER($B1560),$B1560*10000,0)+ROW(),"")))</f>
        <v/>
      </c>
      <c r="U1560" s="0" t="str">
        <f aca="false">IF(OR($B1560="",$L1560="已完成"),"",IF(ISNUMBER($B1560),IF(设置!$B$6&lt;$B1560,"",(设置!$B$6-$B1560)*100000+ROW()),""))</f>
        <v/>
      </c>
      <c r="V1560" s="0" t="str">
        <f aca="false">IF(ISNUMBER($O1560),IF($O1560&gt;=2,IF(COUNTIFS($D1560:$D$2006,$D1560,$E1560:$E$2006,$E1560)=1,ROW(),""),""),"")</f>
        <v/>
      </c>
    </row>
    <row r="1561" customFormat="false" ht="15" hidden="false" customHeight="true" outlineLevel="0" collapsed="false">
      <c r="A1561" s="13" t="str">
        <f aca="false">IF(AND($B1561="",$D1561="",$E1561="",$F1561=""),"",IF(OR($B1561="",$D1561="",$E1561=""),"待补",IF($D1561="公共区域","公",IF($D1561="商铺","S",SUBSTITUTE($D1561,"栋","")))&amp;"-"&amp;$E1561&amp;"-"&amp;TEXT(MONTH($B1561),"00")&amp;TEXT(DAY($B1561),"00")&amp;IF(ISNUMBER($O1561),IF($O1561&gt;1,"-"&amp;TEXT($O1561,"00"),""),"")))</f>
        <v/>
      </c>
      <c r="B1561" s="14"/>
      <c r="C1561" s="10"/>
      <c r="D1561" s="10"/>
      <c r="E1561" s="10"/>
      <c r="F1561" s="16"/>
      <c r="G1561" s="10"/>
      <c r="H1561" s="10"/>
      <c r="I1561" s="10"/>
      <c r="J1561" s="10"/>
      <c r="K1561" s="10"/>
      <c r="L1561" s="10"/>
      <c r="M1561" s="14"/>
      <c r="N1561" s="17" t="str">
        <f aca="false">IF($B1561="","",IF($L1561="已完成",IF($M1561="","",$M1561-$B1561),IF(设置!$B$6&lt;$B1561,"",IF((设置!$B$6-$B1561)&gt;=设置!$B$5,"超期"&amp;(设置!$B$6-$B1561)&amp;"天","已等"&amp;(设置!$B$6-$B1561)&amp;"天"))))</f>
        <v/>
      </c>
      <c r="O1561" s="18" t="str">
        <f aca="false">IF(OR($D1561="",$E1561=""),"",COUNTIFS($D$7:$D1561,$D1561,$E$7:$E1561,$E1561))</f>
        <v/>
      </c>
      <c r="P1561" s="16"/>
      <c r="Q1561" s="19"/>
      <c r="R1561" s="10"/>
      <c r="S1561" s="16"/>
      <c r="T1561" s="0" t="str">
        <f aca="false">IF(OR($D1561="",单元查询!$B$3=""),"",IF($D1561&lt;&gt;单元查询!$B$3,"",IF(OR(单元查询!$D$3="",$E1561&amp;""=单元查询!$D$3&amp;""),IF(ISNUMBER($B1561),$B1561*10000,0)+ROW(),"")))</f>
        <v/>
      </c>
      <c r="U1561" s="0" t="str">
        <f aca="false">IF(OR($B1561="",$L1561="已完成"),"",IF(ISNUMBER($B1561),IF(设置!$B$6&lt;$B1561,"",(设置!$B$6-$B1561)*100000+ROW()),""))</f>
        <v/>
      </c>
      <c r="V1561" s="0" t="str">
        <f aca="false">IF(ISNUMBER($O1561),IF($O1561&gt;=2,IF(COUNTIFS($D1561:$D$2006,$D1561,$E1561:$E$2006,$E1561)=1,ROW(),""),""),"")</f>
        <v/>
      </c>
    </row>
    <row r="1562" customFormat="false" ht="15" hidden="false" customHeight="true" outlineLevel="0" collapsed="false">
      <c r="A1562" s="13" t="str">
        <f aca="false">IF(AND($B1562="",$D1562="",$E1562="",$F1562=""),"",IF(OR($B1562="",$D1562="",$E1562=""),"待补",IF($D1562="公共区域","公",IF($D1562="商铺","S",SUBSTITUTE($D1562,"栋","")))&amp;"-"&amp;$E1562&amp;"-"&amp;TEXT(MONTH($B1562),"00")&amp;TEXT(DAY($B1562),"00")&amp;IF(ISNUMBER($O1562),IF($O1562&gt;1,"-"&amp;TEXT($O1562,"00"),""),"")))</f>
        <v/>
      </c>
      <c r="B1562" s="14"/>
      <c r="C1562" s="10"/>
      <c r="D1562" s="10"/>
      <c r="E1562" s="10"/>
      <c r="F1562" s="16"/>
      <c r="G1562" s="10"/>
      <c r="H1562" s="10"/>
      <c r="I1562" s="10"/>
      <c r="J1562" s="10"/>
      <c r="K1562" s="10"/>
      <c r="L1562" s="10"/>
      <c r="M1562" s="14"/>
      <c r="N1562" s="17" t="str">
        <f aca="false">IF($B1562="","",IF($L1562="已完成",IF($M1562="","",$M1562-$B1562),IF(设置!$B$6&lt;$B1562,"",IF((设置!$B$6-$B1562)&gt;=设置!$B$5,"超期"&amp;(设置!$B$6-$B1562)&amp;"天","已等"&amp;(设置!$B$6-$B1562)&amp;"天"))))</f>
        <v/>
      </c>
      <c r="O1562" s="18" t="str">
        <f aca="false">IF(OR($D1562="",$E1562=""),"",COUNTIFS($D$7:$D1562,$D1562,$E$7:$E1562,$E1562))</f>
        <v/>
      </c>
      <c r="P1562" s="16"/>
      <c r="Q1562" s="19"/>
      <c r="R1562" s="10"/>
      <c r="S1562" s="16"/>
      <c r="T1562" s="0" t="str">
        <f aca="false">IF(OR($D1562="",单元查询!$B$3=""),"",IF($D1562&lt;&gt;单元查询!$B$3,"",IF(OR(单元查询!$D$3="",$E1562&amp;""=单元查询!$D$3&amp;""),IF(ISNUMBER($B1562),$B1562*10000,0)+ROW(),"")))</f>
        <v/>
      </c>
      <c r="U1562" s="0" t="str">
        <f aca="false">IF(OR($B1562="",$L1562="已完成"),"",IF(ISNUMBER($B1562),IF(设置!$B$6&lt;$B1562,"",(设置!$B$6-$B1562)*100000+ROW()),""))</f>
        <v/>
      </c>
      <c r="V1562" s="0" t="str">
        <f aca="false">IF(ISNUMBER($O1562),IF($O1562&gt;=2,IF(COUNTIFS($D1562:$D$2006,$D1562,$E1562:$E$2006,$E1562)=1,ROW(),""),""),"")</f>
        <v/>
      </c>
    </row>
    <row r="1563" customFormat="false" ht="15" hidden="false" customHeight="true" outlineLevel="0" collapsed="false">
      <c r="A1563" s="13" t="str">
        <f aca="false">IF(AND($B1563="",$D1563="",$E1563="",$F1563=""),"",IF(OR($B1563="",$D1563="",$E1563=""),"待补",IF($D1563="公共区域","公",IF($D1563="商铺","S",SUBSTITUTE($D1563,"栋","")))&amp;"-"&amp;$E1563&amp;"-"&amp;TEXT(MONTH($B1563),"00")&amp;TEXT(DAY($B1563),"00")&amp;IF(ISNUMBER($O1563),IF($O1563&gt;1,"-"&amp;TEXT($O1563,"00"),""),"")))</f>
        <v/>
      </c>
      <c r="B1563" s="14"/>
      <c r="C1563" s="10"/>
      <c r="D1563" s="10"/>
      <c r="E1563" s="10"/>
      <c r="F1563" s="16"/>
      <c r="G1563" s="10"/>
      <c r="H1563" s="10"/>
      <c r="I1563" s="10"/>
      <c r="J1563" s="10"/>
      <c r="K1563" s="10"/>
      <c r="L1563" s="10"/>
      <c r="M1563" s="14"/>
      <c r="N1563" s="17" t="str">
        <f aca="false">IF($B1563="","",IF($L1563="已完成",IF($M1563="","",$M1563-$B1563),IF(设置!$B$6&lt;$B1563,"",IF((设置!$B$6-$B1563)&gt;=设置!$B$5,"超期"&amp;(设置!$B$6-$B1563)&amp;"天","已等"&amp;(设置!$B$6-$B1563)&amp;"天"))))</f>
        <v/>
      </c>
      <c r="O1563" s="18" t="str">
        <f aca="false">IF(OR($D1563="",$E1563=""),"",COUNTIFS($D$7:$D1563,$D1563,$E$7:$E1563,$E1563))</f>
        <v/>
      </c>
      <c r="P1563" s="16"/>
      <c r="Q1563" s="19"/>
      <c r="R1563" s="10"/>
      <c r="S1563" s="16"/>
      <c r="T1563" s="0" t="str">
        <f aca="false">IF(OR($D1563="",单元查询!$B$3=""),"",IF($D1563&lt;&gt;单元查询!$B$3,"",IF(OR(单元查询!$D$3="",$E1563&amp;""=单元查询!$D$3&amp;""),IF(ISNUMBER($B1563),$B1563*10000,0)+ROW(),"")))</f>
        <v/>
      </c>
      <c r="U1563" s="0" t="str">
        <f aca="false">IF(OR($B1563="",$L1563="已完成"),"",IF(ISNUMBER($B1563),IF(设置!$B$6&lt;$B1563,"",(设置!$B$6-$B1563)*100000+ROW()),""))</f>
        <v/>
      </c>
      <c r="V1563" s="0" t="str">
        <f aca="false">IF(ISNUMBER($O1563),IF($O1563&gt;=2,IF(COUNTIFS($D1563:$D$2006,$D1563,$E1563:$E$2006,$E1563)=1,ROW(),""),""),"")</f>
        <v/>
      </c>
    </row>
    <row r="1564" customFormat="false" ht="15" hidden="false" customHeight="true" outlineLevel="0" collapsed="false">
      <c r="A1564" s="13" t="str">
        <f aca="false">IF(AND($B1564="",$D1564="",$E1564="",$F1564=""),"",IF(OR($B1564="",$D1564="",$E1564=""),"待补",IF($D1564="公共区域","公",IF($D1564="商铺","S",SUBSTITUTE($D1564,"栋","")))&amp;"-"&amp;$E1564&amp;"-"&amp;TEXT(MONTH($B1564),"00")&amp;TEXT(DAY($B1564),"00")&amp;IF(ISNUMBER($O1564),IF($O1564&gt;1,"-"&amp;TEXT($O1564,"00"),""),"")))</f>
        <v/>
      </c>
      <c r="B1564" s="14"/>
      <c r="C1564" s="10"/>
      <c r="D1564" s="10"/>
      <c r="E1564" s="10"/>
      <c r="F1564" s="16"/>
      <c r="G1564" s="10"/>
      <c r="H1564" s="10"/>
      <c r="I1564" s="10"/>
      <c r="J1564" s="10"/>
      <c r="K1564" s="10"/>
      <c r="L1564" s="10"/>
      <c r="M1564" s="14"/>
      <c r="N1564" s="17" t="str">
        <f aca="false">IF($B1564="","",IF($L1564="已完成",IF($M1564="","",$M1564-$B1564),IF(设置!$B$6&lt;$B1564,"",IF((设置!$B$6-$B1564)&gt;=设置!$B$5,"超期"&amp;(设置!$B$6-$B1564)&amp;"天","已等"&amp;(设置!$B$6-$B1564)&amp;"天"))))</f>
        <v/>
      </c>
      <c r="O1564" s="18" t="str">
        <f aca="false">IF(OR($D1564="",$E1564=""),"",COUNTIFS($D$7:$D1564,$D1564,$E$7:$E1564,$E1564))</f>
        <v/>
      </c>
      <c r="P1564" s="16"/>
      <c r="Q1564" s="19"/>
      <c r="R1564" s="10"/>
      <c r="S1564" s="16"/>
      <c r="T1564" s="0" t="str">
        <f aca="false">IF(OR($D1564="",单元查询!$B$3=""),"",IF($D1564&lt;&gt;单元查询!$B$3,"",IF(OR(单元查询!$D$3="",$E1564&amp;""=单元查询!$D$3&amp;""),IF(ISNUMBER($B1564),$B1564*10000,0)+ROW(),"")))</f>
        <v/>
      </c>
      <c r="U1564" s="0" t="str">
        <f aca="false">IF(OR($B1564="",$L1564="已完成"),"",IF(ISNUMBER($B1564),IF(设置!$B$6&lt;$B1564,"",(设置!$B$6-$B1564)*100000+ROW()),""))</f>
        <v/>
      </c>
      <c r="V1564" s="0" t="str">
        <f aca="false">IF(ISNUMBER($O1564),IF($O1564&gt;=2,IF(COUNTIFS($D1564:$D$2006,$D1564,$E1564:$E$2006,$E1564)=1,ROW(),""),""),"")</f>
        <v/>
      </c>
    </row>
    <row r="1565" customFormat="false" ht="15" hidden="false" customHeight="true" outlineLevel="0" collapsed="false">
      <c r="A1565" s="13" t="str">
        <f aca="false">IF(AND($B1565="",$D1565="",$E1565="",$F1565=""),"",IF(OR($B1565="",$D1565="",$E1565=""),"待补",IF($D1565="公共区域","公",IF($D1565="商铺","S",SUBSTITUTE($D1565,"栋","")))&amp;"-"&amp;$E1565&amp;"-"&amp;TEXT(MONTH($B1565),"00")&amp;TEXT(DAY($B1565),"00")&amp;IF(ISNUMBER($O1565),IF($O1565&gt;1,"-"&amp;TEXT($O1565,"00"),""),"")))</f>
        <v/>
      </c>
      <c r="B1565" s="14"/>
      <c r="C1565" s="10"/>
      <c r="D1565" s="10"/>
      <c r="E1565" s="10"/>
      <c r="F1565" s="16"/>
      <c r="G1565" s="10"/>
      <c r="H1565" s="10"/>
      <c r="I1565" s="10"/>
      <c r="J1565" s="10"/>
      <c r="K1565" s="10"/>
      <c r="L1565" s="10"/>
      <c r="M1565" s="14"/>
      <c r="N1565" s="17" t="str">
        <f aca="false">IF($B1565="","",IF($L1565="已完成",IF($M1565="","",$M1565-$B1565),IF(设置!$B$6&lt;$B1565,"",IF((设置!$B$6-$B1565)&gt;=设置!$B$5,"超期"&amp;(设置!$B$6-$B1565)&amp;"天","已等"&amp;(设置!$B$6-$B1565)&amp;"天"))))</f>
        <v/>
      </c>
      <c r="O1565" s="18" t="str">
        <f aca="false">IF(OR($D1565="",$E1565=""),"",COUNTIFS($D$7:$D1565,$D1565,$E$7:$E1565,$E1565))</f>
        <v/>
      </c>
      <c r="P1565" s="16"/>
      <c r="Q1565" s="19"/>
      <c r="R1565" s="10"/>
      <c r="S1565" s="16"/>
      <c r="T1565" s="0" t="str">
        <f aca="false">IF(OR($D1565="",单元查询!$B$3=""),"",IF($D1565&lt;&gt;单元查询!$B$3,"",IF(OR(单元查询!$D$3="",$E1565&amp;""=单元查询!$D$3&amp;""),IF(ISNUMBER($B1565),$B1565*10000,0)+ROW(),"")))</f>
        <v/>
      </c>
      <c r="U1565" s="0" t="str">
        <f aca="false">IF(OR($B1565="",$L1565="已完成"),"",IF(ISNUMBER($B1565),IF(设置!$B$6&lt;$B1565,"",(设置!$B$6-$B1565)*100000+ROW()),""))</f>
        <v/>
      </c>
      <c r="V1565" s="0" t="str">
        <f aca="false">IF(ISNUMBER($O1565),IF($O1565&gt;=2,IF(COUNTIFS($D1565:$D$2006,$D1565,$E1565:$E$2006,$E1565)=1,ROW(),""),""),"")</f>
        <v/>
      </c>
    </row>
    <row r="1566" customFormat="false" ht="15" hidden="false" customHeight="true" outlineLevel="0" collapsed="false">
      <c r="A1566" s="13" t="str">
        <f aca="false">IF(AND($B1566="",$D1566="",$E1566="",$F1566=""),"",IF(OR($B1566="",$D1566="",$E1566=""),"待补",IF($D1566="公共区域","公",IF($D1566="商铺","S",SUBSTITUTE($D1566,"栋","")))&amp;"-"&amp;$E1566&amp;"-"&amp;TEXT(MONTH($B1566),"00")&amp;TEXT(DAY($B1566),"00")&amp;IF(ISNUMBER($O1566),IF($O1566&gt;1,"-"&amp;TEXT($O1566,"00"),""),"")))</f>
        <v/>
      </c>
      <c r="B1566" s="14"/>
      <c r="C1566" s="10"/>
      <c r="D1566" s="10"/>
      <c r="E1566" s="10"/>
      <c r="F1566" s="16"/>
      <c r="G1566" s="10"/>
      <c r="H1566" s="10"/>
      <c r="I1566" s="10"/>
      <c r="J1566" s="10"/>
      <c r="K1566" s="10"/>
      <c r="L1566" s="10"/>
      <c r="M1566" s="14"/>
      <c r="N1566" s="17" t="str">
        <f aca="false">IF($B1566="","",IF($L1566="已完成",IF($M1566="","",$M1566-$B1566),IF(设置!$B$6&lt;$B1566,"",IF((设置!$B$6-$B1566)&gt;=设置!$B$5,"超期"&amp;(设置!$B$6-$B1566)&amp;"天","已等"&amp;(设置!$B$6-$B1566)&amp;"天"))))</f>
        <v/>
      </c>
      <c r="O1566" s="18" t="str">
        <f aca="false">IF(OR($D1566="",$E1566=""),"",COUNTIFS($D$7:$D1566,$D1566,$E$7:$E1566,$E1566))</f>
        <v/>
      </c>
      <c r="P1566" s="16"/>
      <c r="Q1566" s="19"/>
      <c r="R1566" s="10"/>
      <c r="S1566" s="16"/>
      <c r="T1566" s="0" t="str">
        <f aca="false">IF(OR($D1566="",单元查询!$B$3=""),"",IF($D1566&lt;&gt;单元查询!$B$3,"",IF(OR(单元查询!$D$3="",$E1566&amp;""=单元查询!$D$3&amp;""),IF(ISNUMBER($B1566),$B1566*10000,0)+ROW(),"")))</f>
        <v/>
      </c>
      <c r="U1566" s="0" t="str">
        <f aca="false">IF(OR($B1566="",$L1566="已完成"),"",IF(ISNUMBER($B1566),IF(设置!$B$6&lt;$B1566,"",(设置!$B$6-$B1566)*100000+ROW()),""))</f>
        <v/>
      </c>
      <c r="V1566" s="0" t="str">
        <f aca="false">IF(ISNUMBER($O1566),IF($O1566&gt;=2,IF(COUNTIFS($D1566:$D$2006,$D1566,$E1566:$E$2006,$E1566)=1,ROW(),""),""),"")</f>
        <v/>
      </c>
    </row>
    <row r="1567" customFormat="false" ht="15" hidden="false" customHeight="true" outlineLevel="0" collapsed="false">
      <c r="A1567" s="13" t="str">
        <f aca="false">IF(AND($B1567="",$D1567="",$E1567="",$F1567=""),"",IF(OR($B1567="",$D1567="",$E1567=""),"待补",IF($D1567="公共区域","公",IF($D1567="商铺","S",SUBSTITUTE($D1567,"栋","")))&amp;"-"&amp;$E1567&amp;"-"&amp;TEXT(MONTH($B1567),"00")&amp;TEXT(DAY($B1567),"00")&amp;IF(ISNUMBER($O1567),IF($O1567&gt;1,"-"&amp;TEXT($O1567,"00"),""),"")))</f>
        <v/>
      </c>
      <c r="B1567" s="14"/>
      <c r="C1567" s="10"/>
      <c r="D1567" s="10"/>
      <c r="E1567" s="10"/>
      <c r="F1567" s="16"/>
      <c r="G1567" s="10"/>
      <c r="H1567" s="10"/>
      <c r="I1567" s="10"/>
      <c r="J1567" s="10"/>
      <c r="K1567" s="10"/>
      <c r="L1567" s="10"/>
      <c r="M1567" s="14"/>
      <c r="N1567" s="17" t="str">
        <f aca="false">IF($B1567="","",IF($L1567="已完成",IF($M1567="","",$M1567-$B1567),IF(设置!$B$6&lt;$B1567,"",IF((设置!$B$6-$B1567)&gt;=设置!$B$5,"超期"&amp;(设置!$B$6-$B1567)&amp;"天","已等"&amp;(设置!$B$6-$B1567)&amp;"天"))))</f>
        <v/>
      </c>
      <c r="O1567" s="18" t="str">
        <f aca="false">IF(OR($D1567="",$E1567=""),"",COUNTIFS($D$7:$D1567,$D1567,$E$7:$E1567,$E1567))</f>
        <v/>
      </c>
      <c r="P1567" s="16"/>
      <c r="Q1567" s="19"/>
      <c r="R1567" s="10"/>
      <c r="S1567" s="16"/>
      <c r="T1567" s="0" t="str">
        <f aca="false">IF(OR($D1567="",单元查询!$B$3=""),"",IF($D1567&lt;&gt;单元查询!$B$3,"",IF(OR(单元查询!$D$3="",$E1567&amp;""=单元查询!$D$3&amp;""),IF(ISNUMBER($B1567),$B1567*10000,0)+ROW(),"")))</f>
        <v/>
      </c>
      <c r="U1567" s="0" t="str">
        <f aca="false">IF(OR($B1567="",$L1567="已完成"),"",IF(ISNUMBER($B1567),IF(设置!$B$6&lt;$B1567,"",(设置!$B$6-$B1567)*100000+ROW()),""))</f>
        <v/>
      </c>
      <c r="V1567" s="0" t="str">
        <f aca="false">IF(ISNUMBER($O1567),IF($O1567&gt;=2,IF(COUNTIFS($D1567:$D$2006,$D1567,$E1567:$E$2006,$E1567)=1,ROW(),""),""),"")</f>
        <v/>
      </c>
    </row>
    <row r="1568" customFormat="false" ht="15" hidden="false" customHeight="true" outlineLevel="0" collapsed="false">
      <c r="A1568" s="13" t="str">
        <f aca="false">IF(AND($B1568="",$D1568="",$E1568="",$F1568=""),"",IF(OR($B1568="",$D1568="",$E1568=""),"待补",IF($D1568="公共区域","公",IF($D1568="商铺","S",SUBSTITUTE($D1568,"栋","")))&amp;"-"&amp;$E1568&amp;"-"&amp;TEXT(MONTH($B1568),"00")&amp;TEXT(DAY($B1568),"00")&amp;IF(ISNUMBER($O1568),IF($O1568&gt;1,"-"&amp;TEXT($O1568,"00"),""),"")))</f>
        <v/>
      </c>
      <c r="B1568" s="14"/>
      <c r="C1568" s="10"/>
      <c r="D1568" s="10"/>
      <c r="E1568" s="10"/>
      <c r="F1568" s="16"/>
      <c r="G1568" s="10"/>
      <c r="H1568" s="10"/>
      <c r="I1568" s="10"/>
      <c r="J1568" s="10"/>
      <c r="K1568" s="10"/>
      <c r="L1568" s="10"/>
      <c r="M1568" s="14"/>
      <c r="N1568" s="17" t="str">
        <f aca="false">IF($B1568="","",IF($L1568="已完成",IF($M1568="","",$M1568-$B1568),IF(设置!$B$6&lt;$B1568,"",IF((设置!$B$6-$B1568)&gt;=设置!$B$5,"超期"&amp;(设置!$B$6-$B1568)&amp;"天","已等"&amp;(设置!$B$6-$B1568)&amp;"天"))))</f>
        <v/>
      </c>
      <c r="O1568" s="18" t="str">
        <f aca="false">IF(OR($D1568="",$E1568=""),"",COUNTIFS($D$7:$D1568,$D1568,$E$7:$E1568,$E1568))</f>
        <v/>
      </c>
      <c r="P1568" s="16"/>
      <c r="Q1568" s="19"/>
      <c r="R1568" s="10"/>
      <c r="S1568" s="16"/>
      <c r="T1568" s="0" t="str">
        <f aca="false">IF(OR($D1568="",单元查询!$B$3=""),"",IF($D1568&lt;&gt;单元查询!$B$3,"",IF(OR(单元查询!$D$3="",$E1568&amp;""=单元查询!$D$3&amp;""),IF(ISNUMBER($B1568),$B1568*10000,0)+ROW(),"")))</f>
        <v/>
      </c>
      <c r="U1568" s="0" t="str">
        <f aca="false">IF(OR($B1568="",$L1568="已完成"),"",IF(ISNUMBER($B1568),IF(设置!$B$6&lt;$B1568,"",(设置!$B$6-$B1568)*100000+ROW()),""))</f>
        <v/>
      </c>
      <c r="V1568" s="0" t="str">
        <f aca="false">IF(ISNUMBER($O1568),IF($O1568&gt;=2,IF(COUNTIFS($D1568:$D$2006,$D1568,$E1568:$E$2006,$E1568)=1,ROW(),""),""),"")</f>
        <v/>
      </c>
    </row>
    <row r="1569" customFormat="false" ht="15" hidden="false" customHeight="true" outlineLevel="0" collapsed="false">
      <c r="A1569" s="13" t="str">
        <f aca="false">IF(AND($B1569="",$D1569="",$E1569="",$F1569=""),"",IF(OR($B1569="",$D1569="",$E1569=""),"待补",IF($D1569="公共区域","公",IF($D1569="商铺","S",SUBSTITUTE($D1569,"栋","")))&amp;"-"&amp;$E1569&amp;"-"&amp;TEXT(MONTH($B1569),"00")&amp;TEXT(DAY($B1569),"00")&amp;IF(ISNUMBER($O1569),IF($O1569&gt;1,"-"&amp;TEXT($O1569,"00"),""),"")))</f>
        <v/>
      </c>
      <c r="B1569" s="14"/>
      <c r="C1569" s="10"/>
      <c r="D1569" s="10"/>
      <c r="E1569" s="10"/>
      <c r="F1569" s="16"/>
      <c r="G1569" s="10"/>
      <c r="H1569" s="10"/>
      <c r="I1569" s="10"/>
      <c r="J1569" s="10"/>
      <c r="K1569" s="10"/>
      <c r="L1569" s="10"/>
      <c r="M1569" s="14"/>
      <c r="N1569" s="17" t="str">
        <f aca="false">IF($B1569="","",IF($L1569="已完成",IF($M1569="","",$M1569-$B1569),IF(设置!$B$6&lt;$B1569,"",IF((设置!$B$6-$B1569)&gt;=设置!$B$5,"超期"&amp;(设置!$B$6-$B1569)&amp;"天","已等"&amp;(设置!$B$6-$B1569)&amp;"天"))))</f>
        <v/>
      </c>
      <c r="O1569" s="18" t="str">
        <f aca="false">IF(OR($D1569="",$E1569=""),"",COUNTIFS($D$7:$D1569,$D1569,$E$7:$E1569,$E1569))</f>
        <v/>
      </c>
      <c r="P1569" s="16"/>
      <c r="Q1569" s="19"/>
      <c r="R1569" s="10"/>
      <c r="S1569" s="16"/>
      <c r="T1569" s="0" t="str">
        <f aca="false">IF(OR($D1569="",单元查询!$B$3=""),"",IF($D1569&lt;&gt;单元查询!$B$3,"",IF(OR(单元查询!$D$3="",$E1569&amp;""=单元查询!$D$3&amp;""),IF(ISNUMBER($B1569),$B1569*10000,0)+ROW(),"")))</f>
        <v/>
      </c>
      <c r="U1569" s="0" t="str">
        <f aca="false">IF(OR($B1569="",$L1569="已完成"),"",IF(ISNUMBER($B1569),IF(设置!$B$6&lt;$B1569,"",(设置!$B$6-$B1569)*100000+ROW()),""))</f>
        <v/>
      </c>
      <c r="V1569" s="0" t="str">
        <f aca="false">IF(ISNUMBER($O1569),IF($O1569&gt;=2,IF(COUNTIFS($D1569:$D$2006,$D1569,$E1569:$E$2006,$E1569)=1,ROW(),""),""),"")</f>
        <v/>
      </c>
    </row>
    <row r="1570" customFormat="false" ht="15" hidden="false" customHeight="true" outlineLevel="0" collapsed="false">
      <c r="A1570" s="13" t="str">
        <f aca="false">IF(AND($B1570="",$D1570="",$E1570="",$F1570=""),"",IF(OR($B1570="",$D1570="",$E1570=""),"待补",IF($D1570="公共区域","公",IF($D1570="商铺","S",SUBSTITUTE($D1570,"栋","")))&amp;"-"&amp;$E1570&amp;"-"&amp;TEXT(MONTH($B1570),"00")&amp;TEXT(DAY($B1570),"00")&amp;IF(ISNUMBER($O1570),IF($O1570&gt;1,"-"&amp;TEXT($O1570,"00"),""),"")))</f>
        <v/>
      </c>
      <c r="B1570" s="14"/>
      <c r="C1570" s="10"/>
      <c r="D1570" s="10"/>
      <c r="E1570" s="10"/>
      <c r="F1570" s="16"/>
      <c r="G1570" s="10"/>
      <c r="H1570" s="10"/>
      <c r="I1570" s="10"/>
      <c r="J1570" s="10"/>
      <c r="K1570" s="10"/>
      <c r="L1570" s="10"/>
      <c r="M1570" s="14"/>
      <c r="N1570" s="17" t="str">
        <f aca="false">IF($B1570="","",IF($L1570="已完成",IF($M1570="","",$M1570-$B1570),IF(设置!$B$6&lt;$B1570,"",IF((设置!$B$6-$B1570)&gt;=设置!$B$5,"超期"&amp;(设置!$B$6-$B1570)&amp;"天","已等"&amp;(设置!$B$6-$B1570)&amp;"天"))))</f>
        <v/>
      </c>
      <c r="O1570" s="18" t="str">
        <f aca="false">IF(OR($D1570="",$E1570=""),"",COUNTIFS($D$7:$D1570,$D1570,$E$7:$E1570,$E1570))</f>
        <v/>
      </c>
      <c r="P1570" s="16"/>
      <c r="Q1570" s="19"/>
      <c r="R1570" s="10"/>
      <c r="S1570" s="16"/>
      <c r="T1570" s="0" t="str">
        <f aca="false">IF(OR($D1570="",单元查询!$B$3=""),"",IF($D1570&lt;&gt;单元查询!$B$3,"",IF(OR(单元查询!$D$3="",$E1570&amp;""=单元查询!$D$3&amp;""),IF(ISNUMBER($B1570),$B1570*10000,0)+ROW(),"")))</f>
        <v/>
      </c>
      <c r="U1570" s="0" t="str">
        <f aca="false">IF(OR($B1570="",$L1570="已完成"),"",IF(ISNUMBER($B1570),IF(设置!$B$6&lt;$B1570,"",(设置!$B$6-$B1570)*100000+ROW()),""))</f>
        <v/>
      </c>
      <c r="V1570" s="0" t="str">
        <f aca="false">IF(ISNUMBER($O1570),IF($O1570&gt;=2,IF(COUNTIFS($D1570:$D$2006,$D1570,$E1570:$E$2006,$E1570)=1,ROW(),""),""),"")</f>
        <v/>
      </c>
    </row>
    <row r="1571" customFormat="false" ht="15" hidden="false" customHeight="true" outlineLevel="0" collapsed="false">
      <c r="A1571" s="13" t="str">
        <f aca="false">IF(AND($B1571="",$D1571="",$E1571="",$F1571=""),"",IF(OR($B1571="",$D1571="",$E1571=""),"待补",IF($D1571="公共区域","公",IF($D1571="商铺","S",SUBSTITUTE($D1571,"栋","")))&amp;"-"&amp;$E1571&amp;"-"&amp;TEXT(MONTH($B1571),"00")&amp;TEXT(DAY($B1571),"00")&amp;IF(ISNUMBER($O1571),IF($O1571&gt;1,"-"&amp;TEXT($O1571,"00"),""),"")))</f>
        <v/>
      </c>
      <c r="B1571" s="14"/>
      <c r="C1571" s="10"/>
      <c r="D1571" s="10"/>
      <c r="E1571" s="10"/>
      <c r="F1571" s="16"/>
      <c r="G1571" s="10"/>
      <c r="H1571" s="10"/>
      <c r="I1571" s="10"/>
      <c r="J1571" s="10"/>
      <c r="K1571" s="10"/>
      <c r="L1571" s="10"/>
      <c r="M1571" s="14"/>
      <c r="N1571" s="17" t="str">
        <f aca="false">IF($B1571="","",IF($L1571="已完成",IF($M1571="","",$M1571-$B1571),IF(设置!$B$6&lt;$B1571,"",IF((设置!$B$6-$B1571)&gt;=设置!$B$5,"超期"&amp;(设置!$B$6-$B1571)&amp;"天","已等"&amp;(设置!$B$6-$B1571)&amp;"天"))))</f>
        <v/>
      </c>
      <c r="O1571" s="18" t="str">
        <f aca="false">IF(OR($D1571="",$E1571=""),"",COUNTIFS($D$7:$D1571,$D1571,$E$7:$E1571,$E1571))</f>
        <v/>
      </c>
      <c r="P1571" s="16"/>
      <c r="Q1571" s="19"/>
      <c r="R1571" s="10"/>
      <c r="S1571" s="16"/>
      <c r="T1571" s="0" t="str">
        <f aca="false">IF(OR($D1571="",单元查询!$B$3=""),"",IF($D1571&lt;&gt;单元查询!$B$3,"",IF(OR(单元查询!$D$3="",$E1571&amp;""=单元查询!$D$3&amp;""),IF(ISNUMBER($B1571),$B1571*10000,0)+ROW(),"")))</f>
        <v/>
      </c>
      <c r="U1571" s="0" t="str">
        <f aca="false">IF(OR($B1571="",$L1571="已完成"),"",IF(ISNUMBER($B1571),IF(设置!$B$6&lt;$B1571,"",(设置!$B$6-$B1571)*100000+ROW()),""))</f>
        <v/>
      </c>
      <c r="V1571" s="0" t="str">
        <f aca="false">IF(ISNUMBER($O1571),IF($O1571&gt;=2,IF(COUNTIFS($D1571:$D$2006,$D1571,$E1571:$E$2006,$E1571)=1,ROW(),""),""),"")</f>
        <v/>
      </c>
    </row>
    <row r="1572" customFormat="false" ht="15" hidden="false" customHeight="true" outlineLevel="0" collapsed="false">
      <c r="A1572" s="13" t="str">
        <f aca="false">IF(AND($B1572="",$D1572="",$E1572="",$F1572=""),"",IF(OR($B1572="",$D1572="",$E1572=""),"待补",IF($D1572="公共区域","公",IF($D1572="商铺","S",SUBSTITUTE($D1572,"栋","")))&amp;"-"&amp;$E1572&amp;"-"&amp;TEXT(MONTH($B1572),"00")&amp;TEXT(DAY($B1572),"00")&amp;IF(ISNUMBER($O1572),IF($O1572&gt;1,"-"&amp;TEXT($O1572,"00"),""),"")))</f>
        <v/>
      </c>
      <c r="B1572" s="14"/>
      <c r="C1572" s="10"/>
      <c r="D1572" s="10"/>
      <c r="E1572" s="10"/>
      <c r="F1572" s="16"/>
      <c r="G1572" s="10"/>
      <c r="H1572" s="10"/>
      <c r="I1572" s="10"/>
      <c r="J1572" s="10"/>
      <c r="K1572" s="10"/>
      <c r="L1572" s="10"/>
      <c r="M1572" s="14"/>
      <c r="N1572" s="17" t="str">
        <f aca="false">IF($B1572="","",IF($L1572="已完成",IF($M1572="","",$M1572-$B1572),IF(设置!$B$6&lt;$B1572,"",IF((设置!$B$6-$B1572)&gt;=设置!$B$5,"超期"&amp;(设置!$B$6-$B1572)&amp;"天","已等"&amp;(设置!$B$6-$B1572)&amp;"天"))))</f>
        <v/>
      </c>
      <c r="O1572" s="18" t="str">
        <f aca="false">IF(OR($D1572="",$E1572=""),"",COUNTIFS($D$7:$D1572,$D1572,$E$7:$E1572,$E1572))</f>
        <v/>
      </c>
      <c r="P1572" s="16"/>
      <c r="Q1572" s="19"/>
      <c r="R1572" s="10"/>
      <c r="S1572" s="16"/>
      <c r="T1572" s="0" t="str">
        <f aca="false">IF(OR($D1572="",单元查询!$B$3=""),"",IF($D1572&lt;&gt;单元查询!$B$3,"",IF(OR(单元查询!$D$3="",$E1572&amp;""=单元查询!$D$3&amp;""),IF(ISNUMBER($B1572),$B1572*10000,0)+ROW(),"")))</f>
        <v/>
      </c>
      <c r="U1572" s="0" t="str">
        <f aca="false">IF(OR($B1572="",$L1572="已完成"),"",IF(ISNUMBER($B1572),IF(设置!$B$6&lt;$B1572,"",(设置!$B$6-$B1572)*100000+ROW()),""))</f>
        <v/>
      </c>
      <c r="V1572" s="0" t="str">
        <f aca="false">IF(ISNUMBER($O1572),IF($O1572&gt;=2,IF(COUNTIFS($D1572:$D$2006,$D1572,$E1572:$E$2006,$E1572)=1,ROW(),""),""),"")</f>
        <v/>
      </c>
    </row>
    <row r="1573" customFormat="false" ht="15" hidden="false" customHeight="true" outlineLevel="0" collapsed="false">
      <c r="A1573" s="13" t="str">
        <f aca="false">IF(AND($B1573="",$D1573="",$E1573="",$F1573=""),"",IF(OR($B1573="",$D1573="",$E1573=""),"待补",IF($D1573="公共区域","公",IF($D1573="商铺","S",SUBSTITUTE($D1573,"栋","")))&amp;"-"&amp;$E1573&amp;"-"&amp;TEXT(MONTH($B1573),"00")&amp;TEXT(DAY($B1573),"00")&amp;IF(ISNUMBER($O1573),IF($O1573&gt;1,"-"&amp;TEXT($O1573,"00"),""),"")))</f>
        <v/>
      </c>
      <c r="B1573" s="14"/>
      <c r="C1573" s="10"/>
      <c r="D1573" s="10"/>
      <c r="E1573" s="10"/>
      <c r="F1573" s="16"/>
      <c r="G1573" s="10"/>
      <c r="H1573" s="10"/>
      <c r="I1573" s="10"/>
      <c r="J1573" s="10"/>
      <c r="K1573" s="10"/>
      <c r="L1573" s="10"/>
      <c r="M1573" s="14"/>
      <c r="N1573" s="17" t="str">
        <f aca="false">IF($B1573="","",IF($L1573="已完成",IF($M1573="","",$M1573-$B1573),IF(设置!$B$6&lt;$B1573,"",IF((设置!$B$6-$B1573)&gt;=设置!$B$5,"超期"&amp;(设置!$B$6-$B1573)&amp;"天","已等"&amp;(设置!$B$6-$B1573)&amp;"天"))))</f>
        <v/>
      </c>
      <c r="O1573" s="18" t="str">
        <f aca="false">IF(OR($D1573="",$E1573=""),"",COUNTIFS($D$7:$D1573,$D1573,$E$7:$E1573,$E1573))</f>
        <v/>
      </c>
      <c r="P1573" s="16"/>
      <c r="Q1573" s="19"/>
      <c r="R1573" s="10"/>
      <c r="S1573" s="16"/>
      <c r="T1573" s="0" t="str">
        <f aca="false">IF(OR($D1573="",单元查询!$B$3=""),"",IF($D1573&lt;&gt;单元查询!$B$3,"",IF(OR(单元查询!$D$3="",$E1573&amp;""=单元查询!$D$3&amp;""),IF(ISNUMBER($B1573),$B1573*10000,0)+ROW(),"")))</f>
        <v/>
      </c>
      <c r="U1573" s="0" t="str">
        <f aca="false">IF(OR($B1573="",$L1573="已完成"),"",IF(ISNUMBER($B1573),IF(设置!$B$6&lt;$B1573,"",(设置!$B$6-$B1573)*100000+ROW()),""))</f>
        <v/>
      </c>
      <c r="V1573" s="0" t="str">
        <f aca="false">IF(ISNUMBER($O1573),IF($O1573&gt;=2,IF(COUNTIFS($D1573:$D$2006,$D1573,$E1573:$E$2006,$E1573)=1,ROW(),""),""),"")</f>
        <v/>
      </c>
    </row>
    <row r="1574" customFormat="false" ht="15" hidden="false" customHeight="true" outlineLevel="0" collapsed="false">
      <c r="A1574" s="13" t="str">
        <f aca="false">IF(AND($B1574="",$D1574="",$E1574="",$F1574=""),"",IF(OR($B1574="",$D1574="",$E1574=""),"待补",IF($D1574="公共区域","公",IF($D1574="商铺","S",SUBSTITUTE($D1574,"栋","")))&amp;"-"&amp;$E1574&amp;"-"&amp;TEXT(MONTH($B1574),"00")&amp;TEXT(DAY($B1574),"00")&amp;IF(ISNUMBER($O1574),IF($O1574&gt;1,"-"&amp;TEXT($O1574,"00"),""),"")))</f>
        <v/>
      </c>
      <c r="B1574" s="14"/>
      <c r="C1574" s="10"/>
      <c r="D1574" s="10"/>
      <c r="E1574" s="10"/>
      <c r="F1574" s="16"/>
      <c r="G1574" s="10"/>
      <c r="H1574" s="10"/>
      <c r="I1574" s="10"/>
      <c r="J1574" s="10"/>
      <c r="K1574" s="10"/>
      <c r="L1574" s="10"/>
      <c r="M1574" s="14"/>
      <c r="N1574" s="17" t="str">
        <f aca="false">IF($B1574="","",IF($L1574="已完成",IF($M1574="","",$M1574-$B1574),IF(设置!$B$6&lt;$B1574,"",IF((设置!$B$6-$B1574)&gt;=设置!$B$5,"超期"&amp;(设置!$B$6-$B1574)&amp;"天","已等"&amp;(设置!$B$6-$B1574)&amp;"天"))))</f>
        <v/>
      </c>
      <c r="O1574" s="18" t="str">
        <f aca="false">IF(OR($D1574="",$E1574=""),"",COUNTIFS($D$7:$D1574,$D1574,$E$7:$E1574,$E1574))</f>
        <v/>
      </c>
      <c r="P1574" s="16"/>
      <c r="Q1574" s="19"/>
      <c r="R1574" s="10"/>
      <c r="S1574" s="16"/>
      <c r="T1574" s="0" t="str">
        <f aca="false">IF(OR($D1574="",单元查询!$B$3=""),"",IF($D1574&lt;&gt;单元查询!$B$3,"",IF(OR(单元查询!$D$3="",$E1574&amp;""=单元查询!$D$3&amp;""),IF(ISNUMBER($B1574),$B1574*10000,0)+ROW(),"")))</f>
        <v/>
      </c>
      <c r="U1574" s="0" t="str">
        <f aca="false">IF(OR($B1574="",$L1574="已完成"),"",IF(ISNUMBER($B1574),IF(设置!$B$6&lt;$B1574,"",(设置!$B$6-$B1574)*100000+ROW()),""))</f>
        <v/>
      </c>
      <c r="V1574" s="0" t="str">
        <f aca="false">IF(ISNUMBER($O1574),IF($O1574&gt;=2,IF(COUNTIFS($D1574:$D$2006,$D1574,$E1574:$E$2006,$E1574)=1,ROW(),""),""),"")</f>
        <v/>
      </c>
    </row>
    <row r="1575" customFormat="false" ht="15" hidden="false" customHeight="true" outlineLevel="0" collapsed="false">
      <c r="A1575" s="13" t="str">
        <f aca="false">IF(AND($B1575="",$D1575="",$E1575="",$F1575=""),"",IF(OR($B1575="",$D1575="",$E1575=""),"待补",IF($D1575="公共区域","公",IF($D1575="商铺","S",SUBSTITUTE($D1575,"栋","")))&amp;"-"&amp;$E1575&amp;"-"&amp;TEXT(MONTH($B1575),"00")&amp;TEXT(DAY($B1575),"00")&amp;IF(ISNUMBER($O1575),IF($O1575&gt;1,"-"&amp;TEXT($O1575,"00"),""),"")))</f>
        <v/>
      </c>
      <c r="B1575" s="14"/>
      <c r="C1575" s="10"/>
      <c r="D1575" s="10"/>
      <c r="E1575" s="10"/>
      <c r="F1575" s="16"/>
      <c r="G1575" s="10"/>
      <c r="H1575" s="10"/>
      <c r="I1575" s="10"/>
      <c r="J1575" s="10"/>
      <c r="K1575" s="10"/>
      <c r="L1575" s="10"/>
      <c r="M1575" s="14"/>
      <c r="N1575" s="17" t="str">
        <f aca="false">IF($B1575="","",IF($L1575="已完成",IF($M1575="","",$M1575-$B1575),IF(设置!$B$6&lt;$B1575,"",IF((设置!$B$6-$B1575)&gt;=设置!$B$5,"超期"&amp;(设置!$B$6-$B1575)&amp;"天","已等"&amp;(设置!$B$6-$B1575)&amp;"天"))))</f>
        <v/>
      </c>
      <c r="O1575" s="18" t="str">
        <f aca="false">IF(OR($D1575="",$E1575=""),"",COUNTIFS($D$7:$D1575,$D1575,$E$7:$E1575,$E1575))</f>
        <v/>
      </c>
      <c r="P1575" s="16"/>
      <c r="Q1575" s="19"/>
      <c r="R1575" s="10"/>
      <c r="S1575" s="16"/>
      <c r="T1575" s="0" t="str">
        <f aca="false">IF(OR($D1575="",单元查询!$B$3=""),"",IF($D1575&lt;&gt;单元查询!$B$3,"",IF(OR(单元查询!$D$3="",$E1575&amp;""=单元查询!$D$3&amp;""),IF(ISNUMBER($B1575),$B1575*10000,0)+ROW(),"")))</f>
        <v/>
      </c>
      <c r="U1575" s="0" t="str">
        <f aca="false">IF(OR($B1575="",$L1575="已完成"),"",IF(ISNUMBER($B1575),IF(设置!$B$6&lt;$B1575,"",(设置!$B$6-$B1575)*100000+ROW()),""))</f>
        <v/>
      </c>
      <c r="V1575" s="0" t="str">
        <f aca="false">IF(ISNUMBER($O1575),IF($O1575&gt;=2,IF(COUNTIFS($D1575:$D$2006,$D1575,$E1575:$E$2006,$E1575)=1,ROW(),""),""),"")</f>
        <v/>
      </c>
    </row>
    <row r="1576" customFormat="false" ht="15" hidden="false" customHeight="true" outlineLevel="0" collapsed="false">
      <c r="A1576" s="13" t="str">
        <f aca="false">IF(AND($B1576="",$D1576="",$E1576="",$F1576=""),"",IF(OR($B1576="",$D1576="",$E1576=""),"待补",IF($D1576="公共区域","公",IF($D1576="商铺","S",SUBSTITUTE($D1576,"栋","")))&amp;"-"&amp;$E1576&amp;"-"&amp;TEXT(MONTH($B1576),"00")&amp;TEXT(DAY($B1576),"00")&amp;IF(ISNUMBER($O1576),IF($O1576&gt;1,"-"&amp;TEXT($O1576,"00"),""),"")))</f>
        <v/>
      </c>
      <c r="B1576" s="14"/>
      <c r="C1576" s="10"/>
      <c r="D1576" s="10"/>
      <c r="E1576" s="10"/>
      <c r="F1576" s="16"/>
      <c r="G1576" s="10"/>
      <c r="H1576" s="10"/>
      <c r="I1576" s="10"/>
      <c r="J1576" s="10"/>
      <c r="K1576" s="10"/>
      <c r="L1576" s="10"/>
      <c r="M1576" s="14"/>
      <c r="N1576" s="17" t="str">
        <f aca="false">IF($B1576="","",IF($L1576="已完成",IF($M1576="","",$M1576-$B1576),IF(设置!$B$6&lt;$B1576,"",IF((设置!$B$6-$B1576)&gt;=设置!$B$5,"超期"&amp;(设置!$B$6-$B1576)&amp;"天","已等"&amp;(设置!$B$6-$B1576)&amp;"天"))))</f>
        <v/>
      </c>
      <c r="O1576" s="18" t="str">
        <f aca="false">IF(OR($D1576="",$E1576=""),"",COUNTIFS($D$7:$D1576,$D1576,$E$7:$E1576,$E1576))</f>
        <v/>
      </c>
      <c r="P1576" s="16"/>
      <c r="Q1576" s="19"/>
      <c r="R1576" s="10"/>
      <c r="S1576" s="16"/>
      <c r="T1576" s="0" t="str">
        <f aca="false">IF(OR($D1576="",单元查询!$B$3=""),"",IF($D1576&lt;&gt;单元查询!$B$3,"",IF(OR(单元查询!$D$3="",$E1576&amp;""=单元查询!$D$3&amp;""),IF(ISNUMBER($B1576),$B1576*10000,0)+ROW(),"")))</f>
        <v/>
      </c>
      <c r="U1576" s="0" t="str">
        <f aca="false">IF(OR($B1576="",$L1576="已完成"),"",IF(ISNUMBER($B1576),IF(设置!$B$6&lt;$B1576,"",(设置!$B$6-$B1576)*100000+ROW()),""))</f>
        <v/>
      </c>
      <c r="V1576" s="0" t="str">
        <f aca="false">IF(ISNUMBER($O1576),IF($O1576&gt;=2,IF(COUNTIFS($D1576:$D$2006,$D1576,$E1576:$E$2006,$E1576)=1,ROW(),""),""),"")</f>
        <v/>
      </c>
    </row>
    <row r="1577" customFormat="false" ht="15" hidden="false" customHeight="true" outlineLevel="0" collapsed="false">
      <c r="A1577" s="13" t="str">
        <f aca="false">IF(AND($B1577="",$D1577="",$E1577="",$F1577=""),"",IF(OR($B1577="",$D1577="",$E1577=""),"待补",IF($D1577="公共区域","公",IF($D1577="商铺","S",SUBSTITUTE($D1577,"栋","")))&amp;"-"&amp;$E1577&amp;"-"&amp;TEXT(MONTH($B1577),"00")&amp;TEXT(DAY($B1577),"00")&amp;IF(ISNUMBER($O1577),IF($O1577&gt;1,"-"&amp;TEXT($O1577,"00"),""),"")))</f>
        <v/>
      </c>
      <c r="B1577" s="14"/>
      <c r="C1577" s="10"/>
      <c r="D1577" s="10"/>
      <c r="E1577" s="10"/>
      <c r="F1577" s="16"/>
      <c r="G1577" s="10"/>
      <c r="H1577" s="10"/>
      <c r="I1577" s="10"/>
      <c r="J1577" s="10"/>
      <c r="K1577" s="10"/>
      <c r="L1577" s="10"/>
      <c r="M1577" s="14"/>
      <c r="N1577" s="17" t="str">
        <f aca="false">IF($B1577="","",IF($L1577="已完成",IF($M1577="","",$M1577-$B1577),IF(设置!$B$6&lt;$B1577,"",IF((设置!$B$6-$B1577)&gt;=设置!$B$5,"超期"&amp;(设置!$B$6-$B1577)&amp;"天","已等"&amp;(设置!$B$6-$B1577)&amp;"天"))))</f>
        <v/>
      </c>
      <c r="O1577" s="18" t="str">
        <f aca="false">IF(OR($D1577="",$E1577=""),"",COUNTIFS($D$7:$D1577,$D1577,$E$7:$E1577,$E1577))</f>
        <v/>
      </c>
      <c r="P1577" s="16"/>
      <c r="Q1577" s="19"/>
      <c r="R1577" s="10"/>
      <c r="S1577" s="16"/>
      <c r="T1577" s="0" t="str">
        <f aca="false">IF(OR($D1577="",单元查询!$B$3=""),"",IF($D1577&lt;&gt;单元查询!$B$3,"",IF(OR(单元查询!$D$3="",$E1577&amp;""=单元查询!$D$3&amp;""),IF(ISNUMBER($B1577),$B1577*10000,0)+ROW(),"")))</f>
        <v/>
      </c>
      <c r="U1577" s="0" t="str">
        <f aca="false">IF(OR($B1577="",$L1577="已完成"),"",IF(ISNUMBER($B1577),IF(设置!$B$6&lt;$B1577,"",(设置!$B$6-$B1577)*100000+ROW()),""))</f>
        <v/>
      </c>
      <c r="V1577" s="0" t="str">
        <f aca="false">IF(ISNUMBER($O1577),IF($O1577&gt;=2,IF(COUNTIFS($D1577:$D$2006,$D1577,$E1577:$E$2006,$E1577)=1,ROW(),""),""),"")</f>
        <v/>
      </c>
    </row>
    <row r="1578" customFormat="false" ht="15" hidden="false" customHeight="true" outlineLevel="0" collapsed="false">
      <c r="A1578" s="13" t="str">
        <f aca="false">IF(AND($B1578="",$D1578="",$E1578="",$F1578=""),"",IF(OR($B1578="",$D1578="",$E1578=""),"待补",IF($D1578="公共区域","公",IF($D1578="商铺","S",SUBSTITUTE($D1578,"栋","")))&amp;"-"&amp;$E1578&amp;"-"&amp;TEXT(MONTH($B1578),"00")&amp;TEXT(DAY($B1578),"00")&amp;IF(ISNUMBER($O1578),IF($O1578&gt;1,"-"&amp;TEXT($O1578,"00"),""),"")))</f>
        <v/>
      </c>
      <c r="B1578" s="14"/>
      <c r="C1578" s="10"/>
      <c r="D1578" s="10"/>
      <c r="E1578" s="10"/>
      <c r="F1578" s="16"/>
      <c r="G1578" s="10"/>
      <c r="H1578" s="10"/>
      <c r="I1578" s="10"/>
      <c r="J1578" s="10"/>
      <c r="K1578" s="10"/>
      <c r="L1578" s="10"/>
      <c r="M1578" s="14"/>
      <c r="N1578" s="17" t="str">
        <f aca="false">IF($B1578="","",IF($L1578="已完成",IF($M1578="","",$M1578-$B1578),IF(设置!$B$6&lt;$B1578,"",IF((设置!$B$6-$B1578)&gt;=设置!$B$5,"超期"&amp;(设置!$B$6-$B1578)&amp;"天","已等"&amp;(设置!$B$6-$B1578)&amp;"天"))))</f>
        <v/>
      </c>
      <c r="O1578" s="18" t="str">
        <f aca="false">IF(OR($D1578="",$E1578=""),"",COUNTIFS($D$7:$D1578,$D1578,$E$7:$E1578,$E1578))</f>
        <v/>
      </c>
      <c r="P1578" s="16"/>
      <c r="Q1578" s="19"/>
      <c r="R1578" s="10"/>
      <c r="S1578" s="16"/>
      <c r="T1578" s="0" t="str">
        <f aca="false">IF(OR($D1578="",单元查询!$B$3=""),"",IF($D1578&lt;&gt;单元查询!$B$3,"",IF(OR(单元查询!$D$3="",$E1578&amp;""=单元查询!$D$3&amp;""),IF(ISNUMBER($B1578),$B1578*10000,0)+ROW(),"")))</f>
        <v/>
      </c>
      <c r="U1578" s="0" t="str">
        <f aca="false">IF(OR($B1578="",$L1578="已完成"),"",IF(ISNUMBER($B1578),IF(设置!$B$6&lt;$B1578,"",(设置!$B$6-$B1578)*100000+ROW()),""))</f>
        <v/>
      </c>
      <c r="V1578" s="0" t="str">
        <f aca="false">IF(ISNUMBER($O1578),IF($O1578&gt;=2,IF(COUNTIFS($D1578:$D$2006,$D1578,$E1578:$E$2006,$E1578)=1,ROW(),""),""),"")</f>
        <v/>
      </c>
    </row>
    <row r="1579" customFormat="false" ht="15" hidden="false" customHeight="true" outlineLevel="0" collapsed="false">
      <c r="A1579" s="13" t="str">
        <f aca="false">IF(AND($B1579="",$D1579="",$E1579="",$F1579=""),"",IF(OR($B1579="",$D1579="",$E1579=""),"待补",IF($D1579="公共区域","公",IF($D1579="商铺","S",SUBSTITUTE($D1579,"栋","")))&amp;"-"&amp;$E1579&amp;"-"&amp;TEXT(MONTH($B1579),"00")&amp;TEXT(DAY($B1579),"00")&amp;IF(ISNUMBER($O1579),IF($O1579&gt;1,"-"&amp;TEXT($O1579,"00"),""),"")))</f>
        <v/>
      </c>
      <c r="B1579" s="14"/>
      <c r="C1579" s="10"/>
      <c r="D1579" s="10"/>
      <c r="E1579" s="10"/>
      <c r="F1579" s="16"/>
      <c r="G1579" s="10"/>
      <c r="H1579" s="10"/>
      <c r="I1579" s="10"/>
      <c r="J1579" s="10"/>
      <c r="K1579" s="10"/>
      <c r="L1579" s="10"/>
      <c r="M1579" s="14"/>
      <c r="N1579" s="17" t="str">
        <f aca="false">IF($B1579="","",IF($L1579="已完成",IF($M1579="","",$M1579-$B1579),IF(设置!$B$6&lt;$B1579,"",IF((设置!$B$6-$B1579)&gt;=设置!$B$5,"超期"&amp;(设置!$B$6-$B1579)&amp;"天","已等"&amp;(设置!$B$6-$B1579)&amp;"天"))))</f>
        <v/>
      </c>
      <c r="O1579" s="18" t="str">
        <f aca="false">IF(OR($D1579="",$E1579=""),"",COUNTIFS($D$7:$D1579,$D1579,$E$7:$E1579,$E1579))</f>
        <v/>
      </c>
      <c r="P1579" s="16"/>
      <c r="Q1579" s="19"/>
      <c r="R1579" s="10"/>
      <c r="S1579" s="16"/>
      <c r="T1579" s="0" t="str">
        <f aca="false">IF(OR($D1579="",单元查询!$B$3=""),"",IF($D1579&lt;&gt;单元查询!$B$3,"",IF(OR(单元查询!$D$3="",$E1579&amp;""=单元查询!$D$3&amp;""),IF(ISNUMBER($B1579),$B1579*10000,0)+ROW(),"")))</f>
        <v/>
      </c>
      <c r="U1579" s="0" t="str">
        <f aca="false">IF(OR($B1579="",$L1579="已完成"),"",IF(ISNUMBER($B1579),IF(设置!$B$6&lt;$B1579,"",(设置!$B$6-$B1579)*100000+ROW()),""))</f>
        <v/>
      </c>
      <c r="V1579" s="0" t="str">
        <f aca="false">IF(ISNUMBER($O1579),IF($O1579&gt;=2,IF(COUNTIFS($D1579:$D$2006,$D1579,$E1579:$E$2006,$E1579)=1,ROW(),""),""),"")</f>
        <v/>
      </c>
    </row>
    <row r="1580" customFormat="false" ht="15" hidden="false" customHeight="true" outlineLevel="0" collapsed="false">
      <c r="A1580" s="13" t="str">
        <f aca="false">IF(AND($B1580="",$D1580="",$E1580="",$F1580=""),"",IF(OR($B1580="",$D1580="",$E1580=""),"待补",IF($D1580="公共区域","公",IF($D1580="商铺","S",SUBSTITUTE($D1580,"栋","")))&amp;"-"&amp;$E1580&amp;"-"&amp;TEXT(MONTH($B1580),"00")&amp;TEXT(DAY($B1580),"00")&amp;IF(ISNUMBER($O1580),IF($O1580&gt;1,"-"&amp;TEXT($O1580,"00"),""),"")))</f>
        <v/>
      </c>
      <c r="B1580" s="14"/>
      <c r="C1580" s="10"/>
      <c r="D1580" s="10"/>
      <c r="E1580" s="10"/>
      <c r="F1580" s="16"/>
      <c r="G1580" s="10"/>
      <c r="H1580" s="10"/>
      <c r="I1580" s="10"/>
      <c r="J1580" s="10"/>
      <c r="K1580" s="10"/>
      <c r="L1580" s="10"/>
      <c r="M1580" s="14"/>
      <c r="N1580" s="17" t="str">
        <f aca="false">IF($B1580="","",IF($L1580="已完成",IF($M1580="","",$M1580-$B1580),IF(设置!$B$6&lt;$B1580,"",IF((设置!$B$6-$B1580)&gt;=设置!$B$5,"超期"&amp;(设置!$B$6-$B1580)&amp;"天","已等"&amp;(设置!$B$6-$B1580)&amp;"天"))))</f>
        <v/>
      </c>
      <c r="O1580" s="18" t="str">
        <f aca="false">IF(OR($D1580="",$E1580=""),"",COUNTIFS($D$7:$D1580,$D1580,$E$7:$E1580,$E1580))</f>
        <v/>
      </c>
      <c r="P1580" s="16"/>
      <c r="Q1580" s="19"/>
      <c r="R1580" s="10"/>
      <c r="S1580" s="16"/>
      <c r="T1580" s="0" t="str">
        <f aca="false">IF(OR($D1580="",单元查询!$B$3=""),"",IF($D1580&lt;&gt;单元查询!$B$3,"",IF(OR(单元查询!$D$3="",$E1580&amp;""=单元查询!$D$3&amp;""),IF(ISNUMBER($B1580),$B1580*10000,0)+ROW(),"")))</f>
        <v/>
      </c>
      <c r="U1580" s="0" t="str">
        <f aca="false">IF(OR($B1580="",$L1580="已完成"),"",IF(ISNUMBER($B1580),IF(设置!$B$6&lt;$B1580,"",(设置!$B$6-$B1580)*100000+ROW()),""))</f>
        <v/>
      </c>
      <c r="V1580" s="0" t="str">
        <f aca="false">IF(ISNUMBER($O1580),IF($O1580&gt;=2,IF(COUNTIFS($D1580:$D$2006,$D1580,$E1580:$E$2006,$E1580)=1,ROW(),""),""),"")</f>
        <v/>
      </c>
    </row>
    <row r="1581" customFormat="false" ht="15" hidden="false" customHeight="true" outlineLevel="0" collapsed="false">
      <c r="A1581" s="13" t="str">
        <f aca="false">IF(AND($B1581="",$D1581="",$E1581="",$F1581=""),"",IF(OR($B1581="",$D1581="",$E1581=""),"待补",IF($D1581="公共区域","公",IF($D1581="商铺","S",SUBSTITUTE($D1581,"栋","")))&amp;"-"&amp;$E1581&amp;"-"&amp;TEXT(MONTH($B1581),"00")&amp;TEXT(DAY($B1581),"00")&amp;IF(ISNUMBER($O1581),IF($O1581&gt;1,"-"&amp;TEXT($O1581,"00"),""),"")))</f>
        <v/>
      </c>
      <c r="B1581" s="14"/>
      <c r="C1581" s="10"/>
      <c r="D1581" s="10"/>
      <c r="E1581" s="10"/>
      <c r="F1581" s="16"/>
      <c r="G1581" s="10"/>
      <c r="H1581" s="10"/>
      <c r="I1581" s="10"/>
      <c r="J1581" s="10"/>
      <c r="K1581" s="10"/>
      <c r="L1581" s="10"/>
      <c r="M1581" s="14"/>
      <c r="N1581" s="17" t="str">
        <f aca="false">IF($B1581="","",IF($L1581="已完成",IF($M1581="","",$M1581-$B1581),IF(设置!$B$6&lt;$B1581,"",IF((设置!$B$6-$B1581)&gt;=设置!$B$5,"超期"&amp;(设置!$B$6-$B1581)&amp;"天","已等"&amp;(设置!$B$6-$B1581)&amp;"天"))))</f>
        <v/>
      </c>
      <c r="O1581" s="18" t="str">
        <f aca="false">IF(OR($D1581="",$E1581=""),"",COUNTIFS($D$7:$D1581,$D1581,$E$7:$E1581,$E1581))</f>
        <v/>
      </c>
      <c r="P1581" s="16"/>
      <c r="Q1581" s="19"/>
      <c r="R1581" s="10"/>
      <c r="S1581" s="16"/>
      <c r="T1581" s="0" t="str">
        <f aca="false">IF(OR($D1581="",单元查询!$B$3=""),"",IF($D1581&lt;&gt;单元查询!$B$3,"",IF(OR(单元查询!$D$3="",$E1581&amp;""=单元查询!$D$3&amp;""),IF(ISNUMBER($B1581),$B1581*10000,0)+ROW(),"")))</f>
        <v/>
      </c>
      <c r="U1581" s="0" t="str">
        <f aca="false">IF(OR($B1581="",$L1581="已完成"),"",IF(ISNUMBER($B1581),IF(设置!$B$6&lt;$B1581,"",(设置!$B$6-$B1581)*100000+ROW()),""))</f>
        <v/>
      </c>
      <c r="V1581" s="0" t="str">
        <f aca="false">IF(ISNUMBER($O1581),IF($O1581&gt;=2,IF(COUNTIFS($D1581:$D$2006,$D1581,$E1581:$E$2006,$E1581)=1,ROW(),""),""),"")</f>
        <v/>
      </c>
    </row>
    <row r="1582" customFormat="false" ht="15" hidden="false" customHeight="true" outlineLevel="0" collapsed="false">
      <c r="A1582" s="13" t="str">
        <f aca="false">IF(AND($B1582="",$D1582="",$E1582="",$F1582=""),"",IF(OR($B1582="",$D1582="",$E1582=""),"待补",IF($D1582="公共区域","公",IF($D1582="商铺","S",SUBSTITUTE($D1582,"栋","")))&amp;"-"&amp;$E1582&amp;"-"&amp;TEXT(MONTH($B1582),"00")&amp;TEXT(DAY($B1582),"00")&amp;IF(ISNUMBER($O1582),IF($O1582&gt;1,"-"&amp;TEXT($O1582,"00"),""),"")))</f>
        <v/>
      </c>
      <c r="B1582" s="14"/>
      <c r="C1582" s="10"/>
      <c r="D1582" s="10"/>
      <c r="E1582" s="10"/>
      <c r="F1582" s="16"/>
      <c r="G1582" s="10"/>
      <c r="H1582" s="10"/>
      <c r="I1582" s="10"/>
      <c r="J1582" s="10"/>
      <c r="K1582" s="10"/>
      <c r="L1582" s="10"/>
      <c r="M1582" s="14"/>
      <c r="N1582" s="17" t="str">
        <f aca="false">IF($B1582="","",IF($L1582="已完成",IF($M1582="","",$M1582-$B1582),IF(设置!$B$6&lt;$B1582,"",IF((设置!$B$6-$B1582)&gt;=设置!$B$5,"超期"&amp;(设置!$B$6-$B1582)&amp;"天","已等"&amp;(设置!$B$6-$B1582)&amp;"天"))))</f>
        <v/>
      </c>
      <c r="O1582" s="18" t="str">
        <f aca="false">IF(OR($D1582="",$E1582=""),"",COUNTIFS($D$7:$D1582,$D1582,$E$7:$E1582,$E1582))</f>
        <v/>
      </c>
      <c r="P1582" s="16"/>
      <c r="Q1582" s="19"/>
      <c r="R1582" s="10"/>
      <c r="S1582" s="16"/>
      <c r="T1582" s="0" t="str">
        <f aca="false">IF(OR($D1582="",单元查询!$B$3=""),"",IF($D1582&lt;&gt;单元查询!$B$3,"",IF(OR(单元查询!$D$3="",$E1582&amp;""=单元查询!$D$3&amp;""),IF(ISNUMBER($B1582),$B1582*10000,0)+ROW(),"")))</f>
        <v/>
      </c>
      <c r="U1582" s="0" t="str">
        <f aca="false">IF(OR($B1582="",$L1582="已完成"),"",IF(ISNUMBER($B1582),IF(设置!$B$6&lt;$B1582,"",(设置!$B$6-$B1582)*100000+ROW()),""))</f>
        <v/>
      </c>
      <c r="V1582" s="0" t="str">
        <f aca="false">IF(ISNUMBER($O1582),IF($O1582&gt;=2,IF(COUNTIFS($D1582:$D$2006,$D1582,$E1582:$E$2006,$E1582)=1,ROW(),""),""),"")</f>
        <v/>
      </c>
    </row>
    <row r="1583" customFormat="false" ht="15" hidden="false" customHeight="true" outlineLevel="0" collapsed="false">
      <c r="A1583" s="13" t="str">
        <f aca="false">IF(AND($B1583="",$D1583="",$E1583="",$F1583=""),"",IF(OR($B1583="",$D1583="",$E1583=""),"待补",IF($D1583="公共区域","公",IF($D1583="商铺","S",SUBSTITUTE($D1583,"栋","")))&amp;"-"&amp;$E1583&amp;"-"&amp;TEXT(MONTH($B1583),"00")&amp;TEXT(DAY($B1583),"00")&amp;IF(ISNUMBER($O1583),IF($O1583&gt;1,"-"&amp;TEXT($O1583,"00"),""),"")))</f>
        <v/>
      </c>
      <c r="B1583" s="14"/>
      <c r="C1583" s="10"/>
      <c r="D1583" s="10"/>
      <c r="E1583" s="10"/>
      <c r="F1583" s="16"/>
      <c r="G1583" s="10"/>
      <c r="H1583" s="10"/>
      <c r="I1583" s="10"/>
      <c r="J1583" s="10"/>
      <c r="K1583" s="10"/>
      <c r="L1583" s="10"/>
      <c r="M1583" s="14"/>
      <c r="N1583" s="17" t="str">
        <f aca="false">IF($B1583="","",IF($L1583="已完成",IF($M1583="","",$M1583-$B1583),IF(设置!$B$6&lt;$B1583,"",IF((设置!$B$6-$B1583)&gt;=设置!$B$5,"超期"&amp;(设置!$B$6-$B1583)&amp;"天","已等"&amp;(设置!$B$6-$B1583)&amp;"天"))))</f>
        <v/>
      </c>
      <c r="O1583" s="18" t="str">
        <f aca="false">IF(OR($D1583="",$E1583=""),"",COUNTIFS($D$7:$D1583,$D1583,$E$7:$E1583,$E1583))</f>
        <v/>
      </c>
      <c r="P1583" s="16"/>
      <c r="Q1583" s="19"/>
      <c r="R1583" s="10"/>
      <c r="S1583" s="16"/>
      <c r="T1583" s="0" t="str">
        <f aca="false">IF(OR($D1583="",单元查询!$B$3=""),"",IF($D1583&lt;&gt;单元查询!$B$3,"",IF(OR(单元查询!$D$3="",$E1583&amp;""=单元查询!$D$3&amp;""),IF(ISNUMBER($B1583),$B1583*10000,0)+ROW(),"")))</f>
        <v/>
      </c>
      <c r="U1583" s="0" t="str">
        <f aca="false">IF(OR($B1583="",$L1583="已完成"),"",IF(ISNUMBER($B1583),IF(设置!$B$6&lt;$B1583,"",(设置!$B$6-$B1583)*100000+ROW()),""))</f>
        <v/>
      </c>
      <c r="V1583" s="0" t="str">
        <f aca="false">IF(ISNUMBER($O1583),IF($O1583&gt;=2,IF(COUNTIFS($D1583:$D$2006,$D1583,$E1583:$E$2006,$E1583)=1,ROW(),""),""),"")</f>
        <v/>
      </c>
    </row>
    <row r="1584" customFormat="false" ht="15" hidden="false" customHeight="true" outlineLevel="0" collapsed="false">
      <c r="A1584" s="13" t="str">
        <f aca="false">IF(AND($B1584="",$D1584="",$E1584="",$F1584=""),"",IF(OR($B1584="",$D1584="",$E1584=""),"待补",IF($D1584="公共区域","公",IF($D1584="商铺","S",SUBSTITUTE($D1584,"栋","")))&amp;"-"&amp;$E1584&amp;"-"&amp;TEXT(MONTH($B1584),"00")&amp;TEXT(DAY($B1584),"00")&amp;IF(ISNUMBER($O1584),IF($O1584&gt;1,"-"&amp;TEXT($O1584,"00"),""),"")))</f>
        <v/>
      </c>
      <c r="B1584" s="14"/>
      <c r="C1584" s="10"/>
      <c r="D1584" s="10"/>
      <c r="E1584" s="10"/>
      <c r="F1584" s="16"/>
      <c r="G1584" s="10"/>
      <c r="H1584" s="10"/>
      <c r="I1584" s="10"/>
      <c r="J1584" s="10"/>
      <c r="K1584" s="10"/>
      <c r="L1584" s="10"/>
      <c r="M1584" s="14"/>
      <c r="N1584" s="17" t="str">
        <f aca="false">IF($B1584="","",IF($L1584="已完成",IF($M1584="","",$M1584-$B1584),IF(设置!$B$6&lt;$B1584,"",IF((设置!$B$6-$B1584)&gt;=设置!$B$5,"超期"&amp;(设置!$B$6-$B1584)&amp;"天","已等"&amp;(设置!$B$6-$B1584)&amp;"天"))))</f>
        <v/>
      </c>
      <c r="O1584" s="18" t="str">
        <f aca="false">IF(OR($D1584="",$E1584=""),"",COUNTIFS($D$7:$D1584,$D1584,$E$7:$E1584,$E1584))</f>
        <v/>
      </c>
      <c r="P1584" s="16"/>
      <c r="Q1584" s="19"/>
      <c r="R1584" s="10"/>
      <c r="S1584" s="16"/>
      <c r="T1584" s="0" t="str">
        <f aca="false">IF(OR($D1584="",单元查询!$B$3=""),"",IF($D1584&lt;&gt;单元查询!$B$3,"",IF(OR(单元查询!$D$3="",$E1584&amp;""=单元查询!$D$3&amp;""),IF(ISNUMBER($B1584),$B1584*10000,0)+ROW(),"")))</f>
        <v/>
      </c>
      <c r="U1584" s="0" t="str">
        <f aca="false">IF(OR($B1584="",$L1584="已完成"),"",IF(ISNUMBER($B1584),IF(设置!$B$6&lt;$B1584,"",(设置!$B$6-$B1584)*100000+ROW()),""))</f>
        <v/>
      </c>
      <c r="V1584" s="0" t="str">
        <f aca="false">IF(ISNUMBER($O1584),IF($O1584&gt;=2,IF(COUNTIFS($D1584:$D$2006,$D1584,$E1584:$E$2006,$E1584)=1,ROW(),""),""),"")</f>
        <v/>
      </c>
    </row>
    <row r="1585" customFormat="false" ht="15" hidden="false" customHeight="true" outlineLevel="0" collapsed="false">
      <c r="A1585" s="13" t="str">
        <f aca="false">IF(AND($B1585="",$D1585="",$E1585="",$F1585=""),"",IF(OR($B1585="",$D1585="",$E1585=""),"待补",IF($D1585="公共区域","公",IF($D1585="商铺","S",SUBSTITUTE($D1585,"栋","")))&amp;"-"&amp;$E1585&amp;"-"&amp;TEXT(MONTH($B1585),"00")&amp;TEXT(DAY($B1585),"00")&amp;IF(ISNUMBER($O1585),IF($O1585&gt;1,"-"&amp;TEXT($O1585,"00"),""),"")))</f>
        <v/>
      </c>
      <c r="B1585" s="14"/>
      <c r="C1585" s="10"/>
      <c r="D1585" s="10"/>
      <c r="E1585" s="10"/>
      <c r="F1585" s="16"/>
      <c r="G1585" s="10"/>
      <c r="H1585" s="10"/>
      <c r="I1585" s="10"/>
      <c r="J1585" s="10"/>
      <c r="K1585" s="10"/>
      <c r="L1585" s="10"/>
      <c r="M1585" s="14"/>
      <c r="N1585" s="17" t="str">
        <f aca="false">IF($B1585="","",IF($L1585="已完成",IF($M1585="","",$M1585-$B1585),IF(设置!$B$6&lt;$B1585,"",IF((设置!$B$6-$B1585)&gt;=设置!$B$5,"超期"&amp;(设置!$B$6-$B1585)&amp;"天","已等"&amp;(设置!$B$6-$B1585)&amp;"天"))))</f>
        <v/>
      </c>
      <c r="O1585" s="18" t="str">
        <f aca="false">IF(OR($D1585="",$E1585=""),"",COUNTIFS($D$7:$D1585,$D1585,$E$7:$E1585,$E1585))</f>
        <v/>
      </c>
      <c r="P1585" s="16"/>
      <c r="Q1585" s="19"/>
      <c r="R1585" s="10"/>
      <c r="S1585" s="16"/>
      <c r="T1585" s="0" t="str">
        <f aca="false">IF(OR($D1585="",单元查询!$B$3=""),"",IF($D1585&lt;&gt;单元查询!$B$3,"",IF(OR(单元查询!$D$3="",$E1585&amp;""=单元查询!$D$3&amp;""),IF(ISNUMBER($B1585),$B1585*10000,0)+ROW(),"")))</f>
        <v/>
      </c>
      <c r="U1585" s="0" t="str">
        <f aca="false">IF(OR($B1585="",$L1585="已完成"),"",IF(ISNUMBER($B1585),IF(设置!$B$6&lt;$B1585,"",(设置!$B$6-$B1585)*100000+ROW()),""))</f>
        <v/>
      </c>
      <c r="V1585" s="0" t="str">
        <f aca="false">IF(ISNUMBER($O1585),IF($O1585&gt;=2,IF(COUNTIFS($D1585:$D$2006,$D1585,$E1585:$E$2006,$E1585)=1,ROW(),""),""),"")</f>
        <v/>
      </c>
    </row>
    <row r="1586" customFormat="false" ht="15" hidden="false" customHeight="true" outlineLevel="0" collapsed="false">
      <c r="A1586" s="13" t="str">
        <f aca="false">IF(AND($B1586="",$D1586="",$E1586="",$F1586=""),"",IF(OR($B1586="",$D1586="",$E1586=""),"待补",IF($D1586="公共区域","公",IF($D1586="商铺","S",SUBSTITUTE($D1586,"栋","")))&amp;"-"&amp;$E1586&amp;"-"&amp;TEXT(MONTH($B1586),"00")&amp;TEXT(DAY($B1586),"00")&amp;IF(ISNUMBER($O1586),IF($O1586&gt;1,"-"&amp;TEXT($O1586,"00"),""),"")))</f>
        <v/>
      </c>
      <c r="B1586" s="14"/>
      <c r="C1586" s="10"/>
      <c r="D1586" s="10"/>
      <c r="E1586" s="10"/>
      <c r="F1586" s="16"/>
      <c r="G1586" s="10"/>
      <c r="H1586" s="10"/>
      <c r="I1586" s="10"/>
      <c r="J1586" s="10"/>
      <c r="K1586" s="10"/>
      <c r="L1586" s="10"/>
      <c r="M1586" s="14"/>
      <c r="N1586" s="17" t="str">
        <f aca="false">IF($B1586="","",IF($L1586="已完成",IF($M1586="","",$M1586-$B1586),IF(设置!$B$6&lt;$B1586,"",IF((设置!$B$6-$B1586)&gt;=设置!$B$5,"超期"&amp;(设置!$B$6-$B1586)&amp;"天","已等"&amp;(设置!$B$6-$B1586)&amp;"天"))))</f>
        <v/>
      </c>
      <c r="O1586" s="18" t="str">
        <f aca="false">IF(OR($D1586="",$E1586=""),"",COUNTIFS($D$7:$D1586,$D1586,$E$7:$E1586,$E1586))</f>
        <v/>
      </c>
      <c r="P1586" s="16"/>
      <c r="Q1586" s="19"/>
      <c r="R1586" s="10"/>
      <c r="S1586" s="16"/>
      <c r="T1586" s="0" t="str">
        <f aca="false">IF(OR($D1586="",单元查询!$B$3=""),"",IF($D1586&lt;&gt;单元查询!$B$3,"",IF(OR(单元查询!$D$3="",$E1586&amp;""=单元查询!$D$3&amp;""),IF(ISNUMBER($B1586),$B1586*10000,0)+ROW(),"")))</f>
        <v/>
      </c>
      <c r="U1586" s="0" t="str">
        <f aca="false">IF(OR($B1586="",$L1586="已完成"),"",IF(ISNUMBER($B1586),IF(设置!$B$6&lt;$B1586,"",(设置!$B$6-$B1586)*100000+ROW()),""))</f>
        <v/>
      </c>
      <c r="V1586" s="0" t="str">
        <f aca="false">IF(ISNUMBER($O1586),IF($O1586&gt;=2,IF(COUNTIFS($D1586:$D$2006,$D1586,$E1586:$E$2006,$E1586)=1,ROW(),""),""),"")</f>
        <v/>
      </c>
    </row>
    <row r="1587" customFormat="false" ht="15" hidden="false" customHeight="true" outlineLevel="0" collapsed="false">
      <c r="A1587" s="13" t="str">
        <f aca="false">IF(AND($B1587="",$D1587="",$E1587="",$F1587=""),"",IF(OR($B1587="",$D1587="",$E1587=""),"待补",IF($D1587="公共区域","公",IF($D1587="商铺","S",SUBSTITUTE($D1587,"栋","")))&amp;"-"&amp;$E1587&amp;"-"&amp;TEXT(MONTH($B1587),"00")&amp;TEXT(DAY($B1587),"00")&amp;IF(ISNUMBER($O1587),IF($O1587&gt;1,"-"&amp;TEXT($O1587,"00"),""),"")))</f>
        <v/>
      </c>
      <c r="B1587" s="14"/>
      <c r="C1587" s="10"/>
      <c r="D1587" s="10"/>
      <c r="E1587" s="10"/>
      <c r="F1587" s="16"/>
      <c r="G1587" s="10"/>
      <c r="H1587" s="10"/>
      <c r="I1587" s="10"/>
      <c r="J1587" s="10"/>
      <c r="K1587" s="10"/>
      <c r="L1587" s="10"/>
      <c r="M1587" s="14"/>
      <c r="N1587" s="17" t="str">
        <f aca="false">IF($B1587="","",IF($L1587="已完成",IF($M1587="","",$M1587-$B1587),IF(设置!$B$6&lt;$B1587,"",IF((设置!$B$6-$B1587)&gt;=设置!$B$5,"超期"&amp;(设置!$B$6-$B1587)&amp;"天","已等"&amp;(设置!$B$6-$B1587)&amp;"天"))))</f>
        <v/>
      </c>
      <c r="O1587" s="18" t="str">
        <f aca="false">IF(OR($D1587="",$E1587=""),"",COUNTIFS($D$7:$D1587,$D1587,$E$7:$E1587,$E1587))</f>
        <v/>
      </c>
      <c r="P1587" s="16"/>
      <c r="Q1587" s="19"/>
      <c r="R1587" s="10"/>
      <c r="S1587" s="16"/>
      <c r="T1587" s="0" t="str">
        <f aca="false">IF(OR($D1587="",单元查询!$B$3=""),"",IF($D1587&lt;&gt;单元查询!$B$3,"",IF(OR(单元查询!$D$3="",$E1587&amp;""=单元查询!$D$3&amp;""),IF(ISNUMBER($B1587),$B1587*10000,0)+ROW(),"")))</f>
        <v/>
      </c>
      <c r="U1587" s="0" t="str">
        <f aca="false">IF(OR($B1587="",$L1587="已完成"),"",IF(ISNUMBER($B1587),IF(设置!$B$6&lt;$B1587,"",(设置!$B$6-$B1587)*100000+ROW()),""))</f>
        <v/>
      </c>
      <c r="V1587" s="0" t="str">
        <f aca="false">IF(ISNUMBER($O1587),IF($O1587&gt;=2,IF(COUNTIFS($D1587:$D$2006,$D1587,$E1587:$E$2006,$E1587)=1,ROW(),""),""),"")</f>
        <v/>
      </c>
    </row>
    <row r="1588" customFormat="false" ht="15" hidden="false" customHeight="true" outlineLevel="0" collapsed="false">
      <c r="A1588" s="13" t="str">
        <f aca="false">IF(AND($B1588="",$D1588="",$E1588="",$F1588=""),"",IF(OR($B1588="",$D1588="",$E1588=""),"待补",IF($D1588="公共区域","公",IF($D1588="商铺","S",SUBSTITUTE($D1588,"栋","")))&amp;"-"&amp;$E1588&amp;"-"&amp;TEXT(MONTH($B1588),"00")&amp;TEXT(DAY($B1588),"00")&amp;IF(ISNUMBER($O1588),IF($O1588&gt;1,"-"&amp;TEXT($O1588,"00"),""),"")))</f>
        <v/>
      </c>
      <c r="B1588" s="14"/>
      <c r="C1588" s="10"/>
      <c r="D1588" s="10"/>
      <c r="E1588" s="10"/>
      <c r="F1588" s="16"/>
      <c r="G1588" s="10"/>
      <c r="H1588" s="10"/>
      <c r="I1588" s="10"/>
      <c r="J1588" s="10"/>
      <c r="K1588" s="10"/>
      <c r="L1588" s="10"/>
      <c r="M1588" s="14"/>
      <c r="N1588" s="17" t="str">
        <f aca="false">IF($B1588="","",IF($L1588="已完成",IF($M1588="","",$M1588-$B1588),IF(设置!$B$6&lt;$B1588,"",IF((设置!$B$6-$B1588)&gt;=设置!$B$5,"超期"&amp;(设置!$B$6-$B1588)&amp;"天","已等"&amp;(设置!$B$6-$B1588)&amp;"天"))))</f>
        <v/>
      </c>
      <c r="O1588" s="18" t="str">
        <f aca="false">IF(OR($D1588="",$E1588=""),"",COUNTIFS($D$7:$D1588,$D1588,$E$7:$E1588,$E1588))</f>
        <v/>
      </c>
      <c r="P1588" s="16"/>
      <c r="Q1588" s="19"/>
      <c r="R1588" s="10"/>
      <c r="S1588" s="16"/>
      <c r="T1588" s="0" t="str">
        <f aca="false">IF(OR($D1588="",单元查询!$B$3=""),"",IF($D1588&lt;&gt;单元查询!$B$3,"",IF(OR(单元查询!$D$3="",$E1588&amp;""=单元查询!$D$3&amp;""),IF(ISNUMBER($B1588),$B1588*10000,0)+ROW(),"")))</f>
        <v/>
      </c>
      <c r="U1588" s="0" t="str">
        <f aca="false">IF(OR($B1588="",$L1588="已完成"),"",IF(ISNUMBER($B1588),IF(设置!$B$6&lt;$B1588,"",(设置!$B$6-$B1588)*100000+ROW()),""))</f>
        <v/>
      </c>
      <c r="V1588" s="0" t="str">
        <f aca="false">IF(ISNUMBER($O1588),IF($O1588&gt;=2,IF(COUNTIFS($D1588:$D$2006,$D1588,$E1588:$E$2006,$E1588)=1,ROW(),""),""),"")</f>
        <v/>
      </c>
    </row>
    <row r="1589" customFormat="false" ht="15" hidden="false" customHeight="true" outlineLevel="0" collapsed="false">
      <c r="A1589" s="13" t="str">
        <f aca="false">IF(AND($B1589="",$D1589="",$E1589="",$F1589=""),"",IF(OR($B1589="",$D1589="",$E1589=""),"待补",IF($D1589="公共区域","公",IF($D1589="商铺","S",SUBSTITUTE($D1589,"栋","")))&amp;"-"&amp;$E1589&amp;"-"&amp;TEXT(MONTH($B1589),"00")&amp;TEXT(DAY($B1589),"00")&amp;IF(ISNUMBER($O1589),IF($O1589&gt;1,"-"&amp;TEXT($O1589,"00"),""),"")))</f>
        <v/>
      </c>
      <c r="B1589" s="14"/>
      <c r="C1589" s="10"/>
      <c r="D1589" s="10"/>
      <c r="E1589" s="10"/>
      <c r="F1589" s="16"/>
      <c r="G1589" s="10"/>
      <c r="H1589" s="10"/>
      <c r="I1589" s="10"/>
      <c r="J1589" s="10"/>
      <c r="K1589" s="10"/>
      <c r="L1589" s="10"/>
      <c r="M1589" s="14"/>
      <c r="N1589" s="17" t="str">
        <f aca="false">IF($B1589="","",IF($L1589="已完成",IF($M1589="","",$M1589-$B1589),IF(设置!$B$6&lt;$B1589,"",IF((设置!$B$6-$B1589)&gt;=设置!$B$5,"超期"&amp;(设置!$B$6-$B1589)&amp;"天","已等"&amp;(设置!$B$6-$B1589)&amp;"天"))))</f>
        <v/>
      </c>
      <c r="O1589" s="18" t="str">
        <f aca="false">IF(OR($D1589="",$E1589=""),"",COUNTIFS($D$7:$D1589,$D1589,$E$7:$E1589,$E1589))</f>
        <v/>
      </c>
      <c r="P1589" s="16"/>
      <c r="Q1589" s="19"/>
      <c r="R1589" s="10"/>
      <c r="S1589" s="16"/>
      <c r="T1589" s="0" t="str">
        <f aca="false">IF(OR($D1589="",单元查询!$B$3=""),"",IF($D1589&lt;&gt;单元查询!$B$3,"",IF(OR(单元查询!$D$3="",$E1589&amp;""=单元查询!$D$3&amp;""),IF(ISNUMBER($B1589),$B1589*10000,0)+ROW(),"")))</f>
        <v/>
      </c>
      <c r="U1589" s="0" t="str">
        <f aca="false">IF(OR($B1589="",$L1589="已完成"),"",IF(ISNUMBER($B1589),IF(设置!$B$6&lt;$B1589,"",(设置!$B$6-$B1589)*100000+ROW()),""))</f>
        <v/>
      </c>
      <c r="V1589" s="0" t="str">
        <f aca="false">IF(ISNUMBER($O1589),IF($O1589&gt;=2,IF(COUNTIFS($D1589:$D$2006,$D1589,$E1589:$E$2006,$E1589)=1,ROW(),""),""),"")</f>
        <v/>
      </c>
    </row>
    <row r="1590" customFormat="false" ht="15" hidden="false" customHeight="true" outlineLevel="0" collapsed="false">
      <c r="A1590" s="13" t="str">
        <f aca="false">IF(AND($B1590="",$D1590="",$E1590="",$F1590=""),"",IF(OR($B1590="",$D1590="",$E1590=""),"待补",IF($D1590="公共区域","公",IF($D1590="商铺","S",SUBSTITUTE($D1590,"栋","")))&amp;"-"&amp;$E1590&amp;"-"&amp;TEXT(MONTH($B1590),"00")&amp;TEXT(DAY($B1590),"00")&amp;IF(ISNUMBER($O1590),IF($O1590&gt;1,"-"&amp;TEXT($O1590,"00"),""),"")))</f>
        <v/>
      </c>
      <c r="B1590" s="14"/>
      <c r="C1590" s="10"/>
      <c r="D1590" s="10"/>
      <c r="E1590" s="10"/>
      <c r="F1590" s="16"/>
      <c r="G1590" s="10"/>
      <c r="H1590" s="10"/>
      <c r="I1590" s="10"/>
      <c r="J1590" s="10"/>
      <c r="K1590" s="10"/>
      <c r="L1590" s="10"/>
      <c r="M1590" s="14"/>
      <c r="N1590" s="17" t="str">
        <f aca="false">IF($B1590="","",IF($L1590="已完成",IF($M1590="","",$M1590-$B1590),IF(设置!$B$6&lt;$B1590,"",IF((设置!$B$6-$B1590)&gt;=设置!$B$5,"超期"&amp;(设置!$B$6-$B1590)&amp;"天","已等"&amp;(设置!$B$6-$B1590)&amp;"天"))))</f>
        <v/>
      </c>
      <c r="O1590" s="18" t="str">
        <f aca="false">IF(OR($D1590="",$E1590=""),"",COUNTIFS($D$7:$D1590,$D1590,$E$7:$E1590,$E1590))</f>
        <v/>
      </c>
      <c r="P1590" s="16"/>
      <c r="Q1590" s="19"/>
      <c r="R1590" s="10"/>
      <c r="S1590" s="16"/>
      <c r="T1590" s="0" t="str">
        <f aca="false">IF(OR($D1590="",单元查询!$B$3=""),"",IF($D1590&lt;&gt;单元查询!$B$3,"",IF(OR(单元查询!$D$3="",$E1590&amp;""=单元查询!$D$3&amp;""),IF(ISNUMBER($B1590),$B1590*10000,0)+ROW(),"")))</f>
        <v/>
      </c>
      <c r="U1590" s="0" t="str">
        <f aca="false">IF(OR($B1590="",$L1590="已完成"),"",IF(ISNUMBER($B1590),IF(设置!$B$6&lt;$B1590,"",(设置!$B$6-$B1590)*100000+ROW()),""))</f>
        <v/>
      </c>
      <c r="V1590" s="0" t="str">
        <f aca="false">IF(ISNUMBER($O1590),IF($O1590&gt;=2,IF(COUNTIFS($D1590:$D$2006,$D1590,$E1590:$E$2006,$E1590)=1,ROW(),""),""),"")</f>
        <v/>
      </c>
    </row>
    <row r="1591" customFormat="false" ht="15" hidden="false" customHeight="true" outlineLevel="0" collapsed="false">
      <c r="A1591" s="13" t="str">
        <f aca="false">IF(AND($B1591="",$D1591="",$E1591="",$F1591=""),"",IF(OR($B1591="",$D1591="",$E1591=""),"待补",IF($D1591="公共区域","公",IF($D1591="商铺","S",SUBSTITUTE($D1591,"栋","")))&amp;"-"&amp;$E1591&amp;"-"&amp;TEXT(MONTH($B1591),"00")&amp;TEXT(DAY($B1591),"00")&amp;IF(ISNUMBER($O1591),IF($O1591&gt;1,"-"&amp;TEXT($O1591,"00"),""),"")))</f>
        <v/>
      </c>
      <c r="B1591" s="14"/>
      <c r="C1591" s="10"/>
      <c r="D1591" s="10"/>
      <c r="E1591" s="10"/>
      <c r="F1591" s="16"/>
      <c r="G1591" s="10"/>
      <c r="H1591" s="10"/>
      <c r="I1591" s="10"/>
      <c r="J1591" s="10"/>
      <c r="K1591" s="10"/>
      <c r="L1591" s="10"/>
      <c r="M1591" s="14"/>
      <c r="N1591" s="17" t="str">
        <f aca="false">IF($B1591="","",IF($L1591="已完成",IF($M1591="","",$M1591-$B1591),IF(设置!$B$6&lt;$B1591,"",IF((设置!$B$6-$B1591)&gt;=设置!$B$5,"超期"&amp;(设置!$B$6-$B1591)&amp;"天","已等"&amp;(设置!$B$6-$B1591)&amp;"天"))))</f>
        <v/>
      </c>
      <c r="O1591" s="18" t="str">
        <f aca="false">IF(OR($D1591="",$E1591=""),"",COUNTIFS($D$7:$D1591,$D1591,$E$7:$E1591,$E1591))</f>
        <v/>
      </c>
      <c r="P1591" s="16"/>
      <c r="Q1591" s="19"/>
      <c r="R1591" s="10"/>
      <c r="S1591" s="16"/>
      <c r="T1591" s="0" t="str">
        <f aca="false">IF(OR($D1591="",单元查询!$B$3=""),"",IF($D1591&lt;&gt;单元查询!$B$3,"",IF(OR(单元查询!$D$3="",$E1591&amp;""=单元查询!$D$3&amp;""),IF(ISNUMBER($B1591),$B1591*10000,0)+ROW(),"")))</f>
        <v/>
      </c>
      <c r="U1591" s="0" t="str">
        <f aca="false">IF(OR($B1591="",$L1591="已完成"),"",IF(ISNUMBER($B1591),IF(设置!$B$6&lt;$B1591,"",(设置!$B$6-$B1591)*100000+ROW()),""))</f>
        <v/>
      </c>
      <c r="V1591" s="0" t="str">
        <f aca="false">IF(ISNUMBER($O1591),IF($O1591&gt;=2,IF(COUNTIFS($D1591:$D$2006,$D1591,$E1591:$E$2006,$E1591)=1,ROW(),""),""),"")</f>
        <v/>
      </c>
    </row>
    <row r="1592" customFormat="false" ht="15" hidden="false" customHeight="true" outlineLevel="0" collapsed="false">
      <c r="A1592" s="13" t="str">
        <f aca="false">IF(AND($B1592="",$D1592="",$E1592="",$F1592=""),"",IF(OR($B1592="",$D1592="",$E1592=""),"待补",IF($D1592="公共区域","公",IF($D1592="商铺","S",SUBSTITUTE($D1592,"栋","")))&amp;"-"&amp;$E1592&amp;"-"&amp;TEXT(MONTH($B1592),"00")&amp;TEXT(DAY($B1592),"00")&amp;IF(ISNUMBER($O1592),IF($O1592&gt;1,"-"&amp;TEXT($O1592,"00"),""),"")))</f>
        <v/>
      </c>
      <c r="B1592" s="14"/>
      <c r="C1592" s="10"/>
      <c r="D1592" s="10"/>
      <c r="E1592" s="10"/>
      <c r="F1592" s="16"/>
      <c r="G1592" s="10"/>
      <c r="H1592" s="10"/>
      <c r="I1592" s="10"/>
      <c r="J1592" s="10"/>
      <c r="K1592" s="10"/>
      <c r="L1592" s="10"/>
      <c r="M1592" s="14"/>
      <c r="N1592" s="17" t="str">
        <f aca="false">IF($B1592="","",IF($L1592="已完成",IF($M1592="","",$M1592-$B1592),IF(设置!$B$6&lt;$B1592,"",IF((设置!$B$6-$B1592)&gt;=设置!$B$5,"超期"&amp;(设置!$B$6-$B1592)&amp;"天","已等"&amp;(设置!$B$6-$B1592)&amp;"天"))))</f>
        <v/>
      </c>
      <c r="O1592" s="18" t="str">
        <f aca="false">IF(OR($D1592="",$E1592=""),"",COUNTIFS($D$7:$D1592,$D1592,$E$7:$E1592,$E1592))</f>
        <v/>
      </c>
      <c r="P1592" s="16"/>
      <c r="Q1592" s="19"/>
      <c r="R1592" s="10"/>
      <c r="S1592" s="16"/>
      <c r="T1592" s="0" t="str">
        <f aca="false">IF(OR($D1592="",单元查询!$B$3=""),"",IF($D1592&lt;&gt;单元查询!$B$3,"",IF(OR(单元查询!$D$3="",$E1592&amp;""=单元查询!$D$3&amp;""),IF(ISNUMBER($B1592),$B1592*10000,0)+ROW(),"")))</f>
        <v/>
      </c>
      <c r="U1592" s="0" t="str">
        <f aca="false">IF(OR($B1592="",$L1592="已完成"),"",IF(ISNUMBER($B1592),IF(设置!$B$6&lt;$B1592,"",(设置!$B$6-$B1592)*100000+ROW()),""))</f>
        <v/>
      </c>
      <c r="V1592" s="0" t="str">
        <f aca="false">IF(ISNUMBER($O1592),IF($O1592&gt;=2,IF(COUNTIFS($D1592:$D$2006,$D1592,$E1592:$E$2006,$E1592)=1,ROW(),""),""),"")</f>
        <v/>
      </c>
    </row>
    <row r="1593" customFormat="false" ht="15" hidden="false" customHeight="true" outlineLevel="0" collapsed="false">
      <c r="A1593" s="13" t="str">
        <f aca="false">IF(AND($B1593="",$D1593="",$E1593="",$F1593=""),"",IF(OR($B1593="",$D1593="",$E1593=""),"待补",IF($D1593="公共区域","公",IF($D1593="商铺","S",SUBSTITUTE($D1593,"栋","")))&amp;"-"&amp;$E1593&amp;"-"&amp;TEXT(MONTH($B1593),"00")&amp;TEXT(DAY($B1593),"00")&amp;IF(ISNUMBER($O1593),IF($O1593&gt;1,"-"&amp;TEXT($O1593,"00"),""),"")))</f>
        <v/>
      </c>
      <c r="B1593" s="14"/>
      <c r="C1593" s="10"/>
      <c r="D1593" s="10"/>
      <c r="E1593" s="10"/>
      <c r="F1593" s="16"/>
      <c r="G1593" s="10"/>
      <c r="H1593" s="10"/>
      <c r="I1593" s="10"/>
      <c r="J1593" s="10"/>
      <c r="K1593" s="10"/>
      <c r="L1593" s="10"/>
      <c r="M1593" s="14"/>
      <c r="N1593" s="17" t="str">
        <f aca="false">IF($B1593="","",IF($L1593="已完成",IF($M1593="","",$M1593-$B1593),IF(设置!$B$6&lt;$B1593,"",IF((设置!$B$6-$B1593)&gt;=设置!$B$5,"超期"&amp;(设置!$B$6-$B1593)&amp;"天","已等"&amp;(设置!$B$6-$B1593)&amp;"天"))))</f>
        <v/>
      </c>
      <c r="O1593" s="18" t="str">
        <f aca="false">IF(OR($D1593="",$E1593=""),"",COUNTIFS($D$7:$D1593,$D1593,$E$7:$E1593,$E1593))</f>
        <v/>
      </c>
      <c r="P1593" s="16"/>
      <c r="Q1593" s="19"/>
      <c r="R1593" s="10"/>
      <c r="S1593" s="16"/>
      <c r="T1593" s="0" t="str">
        <f aca="false">IF(OR($D1593="",单元查询!$B$3=""),"",IF($D1593&lt;&gt;单元查询!$B$3,"",IF(OR(单元查询!$D$3="",$E1593&amp;""=单元查询!$D$3&amp;""),IF(ISNUMBER($B1593),$B1593*10000,0)+ROW(),"")))</f>
        <v/>
      </c>
      <c r="U1593" s="0" t="str">
        <f aca="false">IF(OR($B1593="",$L1593="已完成"),"",IF(ISNUMBER($B1593),IF(设置!$B$6&lt;$B1593,"",(设置!$B$6-$B1593)*100000+ROW()),""))</f>
        <v/>
      </c>
      <c r="V1593" s="0" t="str">
        <f aca="false">IF(ISNUMBER($O1593),IF($O1593&gt;=2,IF(COUNTIFS($D1593:$D$2006,$D1593,$E1593:$E$2006,$E1593)=1,ROW(),""),""),"")</f>
        <v/>
      </c>
    </row>
    <row r="1594" customFormat="false" ht="15" hidden="false" customHeight="true" outlineLevel="0" collapsed="false">
      <c r="A1594" s="13" t="str">
        <f aca="false">IF(AND($B1594="",$D1594="",$E1594="",$F1594=""),"",IF(OR($B1594="",$D1594="",$E1594=""),"待补",IF($D1594="公共区域","公",IF($D1594="商铺","S",SUBSTITUTE($D1594,"栋","")))&amp;"-"&amp;$E1594&amp;"-"&amp;TEXT(MONTH($B1594),"00")&amp;TEXT(DAY($B1594),"00")&amp;IF(ISNUMBER($O1594),IF($O1594&gt;1,"-"&amp;TEXT($O1594,"00"),""),"")))</f>
        <v/>
      </c>
      <c r="B1594" s="14"/>
      <c r="C1594" s="10"/>
      <c r="D1594" s="10"/>
      <c r="E1594" s="10"/>
      <c r="F1594" s="16"/>
      <c r="G1594" s="10"/>
      <c r="H1594" s="10"/>
      <c r="I1594" s="10"/>
      <c r="J1594" s="10"/>
      <c r="K1594" s="10"/>
      <c r="L1594" s="10"/>
      <c r="M1594" s="14"/>
      <c r="N1594" s="17" t="str">
        <f aca="false">IF($B1594="","",IF($L1594="已完成",IF($M1594="","",$M1594-$B1594),IF(设置!$B$6&lt;$B1594,"",IF((设置!$B$6-$B1594)&gt;=设置!$B$5,"超期"&amp;(设置!$B$6-$B1594)&amp;"天","已等"&amp;(设置!$B$6-$B1594)&amp;"天"))))</f>
        <v/>
      </c>
      <c r="O1594" s="18" t="str">
        <f aca="false">IF(OR($D1594="",$E1594=""),"",COUNTIFS($D$7:$D1594,$D1594,$E$7:$E1594,$E1594))</f>
        <v/>
      </c>
      <c r="P1594" s="16"/>
      <c r="Q1594" s="19"/>
      <c r="R1594" s="10"/>
      <c r="S1594" s="16"/>
      <c r="T1594" s="0" t="str">
        <f aca="false">IF(OR($D1594="",单元查询!$B$3=""),"",IF($D1594&lt;&gt;单元查询!$B$3,"",IF(OR(单元查询!$D$3="",$E1594&amp;""=单元查询!$D$3&amp;""),IF(ISNUMBER($B1594),$B1594*10000,0)+ROW(),"")))</f>
        <v/>
      </c>
      <c r="U1594" s="0" t="str">
        <f aca="false">IF(OR($B1594="",$L1594="已完成"),"",IF(ISNUMBER($B1594),IF(设置!$B$6&lt;$B1594,"",(设置!$B$6-$B1594)*100000+ROW()),""))</f>
        <v/>
      </c>
      <c r="V1594" s="0" t="str">
        <f aca="false">IF(ISNUMBER($O1594),IF($O1594&gt;=2,IF(COUNTIFS($D1594:$D$2006,$D1594,$E1594:$E$2006,$E1594)=1,ROW(),""),""),"")</f>
        <v/>
      </c>
    </row>
    <row r="1595" customFormat="false" ht="15" hidden="false" customHeight="true" outlineLevel="0" collapsed="false">
      <c r="A1595" s="13" t="str">
        <f aca="false">IF(AND($B1595="",$D1595="",$E1595="",$F1595=""),"",IF(OR($B1595="",$D1595="",$E1595=""),"待补",IF($D1595="公共区域","公",IF($D1595="商铺","S",SUBSTITUTE($D1595,"栋","")))&amp;"-"&amp;$E1595&amp;"-"&amp;TEXT(MONTH($B1595),"00")&amp;TEXT(DAY($B1595),"00")&amp;IF(ISNUMBER($O1595),IF($O1595&gt;1,"-"&amp;TEXT($O1595,"00"),""),"")))</f>
        <v/>
      </c>
      <c r="B1595" s="14"/>
      <c r="C1595" s="10"/>
      <c r="D1595" s="10"/>
      <c r="E1595" s="10"/>
      <c r="F1595" s="16"/>
      <c r="G1595" s="10"/>
      <c r="H1595" s="10"/>
      <c r="I1595" s="10"/>
      <c r="J1595" s="10"/>
      <c r="K1595" s="10"/>
      <c r="L1595" s="10"/>
      <c r="M1595" s="14"/>
      <c r="N1595" s="17" t="str">
        <f aca="false">IF($B1595="","",IF($L1595="已完成",IF($M1595="","",$M1595-$B1595),IF(设置!$B$6&lt;$B1595,"",IF((设置!$B$6-$B1595)&gt;=设置!$B$5,"超期"&amp;(设置!$B$6-$B1595)&amp;"天","已等"&amp;(设置!$B$6-$B1595)&amp;"天"))))</f>
        <v/>
      </c>
      <c r="O1595" s="18" t="str">
        <f aca="false">IF(OR($D1595="",$E1595=""),"",COUNTIFS($D$7:$D1595,$D1595,$E$7:$E1595,$E1595))</f>
        <v/>
      </c>
      <c r="P1595" s="16"/>
      <c r="Q1595" s="19"/>
      <c r="R1595" s="10"/>
      <c r="S1595" s="16"/>
      <c r="T1595" s="0" t="str">
        <f aca="false">IF(OR($D1595="",单元查询!$B$3=""),"",IF($D1595&lt;&gt;单元查询!$B$3,"",IF(OR(单元查询!$D$3="",$E1595&amp;""=单元查询!$D$3&amp;""),IF(ISNUMBER($B1595),$B1595*10000,0)+ROW(),"")))</f>
        <v/>
      </c>
      <c r="U1595" s="0" t="str">
        <f aca="false">IF(OR($B1595="",$L1595="已完成"),"",IF(ISNUMBER($B1595),IF(设置!$B$6&lt;$B1595,"",(设置!$B$6-$B1595)*100000+ROW()),""))</f>
        <v/>
      </c>
      <c r="V1595" s="0" t="str">
        <f aca="false">IF(ISNUMBER($O1595),IF($O1595&gt;=2,IF(COUNTIFS($D1595:$D$2006,$D1595,$E1595:$E$2006,$E1595)=1,ROW(),""),""),"")</f>
        <v/>
      </c>
    </row>
    <row r="1596" customFormat="false" ht="15" hidden="false" customHeight="true" outlineLevel="0" collapsed="false">
      <c r="A1596" s="13" t="str">
        <f aca="false">IF(AND($B1596="",$D1596="",$E1596="",$F1596=""),"",IF(OR($B1596="",$D1596="",$E1596=""),"待补",IF($D1596="公共区域","公",IF($D1596="商铺","S",SUBSTITUTE($D1596,"栋","")))&amp;"-"&amp;$E1596&amp;"-"&amp;TEXT(MONTH($B1596),"00")&amp;TEXT(DAY($B1596),"00")&amp;IF(ISNUMBER($O1596),IF($O1596&gt;1,"-"&amp;TEXT($O1596,"00"),""),"")))</f>
        <v/>
      </c>
      <c r="B1596" s="14"/>
      <c r="C1596" s="10"/>
      <c r="D1596" s="10"/>
      <c r="E1596" s="10"/>
      <c r="F1596" s="16"/>
      <c r="G1596" s="10"/>
      <c r="H1596" s="10"/>
      <c r="I1596" s="10"/>
      <c r="J1596" s="10"/>
      <c r="K1596" s="10"/>
      <c r="L1596" s="10"/>
      <c r="M1596" s="14"/>
      <c r="N1596" s="17" t="str">
        <f aca="false">IF($B1596="","",IF($L1596="已完成",IF($M1596="","",$M1596-$B1596),IF(设置!$B$6&lt;$B1596,"",IF((设置!$B$6-$B1596)&gt;=设置!$B$5,"超期"&amp;(设置!$B$6-$B1596)&amp;"天","已等"&amp;(设置!$B$6-$B1596)&amp;"天"))))</f>
        <v/>
      </c>
      <c r="O1596" s="18" t="str">
        <f aca="false">IF(OR($D1596="",$E1596=""),"",COUNTIFS($D$7:$D1596,$D1596,$E$7:$E1596,$E1596))</f>
        <v/>
      </c>
      <c r="P1596" s="16"/>
      <c r="Q1596" s="19"/>
      <c r="R1596" s="10"/>
      <c r="S1596" s="16"/>
      <c r="T1596" s="0" t="str">
        <f aca="false">IF(OR($D1596="",单元查询!$B$3=""),"",IF($D1596&lt;&gt;单元查询!$B$3,"",IF(OR(单元查询!$D$3="",$E1596&amp;""=单元查询!$D$3&amp;""),IF(ISNUMBER($B1596),$B1596*10000,0)+ROW(),"")))</f>
        <v/>
      </c>
      <c r="U1596" s="0" t="str">
        <f aca="false">IF(OR($B1596="",$L1596="已完成"),"",IF(ISNUMBER($B1596),IF(设置!$B$6&lt;$B1596,"",(设置!$B$6-$B1596)*100000+ROW()),""))</f>
        <v/>
      </c>
      <c r="V1596" s="0" t="str">
        <f aca="false">IF(ISNUMBER($O1596),IF($O1596&gt;=2,IF(COUNTIFS($D1596:$D$2006,$D1596,$E1596:$E$2006,$E1596)=1,ROW(),""),""),"")</f>
        <v/>
      </c>
    </row>
    <row r="1597" customFormat="false" ht="15" hidden="false" customHeight="true" outlineLevel="0" collapsed="false">
      <c r="A1597" s="13" t="str">
        <f aca="false">IF(AND($B1597="",$D1597="",$E1597="",$F1597=""),"",IF(OR($B1597="",$D1597="",$E1597=""),"待补",IF($D1597="公共区域","公",IF($D1597="商铺","S",SUBSTITUTE($D1597,"栋","")))&amp;"-"&amp;$E1597&amp;"-"&amp;TEXT(MONTH($B1597),"00")&amp;TEXT(DAY($B1597),"00")&amp;IF(ISNUMBER($O1597),IF($O1597&gt;1,"-"&amp;TEXT($O1597,"00"),""),"")))</f>
        <v/>
      </c>
      <c r="B1597" s="14"/>
      <c r="C1597" s="10"/>
      <c r="D1597" s="10"/>
      <c r="E1597" s="10"/>
      <c r="F1597" s="16"/>
      <c r="G1597" s="10"/>
      <c r="H1597" s="10"/>
      <c r="I1597" s="10"/>
      <c r="J1597" s="10"/>
      <c r="K1597" s="10"/>
      <c r="L1597" s="10"/>
      <c r="M1597" s="14"/>
      <c r="N1597" s="17" t="str">
        <f aca="false">IF($B1597="","",IF($L1597="已完成",IF($M1597="","",$M1597-$B1597),IF(设置!$B$6&lt;$B1597,"",IF((设置!$B$6-$B1597)&gt;=设置!$B$5,"超期"&amp;(设置!$B$6-$B1597)&amp;"天","已等"&amp;(设置!$B$6-$B1597)&amp;"天"))))</f>
        <v/>
      </c>
      <c r="O1597" s="18" t="str">
        <f aca="false">IF(OR($D1597="",$E1597=""),"",COUNTIFS($D$7:$D1597,$D1597,$E$7:$E1597,$E1597))</f>
        <v/>
      </c>
      <c r="P1597" s="16"/>
      <c r="Q1597" s="19"/>
      <c r="R1597" s="10"/>
      <c r="S1597" s="16"/>
      <c r="T1597" s="0" t="str">
        <f aca="false">IF(OR($D1597="",单元查询!$B$3=""),"",IF($D1597&lt;&gt;单元查询!$B$3,"",IF(OR(单元查询!$D$3="",$E1597&amp;""=单元查询!$D$3&amp;""),IF(ISNUMBER($B1597),$B1597*10000,0)+ROW(),"")))</f>
        <v/>
      </c>
      <c r="U1597" s="0" t="str">
        <f aca="false">IF(OR($B1597="",$L1597="已完成"),"",IF(ISNUMBER($B1597),IF(设置!$B$6&lt;$B1597,"",(设置!$B$6-$B1597)*100000+ROW()),""))</f>
        <v/>
      </c>
      <c r="V1597" s="0" t="str">
        <f aca="false">IF(ISNUMBER($O1597),IF($O1597&gt;=2,IF(COUNTIFS($D1597:$D$2006,$D1597,$E1597:$E$2006,$E1597)=1,ROW(),""),""),"")</f>
        <v/>
      </c>
    </row>
    <row r="1598" customFormat="false" ht="15" hidden="false" customHeight="true" outlineLevel="0" collapsed="false">
      <c r="A1598" s="13" t="str">
        <f aca="false">IF(AND($B1598="",$D1598="",$E1598="",$F1598=""),"",IF(OR($B1598="",$D1598="",$E1598=""),"待补",IF($D1598="公共区域","公",IF($D1598="商铺","S",SUBSTITUTE($D1598,"栋","")))&amp;"-"&amp;$E1598&amp;"-"&amp;TEXT(MONTH($B1598),"00")&amp;TEXT(DAY($B1598),"00")&amp;IF(ISNUMBER($O1598),IF($O1598&gt;1,"-"&amp;TEXT($O1598,"00"),""),"")))</f>
        <v/>
      </c>
      <c r="B1598" s="14"/>
      <c r="C1598" s="10"/>
      <c r="D1598" s="10"/>
      <c r="E1598" s="10"/>
      <c r="F1598" s="16"/>
      <c r="G1598" s="10"/>
      <c r="H1598" s="10"/>
      <c r="I1598" s="10"/>
      <c r="J1598" s="10"/>
      <c r="K1598" s="10"/>
      <c r="L1598" s="10"/>
      <c r="M1598" s="14"/>
      <c r="N1598" s="17" t="str">
        <f aca="false">IF($B1598="","",IF($L1598="已完成",IF($M1598="","",$M1598-$B1598),IF(设置!$B$6&lt;$B1598,"",IF((设置!$B$6-$B1598)&gt;=设置!$B$5,"超期"&amp;(设置!$B$6-$B1598)&amp;"天","已等"&amp;(设置!$B$6-$B1598)&amp;"天"))))</f>
        <v/>
      </c>
      <c r="O1598" s="18" t="str">
        <f aca="false">IF(OR($D1598="",$E1598=""),"",COUNTIFS($D$7:$D1598,$D1598,$E$7:$E1598,$E1598))</f>
        <v/>
      </c>
      <c r="P1598" s="16"/>
      <c r="Q1598" s="19"/>
      <c r="R1598" s="10"/>
      <c r="S1598" s="16"/>
      <c r="T1598" s="0" t="str">
        <f aca="false">IF(OR($D1598="",单元查询!$B$3=""),"",IF($D1598&lt;&gt;单元查询!$B$3,"",IF(OR(单元查询!$D$3="",$E1598&amp;""=单元查询!$D$3&amp;""),IF(ISNUMBER($B1598),$B1598*10000,0)+ROW(),"")))</f>
        <v/>
      </c>
      <c r="U1598" s="0" t="str">
        <f aca="false">IF(OR($B1598="",$L1598="已完成"),"",IF(ISNUMBER($B1598),IF(设置!$B$6&lt;$B1598,"",(设置!$B$6-$B1598)*100000+ROW()),""))</f>
        <v/>
      </c>
      <c r="V1598" s="0" t="str">
        <f aca="false">IF(ISNUMBER($O1598),IF($O1598&gt;=2,IF(COUNTIFS($D1598:$D$2006,$D1598,$E1598:$E$2006,$E1598)=1,ROW(),""),""),"")</f>
        <v/>
      </c>
    </row>
    <row r="1599" customFormat="false" ht="15" hidden="false" customHeight="true" outlineLevel="0" collapsed="false">
      <c r="A1599" s="13" t="str">
        <f aca="false">IF(AND($B1599="",$D1599="",$E1599="",$F1599=""),"",IF(OR($B1599="",$D1599="",$E1599=""),"待补",IF($D1599="公共区域","公",IF($D1599="商铺","S",SUBSTITUTE($D1599,"栋","")))&amp;"-"&amp;$E1599&amp;"-"&amp;TEXT(MONTH($B1599),"00")&amp;TEXT(DAY($B1599),"00")&amp;IF(ISNUMBER($O1599),IF($O1599&gt;1,"-"&amp;TEXT($O1599,"00"),""),"")))</f>
        <v/>
      </c>
      <c r="B1599" s="14"/>
      <c r="C1599" s="10"/>
      <c r="D1599" s="10"/>
      <c r="E1599" s="10"/>
      <c r="F1599" s="16"/>
      <c r="G1599" s="10"/>
      <c r="H1599" s="10"/>
      <c r="I1599" s="10"/>
      <c r="J1599" s="10"/>
      <c r="K1599" s="10"/>
      <c r="L1599" s="10"/>
      <c r="M1599" s="14"/>
      <c r="N1599" s="17" t="str">
        <f aca="false">IF($B1599="","",IF($L1599="已完成",IF($M1599="","",$M1599-$B1599),IF(设置!$B$6&lt;$B1599,"",IF((设置!$B$6-$B1599)&gt;=设置!$B$5,"超期"&amp;(设置!$B$6-$B1599)&amp;"天","已等"&amp;(设置!$B$6-$B1599)&amp;"天"))))</f>
        <v/>
      </c>
      <c r="O1599" s="18" t="str">
        <f aca="false">IF(OR($D1599="",$E1599=""),"",COUNTIFS($D$7:$D1599,$D1599,$E$7:$E1599,$E1599))</f>
        <v/>
      </c>
      <c r="P1599" s="16"/>
      <c r="Q1599" s="19"/>
      <c r="R1599" s="10"/>
      <c r="S1599" s="16"/>
      <c r="T1599" s="0" t="str">
        <f aca="false">IF(OR($D1599="",单元查询!$B$3=""),"",IF($D1599&lt;&gt;单元查询!$B$3,"",IF(OR(单元查询!$D$3="",$E1599&amp;""=单元查询!$D$3&amp;""),IF(ISNUMBER($B1599),$B1599*10000,0)+ROW(),"")))</f>
        <v/>
      </c>
      <c r="U1599" s="0" t="str">
        <f aca="false">IF(OR($B1599="",$L1599="已完成"),"",IF(ISNUMBER($B1599),IF(设置!$B$6&lt;$B1599,"",(设置!$B$6-$B1599)*100000+ROW()),""))</f>
        <v/>
      </c>
      <c r="V1599" s="0" t="str">
        <f aca="false">IF(ISNUMBER($O1599),IF($O1599&gt;=2,IF(COUNTIFS($D1599:$D$2006,$D1599,$E1599:$E$2006,$E1599)=1,ROW(),""),""),"")</f>
        <v/>
      </c>
    </row>
    <row r="1600" customFormat="false" ht="15" hidden="false" customHeight="true" outlineLevel="0" collapsed="false">
      <c r="A1600" s="13" t="str">
        <f aca="false">IF(AND($B1600="",$D1600="",$E1600="",$F1600=""),"",IF(OR($B1600="",$D1600="",$E1600=""),"待补",IF($D1600="公共区域","公",IF($D1600="商铺","S",SUBSTITUTE($D1600,"栋","")))&amp;"-"&amp;$E1600&amp;"-"&amp;TEXT(MONTH($B1600),"00")&amp;TEXT(DAY($B1600),"00")&amp;IF(ISNUMBER($O1600),IF($O1600&gt;1,"-"&amp;TEXT($O1600,"00"),""),"")))</f>
        <v/>
      </c>
      <c r="B1600" s="14"/>
      <c r="C1600" s="10"/>
      <c r="D1600" s="10"/>
      <c r="E1600" s="10"/>
      <c r="F1600" s="16"/>
      <c r="G1600" s="10"/>
      <c r="H1600" s="10"/>
      <c r="I1600" s="10"/>
      <c r="J1600" s="10"/>
      <c r="K1600" s="10"/>
      <c r="L1600" s="10"/>
      <c r="M1600" s="14"/>
      <c r="N1600" s="17" t="str">
        <f aca="false">IF($B1600="","",IF($L1600="已完成",IF($M1600="","",$M1600-$B1600),IF(设置!$B$6&lt;$B1600,"",IF((设置!$B$6-$B1600)&gt;=设置!$B$5,"超期"&amp;(设置!$B$6-$B1600)&amp;"天","已等"&amp;(设置!$B$6-$B1600)&amp;"天"))))</f>
        <v/>
      </c>
      <c r="O1600" s="18" t="str">
        <f aca="false">IF(OR($D1600="",$E1600=""),"",COUNTIFS($D$7:$D1600,$D1600,$E$7:$E1600,$E1600))</f>
        <v/>
      </c>
      <c r="P1600" s="16"/>
      <c r="Q1600" s="19"/>
      <c r="R1600" s="10"/>
      <c r="S1600" s="16"/>
      <c r="T1600" s="0" t="str">
        <f aca="false">IF(OR($D1600="",单元查询!$B$3=""),"",IF($D1600&lt;&gt;单元查询!$B$3,"",IF(OR(单元查询!$D$3="",$E1600&amp;""=单元查询!$D$3&amp;""),IF(ISNUMBER($B1600),$B1600*10000,0)+ROW(),"")))</f>
        <v/>
      </c>
      <c r="U1600" s="0" t="str">
        <f aca="false">IF(OR($B1600="",$L1600="已完成"),"",IF(ISNUMBER($B1600),IF(设置!$B$6&lt;$B1600,"",(设置!$B$6-$B1600)*100000+ROW()),""))</f>
        <v/>
      </c>
      <c r="V1600" s="0" t="str">
        <f aca="false">IF(ISNUMBER($O1600),IF($O1600&gt;=2,IF(COUNTIFS($D1600:$D$2006,$D1600,$E1600:$E$2006,$E1600)=1,ROW(),""),""),"")</f>
        <v/>
      </c>
    </row>
    <row r="1601" customFormat="false" ht="15" hidden="false" customHeight="true" outlineLevel="0" collapsed="false">
      <c r="A1601" s="13" t="str">
        <f aca="false">IF(AND($B1601="",$D1601="",$E1601="",$F1601=""),"",IF(OR($B1601="",$D1601="",$E1601=""),"待补",IF($D1601="公共区域","公",IF($D1601="商铺","S",SUBSTITUTE($D1601,"栋","")))&amp;"-"&amp;$E1601&amp;"-"&amp;TEXT(MONTH($B1601),"00")&amp;TEXT(DAY($B1601),"00")&amp;IF(ISNUMBER($O1601),IF($O1601&gt;1,"-"&amp;TEXT($O1601,"00"),""),"")))</f>
        <v/>
      </c>
      <c r="B1601" s="14"/>
      <c r="C1601" s="10"/>
      <c r="D1601" s="10"/>
      <c r="E1601" s="10"/>
      <c r="F1601" s="16"/>
      <c r="G1601" s="10"/>
      <c r="H1601" s="10"/>
      <c r="I1601" s="10"/>
      <c r="J1601" s="10"/>
      <c r="K1601" s="10"/>
      <c r="L1601" s="10"/>
      <c r="M1601" s="14"/>
      <c r="N1601" s="17" t="str">
        <f aca="false">IF($B1601="","",IF($L1601="已完成",IF($M1601="","",$M1601-$B1601),IF(设置!$B$6&lt;$B1601,"",IF((设置!$B$6-$B1601)&gt;=设置!$B$5,"超期"&amp;(设置!$B$6-$B1601)&amp;"天","已等"&amp;(设置!$B$6-$B1601)&amp;"天"))))</f>
        <v/>
      </c>
      <c r="O1601" s="18" t="str">
        <f aca="false">IF(OR($D1601="",$E1601=""),"",COUNTIFS($D$7:$D1601,$D1601,$E$7:$E1601,$E1601))</f>
        <v/>
      </c>
      <c r="P1601" s="16"/>
      <c r="Q1601" s="19"/>
      <c r="R1601" s="10"/>
      <c r="S1601" s="16"/>
      <c r="T1601" s="0" t="str">
        <f aca="false">IF(OR($D1601="",单元查询!$B$3=""),"",IF($D1601&lt;&gt;单元查询!$B$3,"",IF(OR(单元查询!$D$3="",$E1601&amp;""=单元查询!$D$3&amp;""),IF(ISNUMBER($B1601),$B1601*10000,0)+ROW(),"")))</f>
        <v/>
      </c>
      <c r="U1601" s="0" t="str">
        <f aca="false">IF(OR($B1601="",$L1601="已完成"),"",IF(ISNUMBER($B1601),IF(设置!$B$6&lt;$B1601,"",(设置!$B$6-$B1601)*100000+ROW()),""))</f>
        <v/>
      </c>
      <c r="V1601" s="0" t="str">
        <f aca="false">IF(ISNUMBER($O1601),IF($O1601&gt;=2,IF(COUNTIFS($D1601:$D$2006,$D1601,$E1601:$E$2006,$E1601)=1,ROW(),""),""),"")</f>
        <v/>
      </c>
    </row>
    <row r="1602" customFormat="false" ht="15" hidden="false" customHeight="true" outlineLevel="0" collapsed="false">
      <c r="A1602" s="13" t="str">
        <f aca="false">IF(AND($B1602="",$D1602="",$E1602="",$F1602=""),"",IF(OR($B1602="",$D1602="",$E1602=""),"待补",IF($D1602="公共区域","公",IF($D1602="商铺","S",SUBSTITUTE($D1602,"栋","")))&amp;"-"&amp;$E1602&amp;"-"&amp;TEXT(MONTH($B1602),"00")&amp;TEXT(DAY($B1602),"00")&amp;IF(ISNUMBER($O1602),IF($O1602&gt;1,"-"&amp;TEXT($O1602,"00"),""),"")))</f>
        <v/>
      </c>
      <c r="B1602" s="14"/>
      <c r="C1602" s="10"/>
      <c r="D1602" s="10"/>
      <c r="E1602" s="10"/>
      <c r="F1602" s="16"/>
      <c r="G1602" s="10"/>
      <c r="H1602" s="10"/>
      <c r="I1602" s="10"/>
      <c r="J1602" s="10"/>
      <c r="K1602" s="10"/>
      <c r="L1602" s="10"/>
      <c r="M1602" s="14"/>
      <c r="N1602" s="17" t="str">
        <f aca="false">IF($B1602="","",IF($L1602="已完成",IF($M1602="","",$M1602-$B1602),IF(设置!$B$6&lt;$B1602,"",IF((设置!$B$6-$B1602)&gt;=设置!$B$5,"超期"&amp;(设置!$B$6-$B1602)&amp;"天","已等"&amp;(设置!$B$6-$B1602)&amp;"天"))))</f>
        <v/>
      </c>
      <c r="O1602" s="18" t="str">
        <f aca="false">IF(OR($D1602="",$E1602=""),"",COUNTIFS($D$7:$D1602,$D1602,$E$7:$E1602,$E1602))</f>
        <v/>
      </c>
      <c r="P1602" s="16"/>
      <c r="Q1602" s="19"/>
      <c r="R1602" s="10"/>
      <c r="S1602" s="16"/>
      <c r="T1602" s="0" t="str">
        <f aca="false">IF(OR($D1602="",单元查询!$B$3=""),"",IF($D1602&lt;&gt;单元查询!$B$3,"",IF(OR(单元查询!$D$3="",$E1602&amp;""=单元查询!$D$3&amp;""),IF(ISNUMBER($B1602),$B1602*10000,0)+ROW(),"")))</f>
        <v/>
      </c>
      <c r="U1602" s="0" t="str">
        <f aca="false">IF(OR($B1602="",$L1602="已完成"),"",IF(ISNUMBER($B1602),IF(设置!$B$6&lt;$B1602,"",(设置!$B$6-$B1602)*100000+ROW()),""))</f>
        <v/>
      </c>
      <c r="V1602" s="0" t="str">
        <f aca="false">IF(ISNUMBER($O1602),IF($O1602&gt;=2,IF(COUNTIFS($D1602:$D$2006,$D1602,$E1602:$E$2006,$E1602)=1,ROW(),""),""),"")</f>
        <v/>
      </c>
    </row>
    <row r="1603" customFormat="false" ht="15" hidden="false" customHeight="true" outlineLevel="0" collapsed="false">
      <c r="A1603" s="13" t="str">
        <f aca="false">IF(AND($B1603="",$D1603="",$E1603="",$F1603=""),"",IF(OR($B1603="",$D1603="",$E1603=""),"待补",IF($D1603="公共区域","公",IF($D1603="商铺","S",SUBSTITUTE($D1603,"栋","")))&amp;"-"&amp;$E1603&amp;"-"&amp;TEXT(MONTH($B1603),"00")&amp;TEXT(DAY($B1603),"00")&amp;IF(ISNUMBER($O1603),IF($O1603&gt;1,"-"&amp;TEXT($O1603,"00"),""),"")))</f>
        <v/>
      </c>
      <c r="B1603" s="14"/>
      <c r="C1603" s="10"/>
      <c r="D1603" s="10"/>
      <c r="E1603" s="10"/>
      <c r="F1603" s="16"/>
      <c r="G1603" s="10"/>
      <c r="H1603" s="10"/>
      <c r="I1603" s="10"/>
      <c r="J1603" s="10"/>
      <c r="K1603" s="10"/>
      <c r="L1603" s="10"/>
      <c r="M1603" s="14"/>
      <c r="N1603" s="17" t="str">
        <f aca="false">IF($B1603="","",IF($L1603="已完成",IF($M1603="","",$M1603-$B1603),IF(设置!$B$6&lt;$B1603,"",IF((设置!$B$6-$B1603)&gt;=设置!$B$5,"超期"&amp;(设置!$B$6-$B1603)&amp;"天","已等"&amp;(设置!$B$6-$B1603)&amp;"天"))))</f>
        <v/>
      </c>
      <c r="O1603" s="18" t="str">
        <f aca="false">IF(OR($D1603="",$E1603=""),"",COUNTIFS($D$7:$D1603,$D1603,$E$7:$E1603,$E1603))</f>
        <v/>
      </c>
      <c r="P1603" s="16"/>
      <c r="Q1603" s="19"/>
      <c r="R1603" s="10"/>
      <c r="S1603" s="16"/>
      <c r="T1603" s="0" t="str">
        <f aca="false">IF(OR($D1603="",单元查询!$B$3=""),"",IF($D1603&lt;&gt;单元查询!$B$3,"",IF(OR(单元查询!$D$3="",$E1603&amp;""=单元查询!$D$3&amp;""),IF(ISNUMBER($B1603),$B1603*10000,0)+ROW(),"")))</f>
        <v/>
      </c>
      <c r="U1603" s="0" t="str">
        <f aca="false">IF(OR($B1603="",$L1603="已完成"),"",IF(ISNUMBER($B1603),IF(设置!$B$6&lt;$B1603,"",(设置!$B$6-$B1603)*100000+ROW()),""))</f>
        <v/>
      </c>
      <c r="V1603" s="0" t="str">
        <f aca="false">IF(ISNUMBER($O1603),IF($O1603&gt;=2,IF(COUNTIFS($D1603:$D$2006,$D1603,$E1603:$E$2006,$E1603)=1,ROW(),""),""),"")</f>
        <v/>
      </c>
    </row>
    <row r="1604" customFormat="false" ht="15" hidden="false" customHeight="true" outlineLevel="0" collapsed="false">
      <c r="A1604" s="13" t="str">
        <f aca="false">IF(AND($B1604="",$D1604="",$E1604="",$F1604=""),"",IF(OR($B1604="",$D1604="",$E1604=""),"待补",IF($D1604="公共区域","公",IF($D1604="商铺","S",SUBSTITUTE($D1604,"栋","")))&amp;"-"&amp;$E1604&amp;"-"&amp;TEXT(MONTH($B1604),"00")&amp;TEXT(DAY($B1604),"00")&amp;IF(ISNUMBER($O1604),IF($O1604&gt;1,"-"&amp;TEXT($O1604,"00"),""),"")))</f>
        <v/>
      </c>
      <c r="B1604" s="14"/>
      <c r="C1604" s="10"/>
      <c r="D1604" s="10"/>
      <c r="E1604" s="10"/>
      <c r="F1604" s="16"/>
      <c r="G1604" s="10"/>
      <c r="H1604" s="10"/>
      <c r="I1604" s="10"/>
      <c r="J1604" s="10"/>
      <c r="K1604" s="10"/>
      <c r="L1604" s="10"/>
      <c r="M1604" s="14"/>
      <c r="N1604" s="17" t="str">
        <f aca="false">IF($B1604="","",IF($L1604="已完成",IF($M1604="","",$M1604-$B1604),IF(设置!$B$6&lt;$B1604,"",IF((设置!$B$6-$B1604)&gt;=设置!$B$5,"超期"&amp;(设置!$B$6-$B1604)&amp;"天","已等"&amp;(设置!$B$6-$B1604)&amp;"天"))))</f>
        <v/>
      </c>
      <c r="O1604" s="18" t="str">
        <f aca="false">IF(OR($D1604="",$E1604=""),"",COUNTIFS($D$7:$D1604,$D1604,$E$7:$E1604,$E1604))</f>
        <v/>
      </c>
      <c r="P1604" s="16"/>
      <c r="Q1604" s="19"/>
      <c r="R1604" s="10"/>
      <c r="S1604" s="16"/>
      <c r="T1604" s="0" t="str">
        <f aca="false">IF(OR($D1604="",单元查询!$B$3=""),"",IF($D1604&lt;&gt;单元查询!$B$3,"",IF(OR(单元查询!$D$3="",$E1604&amp;""=单元查询!$D$3&amp;""),IF(ISNUMBER($B1604),$B1604*10000,0)+ROW(),"")))</f>
        <v/>
      </c>
      <c r="U1604" s="0" t="str">
        <f aca="false">IF(OR($B1604="",$L1604="已完成"),"",IF(ISNUMBER($B1604),IF(设置!$B$6&lt;$B1604,"",(设置!$B$6-$B1604)*100000+ROW()),""))</f>
        <v/>
      </c>
      <c r="V1604" s="0" t="str">
        <f aca="false">IF(ISNUMBER($O1604),IF($O1604&gt;=2,IF(COUNTIFS($D1604:$D$2006,$D1604,$E1604:$E$2006,$E1604)=1,ROW(),""),""),"")</f>
        <v/>
      </c>
    </row>
    <row r="1605" customFormat="false" ht="15" hidden="false" customHeight="true" outlineLevel="0" collapsed="false">
      <c r="A1605" s="13" t="str">
        <f aca="false">IF(AND($B1605="",$D1605="",$E1605="",$F1605=""),"",IF(OR($B1605="",$D1605="",$E1605=""),"待补",IF($D1605="公共区域","公",IF($D1605="商铺","S",SUBSTITUTE($D1605,"栋","")))&amp;"-"&amp;$E1605&amp;"-"&amp;TEXT(MONTH($B1605),"00")&amp;TEXT(DAY($B1605),"00")&amp;IF(ISNUMBER($O1605),IF($O1605&gt;1,"-"&amp;TEXT($O1605,"00"),""),"")))</f>
        <v/>
      </c>
      <c r="B1605" s="14"/>
      <c r="C1605" s="10"/>
      <c r="D1605" s="10"/>
      <c r="E1605" s="10"/>
      <c r="F1605" s="16"/>
      <c r="G1605" s="10"/>
      <c r="H1605" s="10"/>
      <c r="I1605" s="10"/>
      <c r="J1605" s="10"/>
      <c r="K1605" s="10"/>
      <c r="L1605" s="10"/>
      <c r="M1605" s="14"/>
      <c r="N1605" s="17" t="str">
        <f aca="false">IF($B1605="","",IF($L1605="已完成",IF($M1605="","",$M1605-$B1605),IF(设置!$B$6&lt;$B1605,"",IF((设置!$B$6-$B1605)&gt;=设置!$B$5,"超期"&amp;(设置!$B$6-$B1605)&amp;"天","已等"&amp;(设置!$B$6-$B1605)&amp;"天"))))</f>
        <v/>
      </c>
      <c r="O1605" s="18" t="str">
        <f aca="false">IF(OR($D1605="",$E1605=""),"",COUNTIFS($D$7:$D1605,$D1605,$E$7:$E1605,$E1605))</f>
        <v/>
      </c>
      <c r="P1605" s="16"/>
      <c r="Q1605" s="19"/>
      <c r="R1605" s="10"/>
      <c r="S1605" s="16"/>
      <c r="T1605" s="0" t="str">
        <f aca="false">IF(OR($D1605="",单元查询!$B$3=""),"",IF($D1605&lt;&gt;单元查询!$B$3,"",IF(OR(单元查询!$D$3="",$E1605&amp;""=单元查询!$D$3&amp;""),IF(ISNUMBER($B1605),$B1605*10000,0)+ROW(),"")))</f>
        <v/>
      </c>
      <c r="U1605" s="0" t="str">
        <f aca="false">IF(OR($B1605="",$L1605="已完成"),"",IF(ISNUMBER($B1605),IF(设置!$B$6&lt;$B1605,"",(设置!$B$6-$B1605)*100000+ROW()),""))</f>
        <v/>
      </c>
      <c r="V1605" s="0" t="str">
        <f aca="false">IF(ISNUMBER($O1605),IF($O1605&gt;=2,IF(COUNTIFS($D1605:$D$2006,$D1605,$E1605:$E$2006,$E1605)=1,ROW(),""),""),"")</f>
        <v/>
      </c>
    </row>
    <row r="1606" customFormat="false" ht="15" hidden="false" customHeight="true" outlineLevel="0" collapsed="false">
      <c r="A1606" s="13" t="str">
        <f aca="false">IF(AND($B1606="",$D1606="",$E1606="",$F1606=""),"",IF(OR($B1606="",$D1606="",$E1606=""),"待补",IF($D1606="公共区域","公",IF($D1606="商铺","S",SUBSTITUTE($D1606,"栋","")))&amp;"-"&amp;$E1606&amp;"-"&amp;TEXT(MONTH($B1606),"00")&amp;TEXT(DAY($B1606),"00")&amp;IF(ISNUMBER($O1606),IF($O1606&gt;1,"-"&amp;TEXT($O1606,"00"),""),"")))</f>
        <v/>
      </c>
      <c r="B1606" s="14"/>
      <c r="C1606" s="10"/>
      <c r="D1606" s="10"/>
      <c r="E1606" s="10"/>
      <c r="F1606" s="16"/>
      <c r="G1606" s="10"/>
      <c r="H1606" s="10"/>
      <c r="I1606" s="10"/>
      <c r="J1606" s="10"/>
      <c r="K1606" s="10"/>
      <c r="L1606" s="10"/>
      <c r="M1606" s="14"/>
      <c r="N1606" s="17" t="str">
        <f aca="false">IF($B1606="","",IF($L1606="已完成",IF($M1606="","",$M1606-$B1606),IF(设置!$B$6&lt;$B1606,"",IF((设置!$B$6-$B1606)&gt;=设置!$B$5,"超期"&amp;(设置!$B$6-$B1606)&amp;"天","已等"&amp;(设置!$B$6-$B1606)&amp;"天"))))</f>
        <v/>
      </c>
      <c r="O1606" s="18" t="str">
        <f aca="false">IF(OR($D1606="",$E1606=""),"",COUNTIFS($D$7:$D1606,$D1606,$E$7:$E1606,$E1606))</f>
        <v/>
      </c>
      <c r="P1606" s="16"/>
      <c r="Q1606" s="19"/>
      <c r="R1606" s="10"/>
      <c r="S1606" s="16"/>
      <c r="T1606" s="0" t="str">
        <f aca="false">IF(OR($D1606="",单元查询!$B$3=""),"",IF($D1606&lt;&gt;单元查询!$B$3,"",IF(OR(单元查询!$D$3="",$E1606&amp;""=单元查询!$D$3&amp;""),IF(ISNUMBER($B1606),$B1606*10000,0)+ROW(),"")))</f>
        <v/>
      </c>
      <c r="U1606" s="0" t="str">
        <f aca="false">IF(OR($B1606="",$L1606="已完成"),"",IF(ISNUMBER($B1606),IF(设置!$B$6&lt;$B1606,"",(设置!$B$6-$B1606)*100000+ROW()),""))</f>
        <v/>
      </c>
      <c r="V1606" s="0" t="str">
        <f aca="false">IF(ISNUMBER($O1606),IF($O1606&gt;=2,IF(COUNTIFS($D1606:$D$2006,$D1606,$E1606:$E$2006,$E1606)=1,ROW(),""),""),"")</f>
        <v/>
      </c>
    </row>
    <row r="1607" customFormat="false" ht="15" hidden="false" customHeight="true" outlineLevel="0" collapsed="false">
      <c r="A1607" s="13" t="str">
        <f aca="false">IF(AND($B1607="",$D1607="",$E1607="",$F1607=""),"",IF(OR($B1607="",$D1607="",$E1607=""),"待补",IF($D1607="公共区域","公",IF($D1607="商铺","S",SUBSTITUTE($D1607,"栋","")))&amp;"-"&amp;$E1607&amp;"-"&amp;TEXT(MONTH($B1607),"00")&amp;TEXT(DAY($B1607),"00")&amp;IF(ISNUMBER($O1607),IF($O1607&gt;1,"-"&amp;TEXT($O1607,"00"),""),"")))</f>
        <v/>
      </c>
      <c r="B1607" s="14"/>
      <c r="C1607" s="10"/>
      <c r="D1607" s="10"/>
      <c r="E1607" s="10"/>
      <c r="F1607" s="16"/>
      <c r="G1607" s="10"/>
      <c r="H1607" s="10"/>
      <c r="I1607" s="10"/>
      <c r="J1607" s="10"/>
      <c r="K1607" s="10"/>
      <c r="L1607" s="10"/>
      <c r="M1607" s="14"/>
      <c r="N1607" s="17" t="str">
        <f aca="false">IF($B1607="","",IF($L1607="已完成",IF($M1607="","",$M1607-$B1607),IF(设置!$B$6&lt;$B1607,"",IF((设置!$B$6-$B1607)&gt;=设置!$B$5,"超期"&amp;(设置!$B$6-$B1607)&amp;"天","已等"&amp;(设置!$B$6-$B1607)&amp;"天"))))</f>
        <v/>
      </c>
      <c r="O1607" s="18" t="str">
        <f aca="false">IF(OR($D1607="",$E1607=""),"",COUNTIFS($D$7:$D1607,$D1607,$E$7:$E1607,$E1607))</f>
        <v/>
      </c>
      <c r="P1607" s="16"/>
      <c r="Q1607" s="19"/>
      <c r="R1607" s="10"/>
      <c r="S1607" s="16"/>
      <c r="T1607" s="0" t="str">
        <f aca="false">IF(OR($D1607="",单元查询!$B$3=""),"",IF($D1607&lt;&gt;单元查询!$B$3,"",IF(OR(单元查询!$D$3="",$E1607&amp;""=单元查询!$D$3&amp;""),IF(ISNUMBER($B1607),$B1607*10000,0)+ROW(),"")))</f>
        <v/>
      </c>
      <c r="U1607" s="0" t="str">
        <f aca="false">IF(OR($B1607="",$L1607="已完成"),"",IF(ISNUMBER($B1607),IF(设置!$B$6&lt;$B1607,"",(设置!$B$6-$B1607)*100000+ROW()),""))</f>
        <v/>
      </c>
      <c r="V1607" s="0" t="str">
        <f aca="false">IF(ISNUMBER($O1607),IF($O1607&gt;=2,IF(COUNTIFS($D1607:$D$2006,$D1607,$E1607:$E$2006,$E1607)=1,ROW(),""),""),"")</f>
        <v/>
      </c>
    </row>
    <row r="1608" customFormat="false" ht="15" hidden="false" customHeight="true" outlineLevel="0" collapsed="false">
      <c r="A1608" s="13" t="str">
        <f aca="false">IF(AND($B1608="",$D1608="",$E1608="",$F1608=""),"",IF(OR($B1608="",$D1608="",$E1608=""),"待补",IF($D1608="公共区域","公",IF($D1608="商铺","S",SUBSTITUTE($D1608,"栋","")))&amp;"-"&amp;$E1608&amp;"-"&amp;TEXT(MONTH($B1608),"00")&amp;TEXT(DAY($B1608),"00")&amp;IF(ISNUMBER($O1608),IF($O1608&gt;1,"-"&amp;TEXT($O1608,"00"),""),"")))</f>
        <v/>
      </c>
      <c r="B1608" s="14"/>
      <c r="C1608" s="10"/>
      <c r="D1608" s="10"/>
      <c r="E1608" s="10"/>
      <c r="F1608" s="16"/>
      <c r="G1608" s="10"/>
      <c r="H1608" s="10"/>
      <c r="I1608" s="10"/>
      <c r="J1608" s="10"/>
      <c r="K1608" s="10"/>
      <c r="L1608" s="10"/>
      <c r="M1608" s="14"/>
      <c r="N1608" s="17" t="str">
        <f aca="false">IF($B1608="","",IF($L1608="已完成",IF($M1608="","",$M1608-$B1608),IF(设置!$B$6&lt;$B1608,"",IF((设置!$B$6-$B1608)&gt;=设置!$B$5,"超期"&amp;(设置!$B$6-$B1608)&amp;"天","已等"&amp;(设置!$B$6-$B1608)&amp;"天"))))</f>
        <v/>
      </c>
      <c r="O1608" s="18" t="str">
        <f aca="false">IF(OR($D1608="",$E1608=""),"",COUNTIFS($D$7:$D1608,$D1608,$E$7:$E1608,$E1608))</f>
        <v/>
      </c>
      <c r="P1608" s="16"/>
      <c r="Q1608" s="19"/>
      <c r="R1608" s="10"/>
      <c r="S1608" s="16"/>
      <c r="T1608" s="0" t="str">
        <f aca="false">IF(OR($D1608="",单元查询!$B$3=""),"",IF($D1608&lt;&gt;单元查询!$B$3,"",IF(OR(单元查询!$D$3="",$E1608&amp;""=单元查询!$D$3&amp;""),IF(ISNUMBER($B1608),$B1608*10000,0)+ROW(),"")))</f>
        <v/>
      </c>
      <c r="U1608" s="0" t="str">
        <f aca="false">IF(OR($B1608="",$L1608="已完成"),"",IF(ISNUMBER($B1608),IF(设置!$B$6&lt;$B1608,"",(设置!$B$6-$B1608)*100000+ROW()),""))</f>
        <v/>
      </c>
      <c r="V1608" s="0" t="str">
        <f aca="false">IF(ISNUMBER($O1608),IF($O1608&gt;=2,IF(COUNTIFS($D1608:$D$2006,$D1608,$E1608:$E$2006,$E1608)=1,ROW(),""),""),"")</f>
        <v/>
      </c>
    </row>
    <row r="1609" customFormat="false" ht="15" hidden="false" customHeight="true" outlineLevel="0" collapsed="false">
      <c r="A1609" s="13" t="str">
        <f aca="false">IF(AND($B1609="",$D1609="",$E1609="",$F1609=""),"",IF(OR($B1609="",$D1609="",$E1609=""),"待补",IF($D1609="公共区域","公",IF($D1609="商铺","S",SUBSTITUTE($D1609,"栋","")))&amp;"-"&amp;$E1609&amp;"-"&amp;TEXT(MONTH($B1609),"00")&amp;TEXT(DAY($B1609),"00")&amp;IF(ISNUMBER($O1609),IF($O1609&gt;1,"-"&amp;TEXT($O1609,"00"),""),"")))</f>
        <v/>
      </c>
      <c r="B1609" s="14"/>
      <c r="C1609" s="10"/>
      <c r="D1609" s="10"/>
      <c r="E1609" s="10"/>
      <c r="F1609" s="16"/>
      <c r="G1609" s="10"/>
      <c r="H1609" s="10"/>
      <c r="I1609" s="10"/>
      <c r="J1609" s="10"/>
      <c r="K1609" s="10"/>
      <c r="L1609" s="10"/>
      <c r="M1609" s="14"/>
      <c r="N1609" s="17" t="str">
        <f aca="false">IF($B1609="","",IF($L1609="已完成",IF($M1609="","",$M1609-$B1609),IF(设置!$B$6&lt;$B1609,"",IF((设置!$B$6-$B1609)&gt;=设置!$B$5,"超期"&amp;(设置!$B$6-$B1609)&amp;"天","已等"&amp;(设置!$B$6-$B1609)&amp;"天"))))</f>
        <v/>
      </c>
      <c r="O1609" s="18" t="str">
        <f aca="false">IF(OR($D1609="",$E1609=""),"",COUNTIFS($D$7:$D1609,$D1609,$E$7:$E1609,$E1609))</f>
        <v/>
      </c>
      <c r="P1609" s="16"/>
      <c r="Q1609" s="19"/>
      <c r="R1609" s="10"/>
      <c r="S1609" s="16"/>
      <c r="T1609" s="0" t="str">
        <f aca="false">IF(OR($D1609="",单元查询!$B$3=""),"",IF($D1609&lt;&gt;单元查询!$B$3,"",IF(OR(单元查询!$D$3="",$E1609&amp;""=单元查询!$D$3&amp;""),IF(ISNUMBER($B1609),$B1609*10000,0)+ROW(),"")))</f>
        <v/>
      </c>
      <c r="U1609" s="0" t="str">
        <f aca="false">IF(OR($B1609="",$L1609="已完成"),"",IF(ISNUMBER($B1609),IF(设置!$B$6&lt;$B1609,"",(设置!$B$6-$B1609)*100000+ROW()),""))</f>
        <v/>
      </c>
      <c r="V1609" s="0" t="str">
        <f aca="false">IF(ISNUMBER($O1609),IF($O1609&gt;=2,IF(COUNTIFS($D1609:$D$2006,$D1609,$E1609:$E$2006,$E1609)=1,ROW(),""),""),"")</f>
        <v/>
      </c>
    </row>
    <row r="1610" customFormat="false" ht="15" hidden="false" customHeight="true" outlineLevel="0" collapsed="false">
      <c r="A1610" s="13" t="str">
        <f aca="false">IF(AND($B1610="",$D1610="",$E1610="",$F1610=""),"",IF(OR($B1610="",$D1610="",$E1610=""),"待补",IF($D1610="公共区域","公",IF($D1610="商铺","S",SUBSTITUTE($D1610,"栋","")))&amp;"-"&amp;$E1610&amp;"-"&amp;TEXT(MONTH($B1610),"00")&amp;TEXT(DAY($B1610),"00")&amp;IF(ISNUMBER($O1610),IF($O1610&gt;1,"-"&amp;TEXT($O1610,"00"),""),"")))</f>
        <v/>
      </c>
      <c r="B1610" s="14"/>
      <c r="C1610" s="10"/>
      <c r="D1610" s="10"/>
      <c r="E1610" s="10"/>
      <c r="F1610" s="16"/>
      <c r="G1610" s="10"/>
      <c r="H1610" s="10"/>
      <c r="I1610" s="10"/>
      <c r="J1610" s="10"/>
      <c r="K1610" s="10"/>
      <c r="L1610" s="10"/>
      <c r="M1610" s="14"/>
      <c r="N1610" s="17" t="str">
        <f aca="false">IF($B1610="","",IF($L1610="已完成",IF($M1610="","",$M1610-$B1610),IF(设置!$B$6&lt;$B1610,"",IF((设置!$B$6-$B1610)&gt;=设置!$B$5,"超期"&amp;(设置!$B$6-$B1610)&amp;"天","已等"&amp;(设置!$B$6-$B1610)&amp;"天"))))</f>
        <v/>
      </c>
      <c r="O1610" s="18" t="str">
        <f aca="false">IF(OR($D1610="",$E1610=""),"",COUNTIFS($D$7:$D1610,$D1610,$E$7:$E1610,$E1610))</f>
        <v/>
      </c>
      <c r="P1610" s="16"/>
      <c r="Q1610" s="19"/>
      <c r="R1610" s="10"/>
      <c r="S1610" s="16"/>
      <c r="T1610" s="0" t="str">
        <f aca="false">IF(OR($D1610="",单元查询!$B$3=""),"",IF($D1610&lt;&gt;单元查询!$B$3,"",IF(OR(单元查询!$D$3="",$E1610&amp;""=单元查询!$D$3&amp;""),IF(ISNUMBER($B1610),$B1610*10000,0)+ROW(),"")))</f>
        <v/>
      </c>
      <c r="U1610" s="0" t="str">
        <f aca="false">IF(OR($B1610="",$L1610="已完成"),"",IF(ISNUMBER($B1610),IF(设置!$B$6&lt;$B1610,"",(设置!$B$6-$B1610)*100000+ROW()),""))</f>
        <v/>
      </c>
      <c r="V1610" s="0" t="str">
        <f aca="false">IF(ISNUMBER($O1610),IF($O1610&gt;=2,IF(COUNTIFS($D1610:$D$2006,$D1610,$E1610:$E$2006,$E1610)=1,ROW(),""),""),"")</f>
        <v/>
      </c>
    </row>
    <row r="1611" customFormat="false" ht="15" hidden="false" customHeight="true" outlineLevel="0" collapsed="false">
      <c r="A1611" s="13" t="str">
        <f aca="false">IF(AND($B1611="",$D1611="",$E1611="",$F1611=""),"",IF(OR($B1611="",$D1611="",$E1611=""),"待补",IF($D1611="公共区域","公",IF($D1611="商铺","S",SUBSTITUTE($D1611,"栋","")))&amp;"-"&amp;$E1611&amp;"-"&amp;TEXT(MONTH($B1611),"00")&amp;TEXT(DAY($B1611),"00")&amp;IF(ISNUMBER($O1611),IF($O1611&gt;1,"-"&amp;TEXT($O1611,"00"),""),"")))</f>
        <v/>
      </c>
      <c r="B1611" s="14"/>
      <c r="C1611" s="10"/>
      <c r="D1611" s="10"/>
      <c r="E1611" s="10"/>
      <c r="F1611" s="16"/>
      <c r="G1611" s="10"/>
      <c r="H1611" s="10"/>
      <c r="I1611" s="10"/>
      <c r="J1611" s="10"/>
      <c r="K1611" s="10"/>
      <c r="L1611" s="10"/>
      <c r="M1611" s="14"/>
      <c r="N1611" s="17" t="str">
        <f aca="false">IF($B1611="","",IF($L1611="已完成",IF($M1611="","",$M1611-$B1611),IF(设置!$B$6&lt;$B1611,"",IF((设置!$B$6-$B1611)&gt;=设置!$B$5,"超期"&amp;(设置!$B$6-$B1611)&amp;"天","已等"&amp;(设置!$B$6-$B1611)&amp;"天"))))</f>
        <v/>
      </c>
      <c r="O1611" s="18" t="str">
        <f aca="false">IF(OR($D1611="",$E1611=""),"",COUNTIFS($D$7:$D1611,$D1611,$E$7:$E1611,$E1611))</f>
        <v/>
      </c>
      <c r="P1611" s="16"/>
      <c r="Q1611" s="19"/>
      <c r="R1611" s="10"/>
      <c r="S1611" s="16"/>
      <c r="T1611" s="0" t="str">
        <f aca="false">IF(OR($D1611="",单元查询!$B$3=""),"",IF($D1611&lt;&gt;单元查询!$B$3,"",IF(OR(单元查询!$D$3="",$E1611&amp;""=单元查询!$D$3&amp;""),IF(ISNUMBER($B1611),$B1611*10000,0)+ROW(),"")))</f>
        <v/>
      </c>
      <c r="U1611" s="0" t="str">
        <f aca="false">IF(OR($B1611="",$L1611="已完成"),"",IF(ISNUMBER($B1611),IF(设置!$B$6&lt;$B1611,"",(设置!$B$6-$B1611)*100000+ROW()),""))</f>
        <v/>
      </c>
      <c r="V1611" s="0" t="str">
        <f aca="false">IF(ISNUMBER($O1611),IF($O1611&gt;=2,IF(COUNTIFS($D1611:$D$2006,$D1611,$E1611:$E$2006,$E1611)=1,ROW(),""),""),"")</f>
        <v/>
      </c>
    </row>
    <row r="1612" customFormat="false" ht="15" hidden="false" customHeight="true" outlineLevel="0" collapsed="false">
      <c r="A1612" s="13" t="str">
        <f aca="false">IF(AND($B1612="",$D1612="",$E1612="",$F1612=""),"",IF(OR($B1612="",$D1612="",$E1612=""),"待补",IF($D1612="公共区域","公",IF($D1612="商铺","S",SUBSTITUTE($D1612,"栋","")))&amp;"-"&amp;$E1612&amp;"-"&amp;TEXT(MONTH($B1612),"00")&amp;TEXT(DAY($B1612),"00")&amp;IF(ISNUMBER($O1612),IF($O1612&gt;1,"-"&amp;TEXT($O1612,"00"),""),"")))</f>
        <v/>
      </c>
      <c r="B1612" s="14"/>
      <c r="C1612" s="10"/>
      <c r="D1612" s="10"/>
      <c r="E1612" s="10"/>
      <c r="F1612" s="16"/>
      <c r="G1612" s="10"/>
      <c r="H1612" s="10"/>
      <c r="I1612" s="10"/>
      <c r="J1612" s="10"/>
      <c r="K1612" s="10"/>
      <c r="L1612" s="10"/>
      <c r="M1612" s="14"/>
      <c r="N1612" s="17" t="str">
        <f aca="false">IF($B1612="","",IF($L1612="已完成",IF($M1612="","",$M1612-$B1612),IF(设置!$B$6&lt;$B1612,"",IF((设置!$B$6-$B1612)&gt;=设置!$B$5,"超期"&amp;(设置!$B$6-$B1612)&amp;"天","已等"&amp;(设置!$B$6-$B1612)&amp;"天"))))</f>
        <v/>
      </c>
      <c r="O1612" s="18" t="str">
        <f aca="false">IF(OR($D1612="",$E1612=""),"",COUNTIFS($D$7:$D1612,$D1612,$E$7:$E1612,$E1612))</f>
        <v/>
      </c>
      <c r="P1612" s="16"/>
      <c r="Q1612" s="19"/>
      <c r="R1612" s="10"/>
      <c r="S1612" s="16"/>
      <c r="T1612" s="0" t="str">
        <f aca="false">IF(OR($D1612="",单元查询!$B$3=""),"",IF($D1612&lt;&gt;单元查询!$B$3,"",IF(OR(单元查询!$D$3="",$E1612&amp;""=单元查询!$D$3&amp;""),IF(ISNUMBER($B1612),$B1612*10000,0)+ROW(),"")))</f>
        <v/>
      </c>
      <c r="U1612" s="0" t="str">
        <f aca="false">IF(OR($B1612="",$L1612="已完成"),"",IF(ISNUMBER($B1612),IF(设置!$B$6&lt;$B1612,"",(设置!$B$6-$B1612)*100000+ROW()),""))</f>
        <v/>
      </c>
      <c r="V1612" s="0" t="str">
        <f aca="false">IF(ISNUMBER($O1612),IF($O1612&gt;=2,IF(COUNTIFS($D1612:$D$2006,$D1612,$E1612:$E$2006,$E1612)=1,ROW(),""),""),"")</f>
        <v/>
      </c>
    </row>
    <row r="1613" customFormat="false" ht="15" hidden="false" customHeight="true" outlineLevel="0" collapsed="false">
      <c r="A1613" s="13" t="str">
        <f aca="false">IF(AND($B1613="",$D1613="",$E1613="",$F1613=""),"",IF(OR($B1613="",$D1613="",$E1613=""),"待补",IF($D1613="公共区域","公",IF($D1613="商铺","S",SUBSTITUTE($D1613,"栋","")))&amp;"-"&amp;$E1613&amp;"-"&amp;TEXT(MONTH($B1613),"00")&amp;TEXT(DAY($B1613),"00")&amp;IF(ISNUMBER($O1613),IF($O1613&gt;1,"-"&amp;TEXT($O1613,"00"),""),"")))</f>
        <v/>
      </c>
      <c r="B1613" s="14"/>
      <c r="C1613" s="10"/>
      <c r="D1613" s="10"/>
      <c r="E1613" s="10"/>
      <c r="F1613" s="16"/>
      <c r="G1613" s="10"/>
      <c r="H1613" s="10"/>
      <c r="I1613" s="10"/>
      <c r="J1613" s="10"/>
      <c r="K1613" s="10"/>
      <c r="L1613" s="10"/>
      <c r="M1613" s="14"/>
      <c r="N1613" s="17" t="str">
        <f aca="false">IF($B1613="","",IF($L1613="已完成",IF($M1613="","",$M1613-$B1613),IF(设置!$B$6&lt;$B1613,"",IF((设置!$B$6-$B1613)&gt;=设置!$B$5,"超期"&amp;(设置!$B$6-$B1613)&amp;"天","已等"&amp;(设置!$B$6-$B1613)&amp;"天"))))</f>
        <v/>
      </c>
      <c r="O1613" s="18" t="str">
        <f aca="false">IF(OR($D1613="",$E1613=""),"",COUNTIFS($D$7:$D1613,$D1613,$E$7:$E1613,$E1613))</f>
        <v/>
      </c>
      <c r="P1613" s="16"/>
      <c r="Q1613" s="19"/>
      <c r="R1613" s="10"/>
      <c r="S1613" s="16"/>
      <c r="T1613" s="0" t="str">
        <f aca="false">IF(OR($D1613="",单元查询!$B$3=""),"",IF($D1613&lt;&gt;单元查询!$B$3,"",IF(OR(单元查询!$D$3="",$E1613&amp;""=单元查询!$D$3&amp;""),IF(ISNUMBER($B1613),$B1613*10000,0)+ROW(),"")))</f>
        <v/>
      </c>
      <c r="U1613" s="0" t="str">
        <f aca="false">IF(OR($B1613="",$L1613="已完成"),"",IF(ISNUMBER($B1613),IF(设置!$B$6&lt;$B1613,"",(设置!$B$6-$B1613)*100000+ROW()),""))</f>
        <v/>
      </c>
      <c r="V1613" s="0" t="str">
        <f aca="false">IF(ISNUMBER($O1613),IF($O1613&gt;=2,IF(COUNTIFS($D1613:$D$2006,$D1613,$E1613:$E$2006,$E1613)=1,ROW(),""),""),"")</f>
        <v/>
      </c>
    </row>
    <row r="1614" customFormat="false" ht="15" hidden="false" customHeight="true" outlineLevel="0" collapsed="false">
      <c r="A1614" s="13" t="str">
        <f aca="false">IF(AND($B1614="",$D1614="",$E1614="",$F1614=""),"",IF(OR($B1614="",$D1614="",$E1614=""),"待补",IF($D1614="公共区域","公",IF($D1614="商铺","S",SUBSTITUTE($D1614,"栋","")))&amp;"-"&amp;$E1614&amp;"-"&amp;TEXT(MONTH($B1614),"00")&amp;TEXT(DAY($B1614),"00")&amp;IF(ISNUMBER($O1614),IF($O1614&gt;1,"-"&amp;TEXT($O1614,"00"),""),"")))</f>
        <v/>
      </c>
      <c r="B1614" s="14"/>
      <c r="C1614" s="10"/>
      <c r="D1614" s="10"/>
      <c r="E1614" s="10"/>
      <c r="F1614" s="16"/>
      <c r="G1614" s="10"/>
      <c r="H1614" s="10"/>
      <c r="I1614" s="10"/>
      <c r="J1614" s="10"/>
      <c r="K1614" s="10"/>
      <c r="L1614" s="10"/>
      <c r="M1614" s="14"/>
      <c r="N1614" s="17" t="str">
        <f aca="false">IF($B1614="","",IF($L1614="已完成",IF($M1614="","",$M1614-$B1614),IF(设置!$B$6&lt;$B1614,"",IF((设置!$B$6-$B1614)&gt;=设置!$B$5,"超期"&amp;(设置!$B$6-$B1614)&amp;"天","已等"&amp;(设置!$B$6-$B1614)&amp;"天"))))</f>
        <v/>
      </c>
      <c r="O1614" s="18" t="str">
        <f aca="false">IF(OR($D1614="",$E1614=""),"",COUNTIFS($D$7:$D1614,$D1614,$E$7:$E1614,$E1614))</f>
        <v/>
      </c>
      <c r="P1614" s="16"/>
      <c r="Q1614" s="19"/>
      <c r="R1614" s="10"/>
      <c r="S1614" s="16"/>
      <c r="T1614" s="0" t="str">
        <f aca="false">IF(OR($D1614="",单元查询!$B$3=""),"",IF($D1614&lt;&gt;单元查询!$B$3,"",IF(OR(单元查询!$D$3="",$E1614&amp;""=单元查询!$D$3&amp;""),IF(ISNUMBER($B1614),$B1614*10000,0)+ROW(),"")))</f>
        <v/>
      </c>
      <c r="U1614" s="0" t="str">
        <f aca="false">IF(OR($B1614="",$L1614="已完成"),"",IF(ISNUMBER($B1614),IF(设置!$B$6&lt;$B1614,"",(设置!$B$6-$B1614)*100000+ROW()),""))</f>
        <v/>
      </c>
      <c r="V1614" s="0" t="str">
        <f aca="false">IF(ISNUMBER($O1614),IF($O1614&gt;=2,IF(COUNTIFS($D1614:$D$2006,$D1614,$E1614:$E$2006,$E1614)=1,ROW(),""),""),"")</f>
        <v/>
      </c>
    </row>
    <row r="1615" customFormat="false" ht="15" hidden="false" customHeight="true" outlineLevel="0" collapsed="false">
      <c r="A1615" s="13" t="str">
        <f aca="false">IF(AND($B1615="",$D1615="",$E1615="",$F1615=""),"",IF(OR($B1615="",$D1615="",$E1615=""),"待补",IF($D1615="公共区域","公",IF($D1615="商铺","S",SUBSTITUTE($D1615,"栋","")))&amp;"-"&amp;$E1615&amp;"-"&amp;TEXT(MONTH($B1615),"00")&amp;TEXT(DAY($B1615),"00")&amp;IF(ISNUMBER($O1615),IF($O1615&gt;1,"-"&amp;TEXT($O1615,"00"),""),"")))</f>
        <v/>
      </c>
      <c r="B1615" s="14"/>
      <c r="C1615" s="10"/>
      <c r="D1615" s="10"/>
      <c r="E1615" s="10"/>
      <c r="F1615" s="16"/>
      <c r="G1615" s="10"/>
      <c r="H1615" s="10"/>
      <c r="I1615" s="10"/>
      <c r="J1615" s="10"/>
      <c r="K1615" s="10"/>
      <c r="L1615" s="10"/>
      <c r="M1615" s="14"/>
      <c r="N1615" s="17" t="str">
        <f aca="false">IF($B1615="","",IF($L1615="已完成",IF($M1615="","",$M1615-$B1615),IF(设置!$B$6&lt;$B1615,"",IF((设置!$B$6-$B1615)&gt;=设置!$B$5,"超期"&amp;(设置!$B$6-$B1615)&amp;"天","已等"&amp;(设置!$B$6-$B1615)&amp;"天"))))</f>
        <v/>
      </c>
      <c r="O1615" s="18" t="str">
        <f aca="false">IF(OR($D1615="",$E1615=""),"",COUNTIFS($D$7:$D1615,$D1615,$E$7:$E1615,$E1615))</f>
        <v/>
      </c>
      <c r="P1615" s="16"/>
      <c r="Q1615" s="19"/>
      <c r="R1615" s="10"/>
      <c r="S1615" s="16"/>
      <c r="T1615" s="0" t="str">
        <f aca="false">IF(OR($D1615="",单元查询!$B$3=""),"",IF($D1615&lt;&gt;单元查询!$B$3,"",IF(OR(单元查询!$D$3="",$E1615&amp;""=单元查询!$D$3&amp;""),IF(ISNUMBER($B1615),$B1615*10000,0)+ROW(),"")))</f>
        <v/>
      </c>
      <c r="U1615" s="0" t="str">
        <f aca="false">IF(OR($B1615="",$L1615="已完成"),"",IF(ISNUMBER($B1615),IF(设置!$B$6&lt;$B1615,"",(设置!$B$6-$B1615)*100000+ROW()),""))</f>
        <v/>
      </c>
      <c r="V1615" s="0" t="str">
        <f aca="false">IF(ISNUMBER($O1615),IF($O1615&gt;=2,IF(COUNTIFS($D1615:$D$2006,$D1615,$E1615:$E$2006,$E1615)=1,ROW(),""),""),"")</f>
        <v/>
      </c>
    </row>
    <row r="1616" customFormat="false" ht="15" hidden="false" customHeight="true" outlineLevel="0" collapsed="false">
      <c r="A1616" s="13" t="str">
        <f aca="false">IF(AND($B1616="",$D1616="",$E1616="",$F1616=""),"",IF(OR($B1616="",$D1616="",$E1616=""),"待补",IF($D1616="公共区域","公",IF($D1616="商铺","S",SUBSTITUTE($D1616,"栋","")))&amp;"-"&amp;$E1616&amp;"-"&amp;TEXT(MONTH($B1616),"00")&amp;TEXT(DAY($B1616),"00")&amp;IF(ISNUMBER($O1616),IF($O1616&gt;1,"-"&amp;TEXT($O1616,"00"),""),"")))</f>
        <v/>
      </c>
      <c r="B1616" s="14"/>
      <c r="C1616" s="10"/>
      <c r="D1616" s="10"/>
      <c r="E1616" s="10"/>
      <c r="F1616" s="16"/>
      <c r="G1616" s="10"/>
      <c r="H1616" s="10"/>
      <c r="I1616" s="10"/>
      <c r="J1616" s="10"/>
      <c r="K1616" s="10"/>
      <c r="L1616" s="10"/>
      <c r="M1616" s="14"/>
      <c r="N1616" s="17" t="str">
        <f aca="false">IF($B1616="","",IF($L1616="已完成",IF($M1616="","",$M1616-$B1616),IF(设置!$B$6&lt;$B1616,"",IF((设置!$B$6-$B1616)&gt;=设置!$B$5,"超期"&amp;(设置!$B$6-$B1616)&amp;"天","已等"&amp;(设置!$B$6-$B1616)&amp;"天"))))</f>
        <v/>
      </c>
      <c r="O1616" s="18" t="str">
        <f aca="false">IF(OR($D1616="",$E1616=""),"",COUNTIFS($D$7:$D1616,$D1616,$E$7:$E1616,$E1616))</f>
        <v/>
      </c>
      <c r="P1616" s="16"/>
      <c r="Q1616" s="19"/>
      <c r="R1616" s="10"/>
      <c r="S1616" s="16"/>
      <c r="T1616" s="0" t="str">
        <f aca="false">IF(OR($D1616="",单元查询!$B$3=""),"",IF($D1616&lt;&gt;单元查询!$B$3,"",IF(OR(单元查询!$D$3="",$E1616&amp;""=单元查询!$D$3&amp;""),IF(ISNUMBER($B1616),$B1616*10000,0)+ROW(),"")))</f>
        <v/>
      </c>
      <c r="U1616" s="0" t="str">
        <f aca="false">IF(OR($B1616="",$L1616="已完成"),"",IF(ISNUMBER($B1616),IF(设置!$B$6&lt;$B1616,"",(设置!$B$6-$B1616)*100000+ROW()),""))</f>
        <v/>
      </c>
      <c r="V1616" s="0" t="str">
        <f aca="false">IF(ISNUMBER($O1616),IF($O1616&gt;=2,IF(COUNTIFS($D1616:$D$2006,$D1616,$E1616:$E$2006,$E1616)=1,ROW(),""),""),"")</f>
        <v/>
      </c>
    </row>
    <row r="1617" customFormat="false" ht="15" hidden="false" customHeight="true" outlineLevel="0" collapsed="false">
      <c r="A1617" s="13" t="str">
        <f aca="false">IF(AND($B1617="",$D1617="",$E1617="",$F1617=""),"",IF(OR($B1617="",$D1617="",$E1617=""),"待补",IF($D1617="公共区域","公",IF($D1617="商铺","S",SUBSTITUTE($D1617,"栋","")))&amp;"-"&amp;$E1617&amp;"-"&amp;TEXT(MONTH($B1617),"00")&amp;TEXT(DAY($B1617),"00")&amp;IF(ISNUMBER($O1617),IF($O1617&gt;1,"-"&amp;TEXT($O1617,"00"),""),"")))</f>
        <v/>
      </c>
      <c r="B1617" s="14"/>
      <c r="C1617" s="10"/>
      <c r="D1617" s="10"/>
      <c r="E1617" s="10"/>
      <c r="F1617" s="16"/>
      <c r="G1617" s="10"/>
      <c r="H1617" s="10"/>
      <c r="I1617" s="10"/>
      <c r="J1617" s="10"/>
      <c r="K1617" s="10"/>
      <c r="L1617" s="10"/>
      <c r="M1617" s="14"/>
      <c r="N1617" s="17" t="str">
        <f aca="false">IF($B1617="","",IF($L1617="已完成",IF($M1617="","",$M1617-$B1617),IF(设置!$B$6&lt;$B1617,"",IF((设置!$B$6-$B1617)&gt;=设置!$B$5,"超期"&amp;(设置!$B$6-$B1617)&amp;"天","已等"&amp;(设置!$B$6-$B1617)&amp;"天"))))</f>
        <v/>
      </c>
      <c r="O1617" s="18" t="str">
        <f aca="false">IF(OR($D1617="",$E1617=""),"",COUNTIFS($D$7:$D1617,$D1617,$E$7:$E1617,$E1617))</f>
        <v/>
      </c>
      <c r="P1617" s="16"/>
      <c r="Q1617" s="19"/>
      <c r="R1617" s="10"/>
      <c r="S1617" s="16"/>
      <c r="T1617" s="0" t="str">
        <f aca="false">IF(OR($D1617="",单元查询!$B$3=""),"",IF($D1617&lt;&gt;单元查询!$B$3,"",IF(OR(单元查询!$D$3="",$E1617&amp;""=单元查询!$D$3&amp;""),IF(ISNUMBER($B1617),$B1617*10000,0)+ROW(),"")))</f>
        <v/>
      </c>
      <c r="U1617" s="0" t="str">
        <f aca="false">IF(OR($B1617="",$L1617="已完成"),"",IF(ISNUMBER($B1617),IF(设置!$B$6&lt;$B1617,"",(设置!$B$6-$B1617)*100000+ROW()),""))</f>
        <v/>
      </c>
      <c r="V1617" s="0" t="str">
        <f aca="false">IF(ISNUMBER($O1617),IF($O1617&gt;=2,IF(COUNTIFS($D1617:$D$2006,$D1617,$E1617:$E$2006,$E1617)=1,ROW(),""),""),"")</f>
        <v/>
      </c>
    </row>
    <row r="1618" customFormat="false" ht="15" hidden="false" customHeight="true" outlineLevel="0" collapsed="false">
      <c r="A1618" s="13" t="str">
        <f aca="false">IF(AND($B1618="",$D1618="",$E1618="",$F1618=""),"",IF(OR($B1618="",$D1618="",$E1618=""),"待补",IF($D1618="公共区域","公",IF($D1618="商铺","S",SUBSTITUTE($D1618,"栋","")))&amp;"-"&amp;$E1618&amp;"-"&amp;TEXT(MONTH($B1618),"00")&amp;TEXT(DAY($B1618),"00")&amp;IF(ISNUMBER($O1618),IF($O1618&gt;1,"-"&amp;TEXT($O1618,"00"),""),"")))</f>
        <v/>
      </c>
      <c r="B1618" s="14"/>
      <c r="C1618" s="10"/>
      <c r="D1618" s="10"/>
      <c r="E1618" s="10"/>
      <c r="F1618" s="16"/>
      <c r="G1618" s="10"/>
      <c r="H1618" s="10"/>
      <c r="I1618" s="10"/>
      <c r="J1618" s="10"/>
      <c r="K1618" s="10"/>
      <c r="L1618" s="10"/>
      <c r="M1618" s="14"/>
      <c r="N1618" s="17" t="str">
        <f aca="false">IF($B1618="","",IF($L1618="已完成",IF($M1618="","",$M1618-$B1618),IF(设置!$B$6&lt;$B1618,"",IF((设置!$B$6-$B1618)&gt;=设置!$B$5,"超期"&amp;(设置!$B$6-$B1618)&amp;"天","已等"&amp;(设置!$B$6-$B1618)&amp;"天"))))</f>
        <v/>
      </c>
      <c r="O1618" s="18" t="str">
        <f aca="false">IF(OR($D1618="",$E1618=""),"",COUNTIFS($D$7:$D1618,$D1618,$E$7:$E1618,$E1618))</f>
        <v/>
      </c>
      <c r="P1618" s="16"/>
      <c r="Q1618" s="19"/>
      <c r="R1618" s="10"/>
      <c r="S1618" s="16"/>
      <c r="T1618" s="0" t="str">
        <f aca="false">IF(OR($D1618="",单元查询!$B$3=""),"",IF($D1618&lt;&gt;单元查询!$B$3,"",IF(OR(单元查询!$D$3="",$E1618&amp;""=单元查询!$D$3&amp;""),IF(ISNUMBER($B1618),$B1618*10000,0)+ROW(),"")))</f>
        <v/>
      </c>
      <c r="U1618" s="0" t="str">
        <f aca="false">IF(OR($B1618="",$L1618="已完成"),"",IF(ISNUMBER($B1618),IF(设置!$B$6&lt;$B1618,"",(设置!$B$6-$B1618)*100000+ROW()),""))</f>
        <v/>
      </c>
      <c r="V1618" s="0" t="str">
        <f aca="false">IF(ISNUMBER($O1618),IF($O1618&gt;=2,IF(COUNTIFS($D1618:$D$2006,$D1618,$E1618:$E$2006,$E1618)=1,ROW(),""),""),"")</f>
        <v/>
      </c>
    </row>
    <row r="1619" customFormat="false" ht="15" hidden="false" customHeight="true" outlineLevel="0" collapsed="false">
      <c r="A1619" s="13" t="str">
        <f aca="false">IF(AND($B1619="",$D1619="",$E1619="",$F1619=""),"",IF(OR($B1619="",$D1619="",$E1619=""),"待补",IF($D1619="公共区域","公",IF($D1619="商铺","S",SUBSTITUTE($D1619,"栋","")))&amp;"-"&amp;$E1619&amp;"-"&amp;TEXT(MONTH($B1619),"00")&amp;TEXT(DAY($B1619),"00")&amp;IF(ISNUMBER($O1619),IF($O1619&gt;1,"-"&amp;TEXT($O1619,"00"),""),"")))</f>
        <v/>
      </c>
      <c r="B1619" s="14"/>
      <c r="C1619" s="10"/>
      <c r="D1619" s="10"/>
      <c r="E1619" s="10"/>
      <c r="F1619" s="16"/>
      <c r="G1619" s="10"/>
      <c r="H1619" s="10"/>
      <c r="I1619" s="10"/>
      <c r="J1619" s="10"/>
      <c r="K1619" s="10"/>
      <c r="L1619" s="10"/>
      <c r="M1619" s="14"/>
      <c r="N1619" s="17" t="str">
        <f aca="false">IF($B1619="","",IF($L1619="已完成",IF($M1619="","",$M1619-$B1619),IF(设置!$B$6&lt;$B1619,"",IF((设置!$B$6-$B1619)&gt;=设置!$B$5,"超期"&amp;(设置!$B$6-$B1619)&amp;"天","已等"&amp;(设置!$B$6-$B1619)&amp;"天"))))</f>
        <v/>
      </c>
      <c r="O1619" s="18" t="str">
        <f aca="false">IF(OR($D1619="",$E1619=""),"",COUNTIFS($D$7:$D1619,$D1619,$E$7:$E1619,$E1619))</f>
        <v/>
      </c>
      <c r="P1619" s="16"/>
      <c r="Q1619" s="19"/>
      <c r="R1619" s="10"/>
      <c r="S1619" s="16"/>
      <c r="T1619" s="0" t="str">
        <f aca="false">IF(OR($D1619="",单元查询!$B$3=""),"",IF($D1619&lt;&gt;单元查询!$B$3,"",IF(OR(单元查询!$D$3="",$E1619&amp;""=单元查询!$D$3&amp;""),IF(ISNUMBER($B1619),$B1619*10000,0)+ROW(),"")))</f>
        <v/>
      </c>
      <c r="U1619" s="0" t="str">
        <f aca="false">IF(OR($B1619="",$L1619="已完成"),"",IF(ISNUMBER($B1619),IF(设置!$B$6&lt;$B1619,"",(设置!$B$6-$B1619)*100000+ROW()),""))</f>
        <v/>
      </c>
      <c r="V1619" s="0" t="str">
        <f aca="false">IF(ISNUMBER($O1619),IF($O1619&gt;=2,IF(COUNTIFS($D1619:$D$2006,$D1619,$E1619:$E$2006,$E1619)=1,ROW(),""),""),"")</f>
        <v/>
      </c>
    </row>
    <row r="1620" customFormat="false" ht="15" hidden="false" customHeight="true" outlineLevel="0" collapsed="false">
      <c r="A1620" s="13" t="str">
        <f aca="false">IF(AND($B1620="",$D1620="",$E1620="",$F1620=""),"",IF(OR($B1620="",$D1620="",$E1620=""),"待补",IF($D1620="公共区域","公",IF($D1620="商铺","S",SUBSTITUTE($D1620,"栋","")))&amp;"-"&amp;$E1620&amp;"-"&amp;TEXT(MONTH($B1620),"00")&amp;TEXT(DAY($B1620),"00")&amp;IF(ISNUMBER($O1620),IF($O1620&gt;1,"-"&amp;TEXT($O1620,"00"),""),"")))</f>
        <v/>
      </c>
      <c r="B1620" s="14"/>
      <c r="C1620" s="10"/>
      <c r="D1620" s="10"/>
      <c r="E1620" s="10"/>
      <c r="F1620" s="16"/>
      <c r="G1620" s="10"/>
      <c r="H1620" s="10"/>
      <c r="I1620" s="10"/>
      <c r="J1620" s="10"/>
      <c r="K1620" s="10"/>
      <c r="L1620" s="10"/>
      <c r="M1620" s="14"/>
      <c r="N1620" s="17" t="str">
        <f aca="false">IF($B1620="","",IF($L1620="已完成",IF($M1620="","",$M1620-$B1620),IF(设置!$B$6&lt;$B1620,"",IF((设置!$B$6-$B1620)&gt;=设置!$B$5,"超期"&amp;(设置!$B$6-$B1620)&amp;"天","已等"&amp;(设置!$B$6-$B1620)&amp;"天"))))</f>
        <v/>
      </c>
      <c r="O1620" s="18" t="str">
        <f aca="false">IF(OR($D1620="",$E1620=""),"",COUNTIFS($D$7:$D1620,$D1620,$E$7:$E1620,$E1620))</f>
        <v/>
      </c>
      <c r="P1620" s="16"/>
      <c r="Q1620" s="19"/>
      <c r="R1620" s="10"/>
      <c r="S1620" s="16"/>
      <c r="T1620" s="0" t="str">
        <f aca="false">IF(OR($D1620="",单元查询!$B$3=""),"",IF($D1620&lt;&gt;单元查询!$B$3,"",IF(OR(单元查询!$D$3="",$E1620&amp;""=单元查询!$D$3&amp;""),IF(ISNUMBER($B1620),$B1620*10000,0)+ROW(),"")))</f>
        <v/>
      </c>
      <c r="U1620" s="0" t="str">
        <f aca="false">IF(OR($B1620="",$L1620="已完成"),"",IF(ISNUMBER($B1620),IF(设置!$B$6&lt;$B1620,"",(设置!$B$6-$B1620)*100000+ROW()),""))</f>
        <v/>
      </c>
      <c r="V1620" s="0" t="str">
        <f aca="false">IF(ISNUMBER($O1620),IF($O1620&gt;=2,IF(COUNTIFS($D1620:$D$2006,$D1620,$E1620:$E$2006,$E1620)=1,ROW(),""),""),"")</f>
        <v/>
      </c>
    </row>
    <row r="1621" customFormat="false" ht="15" hidden="false" customHeight="true" outlineLevel="0" collapsed="false">
      <c r="A1621" s="13" t="str">
        <f aca="false">IF(AND($B1621="",$D1621="",$E1621="",$F1621=""),"",IF(OR($B1621="",$D1621="",$E1621=""),"待补",IF($D1621="公共区域","公",IF($D1621="商铺","S",SUBSTITUTE($D1621,"栋","")))&amp;"-"&amp;$E1621&amp;"-"&amp;TEXT(MONTH($B1621),"00")&amp;TEXT(DAY($B1621),"00")&amp;IF(ISNUMBER($O1621),IF($O1621&gt;1,"-"&amp;TEXT($O1621,"00"),""),"")))</f>
        <v/>
      </c>
      <c r="B1621" s="14"/>
      <c r="C1621" s="10"/>
      <c r="D1621" s="10"/>
      <c r="E1621" s="10"/>
      <c r="F1621" s="16"/>
      <c r="G1621" s="10"/>
      <c r="H1621" s="10"/>
      <c r="I1621" s="10"/>
      <c r="J1621" s="10"/>
      <c r="K1621" s="10"/>
      <c r="L1621" s="10"/>
      <c r="M1621" s="14"/>
      <c r="N1621" s="17" t="str">
        <f aca="false">IF($B1621="","",IF($L1621="已完成",IF($M1621="","",$M1621-$B1621),IF(设置!$B$6&lt;$B1621,"",IF((设置!$B$6-$B1621)&gt;=设置!$B$5,"超期"&amp;(设置!$B$6-$B1621)&amp;"天","已等"&amp;(设置!$B$6-$B1621)&amp;"天"))))</f>
        <v/>
      </c>
      <c r="O1621" s="18" t="str">
        <f aca="false">IF(OR($D1621="",$E1621=""),"",COUNTIFS($D$7:$D1621,$D1621,$E$7:$E1621,$E1621))</f>
        <v/>
      </c>
      <c r="P1621" s="16"/>
      <c r="Q1621" s="19"/>
      <c r="R1621" s="10"/>
      <c r="S1621" s="16"/>
      <c r="T1621" s="0" t="str">
        <f aca="false">IF(OR($D1621="",单元查询!$B$3=""),"",IF($D1621&lt;&gt;单元查询!$B$3,"",IF(OR(单元查询!$D$3="",$E1621&amp;""=单元查询!$D$3&amp;""),IF(ISNUMBER($B1621),$B1621*10000,0)+ROW(),"")))</f>
        <v/>
      </c>
      <c r="U1621" s="0" t="str">
        <f aca="false">IF(OR($B1621="",$L1621="已完成"),"",IF(ISNUMBER($B1621),IF(设置!$B$6&lt;$B1621,"",(设置!$B$6-$B1621)*100000+ROW()),""))</f>
        <v/>
      </c>
      <c r="V1621" s="0" t="str">
        <f aca="false">IF(ISNUMBER($O1621),IF($O1621&gt;=2,IF(COUNTIFS($D1621:$D$2006,$D1621,$E1621:$E$2006,$E1621)=1,ROW(),""),""),"")</f>
        <v/>
      </c>
    </row>
    <row r="1622" customFormat="false" ht="15" hidden="false" customHeight="true" outlineLevel="0" collapsed="false">
      <c r="A1622" s="13" t="str">
        <f aca="false">IF(AND($B1622="",$D1622="",$E1622="",$F1622=""),"",IF(OR($B1622="",$D1622="",$E1622=""),"待补",IF($D1622="公共区域","公",IF($D1622="商铺","S",SUBSTITUTE($D1622,"栋","")))&amp;"-"&amp;$E1622&amp;"-"&amp;TEXT(MONTH($B1622),"00")&amp;TEXT(DAY($B1622),"00")&amp;IF(ISNUMBER($O1622),IF($O1622&gt;1,"-"&amp;TEXT($O1622,"00"),""),"")))</f>
        <v/>
      </c>
      <c r="B1622" s="14"/>
      <c r="C1622" s="10"/>
      <c r="D1622" s="10"/>
      <c r="E1622" s="10"/>
      <c r="F1622" s="16"/>
      <c r="G1622" s="10"/>
      <c r="H1622" s="10"/>
      <c r="I1622" s="10"/>
      <c r="J1622" s="10"/>
      <c r="K1622" s="10"/>
      <c r="L1622" s="10"/>
      <c r="M1622" s="14"/>
      <c r="N1622" s="17" t="str">
        <f aca="false">IF($B1622="","",IF($L1622="已完成",IF($M1622="","",$M1622-$B1622),IF(设置!$B$6&lt;$B1622,"",IF((设置!$B$6-$B1622)&gt;=设置!$B$5,"超期"&amp;(设置!$B$6-$B1622)&amp;"天","已等"&amp;(设置!$B$6-$B1622)&amp;"天"))))</f>
        <v/>
      </c>
      <c r="O1622" s="18" t="str">
        <f aca="false">IF(OR($D1622="",$E1622=""),"",COUNTIFS($D$7:$D1622,$D1622,$E$7:$E1622,$E1622))</f>
        <v/>
      </c>
      <c r="P1622" s="16"/>
      <c r="Q1622" s="19"/>
      <c r="R1622" s="10"/>
      <c r="S1622" s="16"/>
      <c r="T1622" s="0" t="str">
        <f aca="false">IF(OR($D1622="",单元查询!$B$3=""),"",IF($D1622&lt;&gt;单元查询!$B$3,"",IF(OR(单元查询!$D$3="",$E1622&amp;""=单元查询!$D$3&amp;""),IF(ISNUMBER($B1622),$B1622*10000,0)+ROW(),"")))</f>
        <v/>
      </c>
      <c r="U1622" s="0" t="str">
        <f aca="false">IF(OR($B1622="",$L1622="已完成"),"",IF(ISNUMBER($B1622),IF(设置!$B$6&lt;$B1622,"",(设置!$B$6-$B1622)*100000+ROW()),""))</f>
        <v/>
      </c>
      <c r="V1622" s="0" t="str">
        <f aca="false">IF(ISNUMBER($O1622),IF($O1622&gt;=2,IF(COUNTIFS($D1622:$D$2006,$D1622,$E1622:$E$2006,$E1622)=1,ROW(),""),""),"")</f>
        <v/>
      </c>
    </row>
    <row r="1623" customFormat="false" ht="15" hidden="false" customHeight="true" outlineLevel="0" collapsed="false">
      <c r="A1623" s="13" t="str">
        <f aca="false">IF(AND($B1623="",$D1623="",$E1623="",$F1623=""),"",IF(OR($B1623="",$D1623="",$E1623=""),"待补",IF($D1623="公共区域","公",IF($D1623="商铺","S",SUBSTITUTE($D1623,"栋","")))&amp;"-"&amp;$E1623&amp;"-"&amp;TEXT(MONTH($B1623),"00")&amp;TEXT(DAY($B1623),"00")&amp;IF(ISNUMBER($O1623),IF($O1623&gt;1,"-"&amp;TEXT($O1623,"00"),""),"")))</f>
        <v/>
      </c>
      <c r="B1623" s="14"/>
      <c r="C1623" s="10"/>
      <c r="D1623" s="10"/>
      <c r="E1623" s="10"/>
      <c r="F1623" s="16"/>
      <c r="G1623" s="10"/>
      <c r="H1623" s="10"/>
      <c r="I1623" s="10"/>
      <c r="J1623" s="10"/>
      <c r="K1623" s="10"/>
      <c r="L1623" s="10"/>
      <c r="M1623" s="14"/>
      <c r="N1623" s="17" t="str">
        <f aca="false">IF($B1623="","",IF($L1623="已完成",IF($M1623="","",$M1623-$B1623),IF(设置!$B$6&lt;$B1623,"",IF((设置!$B$6-$B1623)&gt;=设置!$B$5,"超期"&amp;(设置!$B$6-$B1623)&amp;"天","已等"&amp;(设置!$B$6-$B1623)&amp;"天"))))</f>
        <v/>
      </c>
      <c r="O1623" s="18" t="str">
        <f aca="false">IF(OR($D1623="",$E1623=""),"",COUNTIFS($D$7:$D1623,$D1623,$E$7:$E1623,$E1623))</f>
        <v/>
      </c>
      <c r="P1623" s="16"/>
      <c r="Q1623" s="19"/>
      <c r="R1623" s="10"/>
      <c r="S1623" s="16"/>
      <c r="T1623" s="0" t="str">
        <f aca="false">IF(OR($D1623="",单元查询!$B$3=""),"",IF($D1623&lt;&gt;单元查询!$B$3,"",IF(OR(单元查询!$D$3="",$E1623&amp;""=单元查询!$D$3&amp;""),IF(ISNUMBER($B1623),$B1623*10000,0)+ROW(),"")))</f>
        <v/>
      </c>
      <c r="U1623" s="0" t="str">
        <f aca="false">IF(OR($B1623="",$L1623="已完成"),"",IF(ISNUMBER($B1623),IF(设置!$B$6&lt;$B1623,"",(设置!$B$6-$B1623)*100000+ROW()),""))</f>
        <v/>
      </c>
      <c r="V1623" s="0" t="str">
        <f aca="false">IF(ISNUMBER($O1623),IF($O1623&gt;=2,IF(COUNTIFS($D1623:$D$2006,$D1623,$E1623:$E$2006,$E1623)=1,ROW(),""),""),"")</f>
        <v/>
      </c>
    </row>
    <row r="1624" customFormat="false" ht="15" hidden="false" customHeight="true" outlineLevel="0" collapsed="false">
      <c r="A1624" s="13" t="str">
        <f aca="false">IF(AND($B1624="",$D1624="",$E1624="",$F1624=""),"",IF(OR($B1624="",$D1624="",$E1624=""),"待补",IF($D1624="公共区域","公",IF($D1624="商铺","S",SUBSTITUTE($D1624,"栋","")))&amp;"-"&amp;$E1624&amp;"-"&amp;TEXT(MONTH($B1624),"00")&amp;TEXT(DAY($B1624),"00")&amp;IF(ISNUMBER($O1624),IF($O1624&gt;1,"-"&amp;TEXT($O1624,"00"),""),"")))</f>
        <v/>
      </c>
      <c r="B1624" s="14"/>
      <c r="C1624" s="10"/>
      <c r="D1624" s="10"/>
      <c r="E1624" s="10"/>
      <c r="F1624" s="16"/>
      <c r="G1624" s="10"/>
      <c r="H1624" s="10"/>
      <c r="I1624" s="10"/>
      <c r="J1624" s="10"/>
      <c r="K1624" s="10"/>
      <c r="L1624" s="10"/>
      <c r="M1624" s="14"/>
      <c r="N1624" s="17" t="str">
        <f aca="false">IF($B1624="","",IF($L1624="已完成",IF($M1624="","",$M1624-$B1624),IF(设置!$B$6&lt;$B1624,"",IF((设置!$B$6-$B1624)&gt;=设置!$B$5,"超期"&amp;(设置!$B$6-$B1624)&amp;"天","已等"&amp;(设置!$B$6-$B1624)&amp;"天"))))</f>
        <v/>
      </c>
      <c r="O1624" s="18" t="str">
        <f aca="false">IF(OR($D1624="",$E1624=""),"",COUNTIFS($D$7:$D1624,$D1624,$E$7:$E1624,$E1624))</f>
        <v/>
      </c>
      <c r="P1624" s="16"/>
      <c r="Q1624" s="19"/>
      <c r="R1624" s="10"/>
      <c r="S1624" s="16"/>
      <c r="T1624" s="0" t="str">
        <f aca="false">IF(OR($D1624="",单元查询!$B$3=""),"",IF($D1624&lt;&gt;单元查询!$B$3,"",IF(OR(单元查询!$D$3="",$E1624&amp;""=单元查询!$D$3&amp;""),IF(ISNUMBER($B1624),$B1624*10000,0)+ROW(),"")))</f>
        <v/>
      </c>
      <c r="U1624" s="0" t="str">
        <f aca="false">IF(OR($B1624="",$L1624="已完成"),"",IF(ISNUMBER($B1624),IF(设置!$B$6&lt;$B1624,"",(设置!$B$6-$B1624)*100000+ROW()),""))</f>
        <v/>
      </c>
      <c r="V1624" s="0" t="str">
        <f aca="false">IF(ISNUMBER($O1624),IF($O1624&gt;=2,IF(COUNTIFS($D1624:$D$2006,$D1624,$E1624:$E$2006,$E1624)=1,ROW(),""),""),"")</f>
        <v/>
      </c>
    </row>
    <row r="1625" customFormat="false" ht="15" hidden="false" customHeight="true" outlineLevel="0" collapsed="false">
      <c r="A1625" s="13" t="str">
        <f aca="false">IF(AND($B1625="",$D1625="",$E1625="",$F1625=""),"",IF(OR($B1625="",$D1625="",$E1625=""),"待补",IF($D1625="公共区域","公",IF($D1625="商铺","S",SUBSTITUTE($D1625,"栋","")))&amp;"-"&amp;$E1625&amp;"-"&amp;TEXT(MONTH($B1625),"00")&amp;TEXT(DAY($B1625),"00")&amp;IF(ISNUMBER($O1625),IF($O1625&gt;1,"-"&amp;TEXT($O1625,"00"),""),"")))</f>
        <v/>
      </c>
      <c r="B1625" s="14"/>
      <c r="C1625" s="10"/>
      <c r="D1625" s="10"/>
      <c r="E1625" s="10"/>
      <c r="F1625" s="16"/>
      <c r="G1625" s="10"/>
      <c r="H1625" s="10"/>
      <c r="I1625" s="10"/>
      <c r="J1625" s="10"/>
      <c r="K1625" s="10"/>
      <c r="L1625" s="10"/>
      <c r="M1625" s="14"/>
      <c r="N1625" s="17" t="str">
        <f aca="false">IF($B1625="","",IF($L1625="已完成",IF($M1625="","",$M1625-$B1625),IF(设置!$B$6&lt;$B1625,"",IF((设置!$B$6-$B1625)&gt;=设置!$B$5,"超期"&amp;(设置!$B$6-$B1625)&amp;"天","已等"&amp;(设置!$B$6-$B1625)&amp;"天"))))</f>
        <v/>
      </c>
      <c r="O1625" s="18" t="str">
        <f aca="false">IF(OR($D1625="",$E1625=""),"",COUNTIFS($D$7:$D1625,$D1625,$E$7:$E1625,$E1625))</f>
        <v/>
      </c>
      <c r="P1625" s="16"/>
      <c r="Q1625" s="19"/>
      <c r="R1625" s="10"/>
      <c r="S1625" s="16"/>
      <c r="T1625" s="0" t="str">
        <f aca="false">IF(OR($D1625="",单元查询!$B$3=""),"",IF($D1625&lt;&gt;单元查询!$B$3,"",IF(OR(单元查询!$D$3="",$E1625&amp;""=单元查询!$D$3&amp;""),IF(ISNUMBER($B1625),$B1625*10000,0)+ROW(),"")))</f>
        <v/>
      </c>
      <c r="U1625" s="0" t="str">
        <f aca="false">IF(OR($B1625="",$L1625="已完成"),"",IF(ISNUMBER($B1625),IF(设置!$B$6&lt;$B1625,"",(设置!$B$6-$B1625)*100000+ROW()),""))</f>
        <v/>
      </c>
      <c r="V1625" s="0" t="str">
        <f aca="false">IF(ISNUMBER($O1625),IF($O1625&gt;=2,IF(COUNTIFS($D1625:$D$2006,$D1625,$E1625:$E$2006,$E1625)=1,ROW(),""),""),"")</f>
        <v/>
      </c>
    </row>
    <row r="1626" customFormat="false" ht="15" hidden="false" customHeight="true" outlineLevel="0" collapsed="false">
      <c r="A1626" s="13" t="str">
        <f aca="false">IF(AND($B1626="",$D1626="",$E1626="",$F1626=""),"",IF(OR($B1626="",$D1626="",$E1626=""),"待补",IF($D1626="公共区域","公",IF($D1626="商铺","S",SUBSTITUTE($D1626,"栋","")))&amp;"-"&amp;$E1626&amp;"-"&amp;TEXT(MONTH($B1626),"00")&amp;TEXT(DAY($B1626),"00")&amp;IF(ISNUMBER($O1626),IF($O1626&gt;1,"-"&amp;TEXT($O1626,"00"),""),"")))</f>
        <v/>
      </c>
      <c r="B1626" s="14"/>
      <c r="C1626" s="10"/>
      <c r="D1626" s="10"/>
      <c r="E1626" s="10"/>
      <c r="F1626" s="16"/>
      <c r="G1626" s="10"/>
      <c r="H1626" s="10"/>
      <c r="I1626" s="10"/>
      <c r="J1626" s="10"/>
      <c r="K1626" s="10"/>
      <c r="L1626" s="10"/>
      <c r="M1626" s="14"/>
      <c r="N1626" s="17" t="str">
        <f aca="false">IF($B1626="","",IF($L1626="已完成",IF($M1626="","",$M1626-$B1626),IF(设置!$B$6&lt;$B1626,"",IF((设置!$B$6-$B1626)&gt;=设置!$B$5,"超期"&amp;(设置!$B$6-$B1626)&amp;"天","已等"&amp;(设置!$B$6-$B1626)&amp;"天"))))</f>
        <v/>
      </c>
      <c r="O1626" s="18" t="str">
        <f aca="false">IF(OR($D1626="",$E1626=""),"",COUNTIFS($D$7:$D1626,$D1626,$E$7:$E1626,$E1626))</f>
        <v/>
      </c>
      <c r="P1626" s="16"/>
      <c r="Q1626" s="19"/>
      <c r="R1626" s="10"/>
      <c r="S1626" s="16"/>
      <c r="T1626" s="0" t="str">
        <f aca="false">IF(OR($D1626="",单元查询!$B$3=""),"",IF($D1626&lt;&gt;单元查询!$B$3,"",IF(OR(单元查询!$D$3="",$E1626&amp;""=单元查询!$D$3&amp;""),IF(ISNUMBER($B1626),$B1626*10000,0)+ROW(),"")))</f>
        <v/>
      </c>
      <c r="U1626" s="0" t="str">
        <f aca="false">IF(OR($B1626="",$L1626="已完成"),"",IF(ISNUMBER($B1626),IF(设置!$B$6&lt;$B1626,"",(设置!$B$6-$B1626)*100000+ROW()),""))</f>
        <v/>
      </c>
      <c r="V1626" s="0" t="str">
        <f aca="false">IF(ISNUMBER($O1626),IF($O1626&gt;=2,IF(COUNTIFS($D1626:$D$2006,$D1626,$E1626:$E$2006,$E1626)=1,ROW(),""),""),"")</f>
        <v/>
      </c>
    </row>
    <row r="1627" customFormat="false" ht="15" hidden="false" customHeight="true" outlineLevel="0" collapsed="false">
      <c r="A1627" s="13" t="str">
        <f aca="false">IF(AND($B1627="",$D1627="",$E1627="",$F1627=""),"",IF(OR($B1627="",$D1627="",$E1627=""),"待补",IF($D1627="公共区域","公",IF($D1627="商铺","S",SUBSTITUTE($D1627,"栋","")))&amp;"-"&amp;$E1627&amp;"-"&amp;TEXT(MONTH($B1627),"00")&amp;TEXT(DAY($B1627),"00")&amp;IF(ISNUMBER($O1627),IF($O1627&gt;1,"-"&amp;TEXT($O1627,"00"),""),"")))</f>
        <v/>
      </c>
      <c r="B1627" s="14"/>
      <c r="C1627" s="10"/>
      <c r="D1627" s="10"/>
      <c r="E1627" s="10"/>
      <c r="F1627" s="16"/>
      <c r="G1627" s="10"/>
      <c r="H1627" s="10"/>
      <c r="I1627" s="10"/>
      <c r="J1627" s="10"/>
      <c r="K1627" s="10"/>
      <c r="L1627" s="10"/>
      <c r="M1627" s="14"/>
      <c r="N1627" s="17" t="str">
        <f aca="false">IF($B1627="","",IF($L1627="已完成",IF($M1627="","",$M1627-$B1627),IF(设置!$B$6&lt;$B1627,"",IF((设置!$B$6-$B1627)&gt;=设置!$B$5,"超期"&amp;(设置!$B$6-$B1627)&amp;"天","已等"&amp;(设置!$B$6-$B1627)&amp;"天"))))</f>
        <v/>
      </c>
      <c r="O1627" s="18" t="str">
        <f aca="false">IF(OR($D1627="",$E1627=""),"",COUNTIFS($D$7:$D1627,$D1627,$E$7:$E1627,$E1627))</f>
        <v/>
      </c>
      <c r="P1627" s="16"/>
      <c r="Q1627" s="19"/>
      <c r="R1627" s="10"/>
      <c r="S1627" s="16"/>
      <c r="T1627" s="0" t="str">
        <f aca="false">IF(OR($D1627="",单元查询!$B$3=""),"",IF($D1627&lt;&gt;单元查询!$B$3,"",IF(OR(单元查询!$D$3="",$E1627&amp;""=单元查询!$D$3&amp;""),IF(ISNUMBER($B1627),$B1627*10000,0)+ROW(),"")))</f>
        <v/>
      </c>
      <c r="U1627" s="0" t="str">
        <f aca="false">IF(OR($B1627="",$L1627="已完成"),"",IF(ISNUMBER($B1627),IF(设置!$B$6&lt;$B1627,"",(设置!$B$6-$B1627)*100000+ROW()),""))</f>
        <v/>
      </c>
      <c r="V1627" s="0" t="str">
        <f aca="false">IF(ISNUMBER($O1627),IF($O1627&gt;=2,IF(COUNTIFS($D1627:$D$2006,$D1627,$E1627:$E$2006,$E1627)=1,ROW(),""),""),"")</f>
        <v/>
      </c>
    </row>
    <row r="1628" customFormat="false" ht="15" hidden="false" customHeight="true" outlineLevel="0" collapsed="false">
      <c r="A1628" s="13" t="str">
        <f aca="false">IF(AND($B1628="",$D1628="",$E1628="",$F1628=""),"",IF(OR($B1628="",$D1628="",$E1628=""),"待补",IF($D1628="公共区域","公",IF($D1628="商铺","S",SUBSTITUTE($D1628,"栋","")))&amp;"-"&amp;$E1628&amp;"-"&amp;TEXT(MONTH($B1628),"00")&amp;TEXT(DAY($B1628),"00")&amp;IF(ISNUMBER($O1628),IF($O1628&gt;1,"-"&amp;TEXT($O1628,"00"),""),"")))</f>
        <v/>
      </c>
      <c r="B1628" s="14"/>
      <c r="C1628" s="10"/>
      <c r="D1628" s="10"/>
      <c r="E1628" s="10"/>
      <c r="F1628" s="16"/>
      <c r="G1628" s="10"/>
      <c r="H1628" s="10"/>
      <c r="I1628" s="10"/>
      <c r="J1628" s="10"/>
      <c r="K1628" s="10"/>
      <c r="L1628" s="10"/>
      <c r="M1628" s="14"/>
      <c r="N1628" s="17" t="str">
        <f aca="false">IF($B1628="","",IF($L1628="已完成",IF($M1628="","",$M1628-$B1628),IF(设置!$B$6&lt;$B1628,"",IF((设置!$B$6-$B1628)&gt;=设置!$B$5,"超期"&amp;(设置!$B$6-$B1628)&amp;"天","已等"&amp;(设置!$B$6-$B1628)&amp;"天"))))</f>
        <v/>
      </c>
      <c r="O1628" s="18" t="str">
        <f aca="false">IF(OR($D1628="",$E1628=""),"",COUNTIFS($D$7:$D1628,$D1628,$E$7:$E1628,$E1628))</f>
        <v/>
      </c>
      <c r="P1628" s="16"/>
      <c r="Q1628" s="19"/>
      <c r="R1628" s="10"/>
      <c r="S1628" s="16"/>
      <c r="T1628" s="0" t="str">
        <f aca="false">IF(OR($D1628="",单元查询!$B$3=""),"",IF($D1628&lt;&gt;单元查询!$B$3,"",IF(OR(单元查询!$D$3="",$E1628&amp;""=单元查询!$D$3&amp;""),IF(ISNUMBER($B1628),$B1628*10000,0)+ROW(),"")))</f>
        <v/>
      </c>
      <c r="U1628" s="0" t="str">
        <f aca="false">IF(OR($B1628="",$L1628="已完成"),"",IF(ISNUMBER($B1628),IF(设置!$B$6&lt;$B1628,"",(设置!$B$6-$B1628)*100000+ROW()),""))</f>
        <v/>
      </c>
      <c r="V1628" s="0" t="str">
        <f aca="false">IF(ISNUMBER($O1628),IF($O1628&gt;=2,IF(COUNTIFS($D1628:$D$2006,$D1628,$E1628:$E$2006,$E1628)=1,ROW(),""),""),"")</f>
        <v/>
      </c>
    </row>
    <row r="1629" customFormat="false" ht="15" hidden="false" customHeight="true" outlineLevel="0" collapsed="false">
      <c r="A1629" s="13" t="str">
        <f aca="false">IF(AND($B1629="",$D1629="",$E1629="",$F1629=""),"",IF(OR($B1629="",$D1629="",$E1629=""),"待补",IF($D1629="公共区域","公",IF($D1629="商铺","S",SUBSTITUTE($D1629,"栋","")))&amp;"-"&amp;$E1629&amp;"-"&amp;TEXT(MONTH($B1629),"00")&amp;TEXT(DAY($B1629),"00")&amp;IF(ISNUMBER($O1629),IF($O1629&gt;1,"-"&amp;TEXT($O1629,"00"),""),"")))</f>
        <v/>
      </c>
      <c r="B1629" s="14"/>
      <c r="C1629" s="10"/>
      <c r="D1629" s="10"/>
      <c r="E1629" s="10"/>
      <c r="F1629" s="16"/>
      <c r="G1629" s="10"/>
      <c r="H1629" s="10"/>
      <c r="I1629" s="10"/>
      <c r="J1629" s="10"/>
      <c r="K1629" s="10"/>
      <c r="L1629" s="10"/>
      <c r="M1629" s="14"/>
      <c r="N1629" s="17" t="str">
        <f aca="false">IF($B1629="","",IF($L1629="已完成",IF($M1629="","",$M1629-$B1629),IF(设置!$B$6&lt;$B1629,"",IF((设置!$B$6-$B1629)&gt;=设置!$B$5,"超期"&amp;(设置!$B$6-$B1629)&amp;"天","已等"&amp;(设置!$B$6-$B1629)&amp;"天"))))</f>
        <v/>
      </c>
      <c r="O1629" s="18" t="str">
        <f aca="false">IF(OR($D1629="",$E1629=""),"",COUNTIFS($D$7:$D1629,$D1629,$E$7:$E1629,$E1629))</f>
        <v/>
      </c>
      <c r="P1629" s="16"/>
      <c r="Q1629" s="19"/>
      <c r="R1629" s="10"/>
      <c r="S1629" s="16"/>
      <c r="T1629" s="0" t="str">
        <f aca="false">IF(OR($D1629="",单元查询!$B$3=""),"",IF($D1629&lt;&gt;单元查询!$B$3,"",IF(OR(单元查询!$D$3="",$E1629&amp;""=单元查询!$D$3&amp;""),IF(ISNUMBER($B1629),$B1629*10000,0)+ROW(),"")))</f>
        <v/>
      </c>
      <c r="U1629" s="0" t="str">
        <f aca="false">IF(OR($B1629="",$L1629="已完成"),"",IF(ISNUMBER($B1629),IF(设置!$B$6&lt;$B1629,"",(设置!$B$6-$B1629)*100000+ROW()),""))</f>
        <v/>
      </c>
      <c r="V1629" s="0" t="str">
        <f aca="false">IF(ISNUMBER($O1629),IF($O1629&gt;=2,IF(COUNTIFS($D1629:$D$2006,$D1629,$E1629:$E$2006,$E1629)=1,ROW(),""),""),"")</f>
        <v/>
      </c>
    </row>
    <row r="1630" customFormat="false" ht="15" hidden="false" customHeight="true" outlineLevel="0" collapsed="false">
      <c r="A1630" s="13" t="str">
        <f aca="false">IF(AND($B1630="",$D1630="",$E1630="",$F1630=""),"",IF(OR($B1630="",$D1630="",$E1630=""),"待补",IF($D1630="公共区域","公",IF($D1630="商铺","S",SUBSTITUTE($D1630,"栋","")))&amp;"-"&amp;$E1630&amp;"-"&amp;TEXT(MONTH($B1630),"00")&amp;TEXT(DAY($B1630),"00")&amp;IF(ISNUMBER($O1630),IF($O1630&gt;1,"-"&amp;TEXT($O1630,"00"),""),"")))</f>
        <v/>
      </c>
      <c r="B1630" s="14"/>
      <c r="C1630" s="10"/>
      <c r="D1630" s="10"/>
      <c r="E1630" s="10"/>
      <c r="F1630" s="16"/>
      <c r="G1630" s="10"/>
      <c r="H1630" s="10"/>
      <c r="I1630" s="10"/>
      <c r="J1630" s="10"/>
      <c r="K1630" s="10"/>
      <c r="L1630" s="10"/>
      <c r="M1630" s="14"/>
      <c r="N1630" s="17" t="str">
        <f aca="false">IF($B1630="","",IF($L1630="已完成",IF($M1630="","",$M1630-$B1630),IF(设置!$B$6&lt;$B1630,"",IF((设置!$B$6-$B1630)&gt;=设置!$B$5,"超期"&amp;(设置!$B$6-$B1630)&amp;"天","已等"&amp;(设置!$B$6-$B1630)&amp;"天"))))</f>
        <v/>
      </c>
      <c r="O1630" s="18" t="str">
        <f aca="false">IF(OR($D1630="",$E1630=""),"",COUNTIFS($D$7:$D1630,$D1630,$E$7:$E1630,$E1630))</f>
        <v/>
      </c>
      <c r="P1630" s="16"/>
      <c r="Q1630" s="19"/>
      <c r="R1630" s="10"/>
      <c r="S1630" s="16"/>
      <c r="T1630" s="0" t="str">
        <f aca="false">IF(OR($D1630="",单元查询!$B$3=""),"",IF($D1630&lt;&gt;单元查询!$B$3,"",IF(OR(单元查询!$D$3="",$E1630&amp;""=单元查询!$D$3&amp;""),IF(ISNUMBER($B1630),$B1630*10000,0)+ROW(),"")))</f>
        <v/>
      </c>
      <c r="U1630" s="0" t="str">
        <f aca="false">IF(OR($B1630="",$L1630="已完成"),"",IF(ISNUMBER($B1630),IF(设置!$B$6&lt;$B1630,"",(设置!$B$6-$B1630)*100000+ROW()),""))</f>
        <v/>
      </c>
      <c r="V1630" s="0" t="str">
        <f aca="false">IF(ISNUMBER($O1630),IF($O1630&gt;=2,IF(COUNTIFS($D1630:$D$2006,$D1630,$E1630:$E$2006,$E1630)=1,ROW(),""),""),"")</f>
        <v/>
      </c>
    </row>
    <row r="1631" customFormat="false" ht="15" hidden="false" customHeight="true" outlineLevel="0" collapsed="false">
      <c r="A1631" s="13" t="str">
        <f aca="false">IF(AND($B1631="",$D1631="",$E1631="",$F1631=""),"",IF(OR($B1631="",$D1631="",$E1631=""),"待补",IF($D1631="公共区域","公",IF($D1631="商铺","S",SUBSTITUTE($D1631,"栋","")))&amp;"-"&amp;$E1631&amp;"-"&amp;TEXT(MONTH($B1631),"00")&amp;TEXT(DAY($B1631),"00")&amp;IF(ISNUMBER($O1631),IF($O1631&gt;1,"-"&amp;TEXT($O1631,"00"),""),"")))</f>
        <v/>
      </c>
      <c r="B1631" s="14"/>
      <c r="C1631" s="10"/>
      <c r="D1631" s="10"/>
      <c r="E1631" s="10"/>
      <c r="F1631" s="16"/>
      <c r="G1631" s="10"/>
      <c r="H1631" s="10"/>
      <c r="I1631" s="10"/>
      <c r="J1631" s="10"/>
      <c r="K1631" s="10"/>
      <c r="L1631" s="10"/>
      <c r="M1631" s="14"/>
      <c r="N1631" s="17" t="str">
        <f aca="false">IF($B1631="","",IF($L1631="已完成",IF($M1631="","",$M1631-$B1631),IF(设置!$B$6&lt;$B1631,"",IF((设置!$B$6-$B1631)&gt;=设置!$B$5,"超期"&amp;(设置!$B$6-$B1631)&amp;"天","已等"&amp;(设置!$B$6-$B1631)&amp;"天"))))</f>
        <v/>
      </c>
      <c r="O1631" s="18" t="str">
        <f aca="false">IF(OR($D1631="",$E1631=""),"",COUNTIFS($D$7:$D1631,$D1631,$E$7:$E1631,$E1631))</f>
        <v/>
      </c>
      <c r="P1631" s="16"/>
      <c r="Q1631" s="19"/>
      <c r="R1631" s="10"/>
      <c r="S1631" s="16"/>
      <c r="T1631" s="0" t="str">
        <f aca="false">IF(OR($D1631="",单元查询!$B$3=""),"",IF($D1631&lt;&gt;单元查询!$B$3,"",IF(OR(单元查询!$D$3="",$E1631&amp;""=单元查询!$D$3&amp;""),IF(ISNUMBER($B1631),$B1631*10000,0)+ROW(),"")))</f>
        <v/>
      </c>
      <c r="U1631" s="0" t="str">
        <f aca="false">IF(OR($B1631="",$L1631="已完成"),"",IF(ISNUMBER($B1631),IF(设置!$B$6&lt;$B1631,"",(设置!$B$6-$B1631)*100000+ROW()),""))</f>
        <v/>
      </c>
      <c r="V1631" s="0" t="str">
        <f aca="false">IF(ISNUMBER($O1631),IF($O1631&gt;=2,IF(COUNTIFS($D1631:$D$2006,$D1631,$E1631:$E$2006,$E1631)=1,ROW(),""),""),"")</f>
        <v/>
      </c>
    </row>
    <row r="1632" customFormat="false" ht="15" hidden="false" customHeight="true" outlineLevel="0" collapsed="false">
      <c r="A1632" s="13" t="str">
        <f aca="false">IF(AND($B1632="",$D1632="",$E1632="",$F1632=""),"",IF(OR($B1632="",$D1632="",$E1632=""),"待补",IF($D1632="公共区域","公",IF($D1632="商铺","S",SUBSTITUTE($D1632,"栋","")))&amp;"-"&amp;$E1632&amp;"-"&amp;TEXT(MONTH($B1632),"00")&amp;TEXT(DAY($B1632),"00")&amp;IF(ISNUMBER($O1632),IF($O1632&gt;1,"-"&amp;TEXT($O1632,"00"),""),"")))</f>
        <v/>
      </c>
      <c r="B1632" s="14"/>
      <c r="C1632" s="10"/>
      <c r="D1632" s="10"/>
      <c r="E1632" s="10"/>
      <c r="F1632" s="16"/>
      <c r="G1632" s="10"/>
      <c r="H1632" s="10"/>
      <c r="I1632" s="10"/>
      <c r="J1632" s="10"/>
      <c r="K1632" s="10"/>
      <c r="L1632" s="10"/>
      <c r="M1632" s="14"/>
      <c r="N1632" s="17" t="str">
        <f aca="false">IF($B1632="","",IF($L1632="已完成",IF($M1632="","",$M1632-$B1632),IF(设置!$B$6&lt;$B1632,"",IF((设置!$B$6-$B1632)&gt;=设置!$B$5,"超期"&amp;(设置!$B$6-$B1632)&amp;"天","已等"&amp;(设置!$B$6-$B1632)&amp;"天"))))</f>
        <v/>
      </c>
      <c r="O1632" s="18" t="str">
        <f aca="false">IF(OR($D1632="",$E1632=""),"",COUNTIFS($D$7:$D1632,$D1632,$E$7:$E1632,$E1632))</f>
        <v/>
      </c>
      <c r="P1632" s="16"/>
      <c r="Q1632" s="19"/>
      <c r="R1632" s="10"/>
      <c r="S1632" s="16"/>
      <c r="T1632" s="0" t="str">
        <f aca="false">IF(OR($D1632="",单元查询!$B$3=""),"",IF($D1632&lt;&gt;单元查询!$B$3,"",IF(OR(单元查询!$D$3="",$E1632&amp;""=单元查询!$D$3&amp;""),IF(ISNUMBER($B1632),$B1632*10000,0)+ROW(),"")))</f>
        <v/>
      </c>
      <c r="U1632" s="0" t="str">
        <f aca="false">IF(OR($B1632="",$L1632="已完成"),"",IF(ISNUMBER($B1632),IF(设置!$B$6&lt;$B1632,"",(设置!$B$6-$B1632)*100000+ROW()),""))</f>
        <v/>
      </c>
      <c r="V1632" s="0" t="str">
        <f aca="false">IF(ISNUMBER($O1632),IF($O1632&gt;=2,IF(COUNTIFS($D1632:$D$2006,$D1632,$E1632:$E$2006,$E1632)=1,ROW(),""),""),"")</f>
        <v/>
      </c>
    </row>
    <row r="1633" customFormat="false" ht="15" hidden="false" customHeight="true" outlineLevel="0" collapsed="false">
      <c r="A1633" s="13" t="str">
        <f aca="false">IF(AND($B1633="",$D1633="",$E1633="",$F1633=""),"",IF(OR($B1633="",$D1633="",$E1633=""),"待补",IF($D1633="公共区域","公",IF($D1633="商铺","S",SUBSTITUTE($D1633,"栋","")))&amp;"-"&amp;$E1633&amp;"-"&amp;TEXT(MONTH($B1633),"00")&amp;TEXT(DAY($B1633),"00")&amp;IF(ISNUMBER($O1633),IF($O1633&gt;1,"-"&amp;TEXT($O1633,"00"),""),"")))</f>
        <v/>
      </c>
      <c r="B1633" s="14"/>
      <c r="C1633" s="10"/>
      <c r="D1633" s="10"/>
      <c r="E1633" s="10"/>
      <c r="F1633" s="16"/>
      <c r="G1633" s="10"/>
      <c r="H1633" s="10"/>
      <c r="I1633" s="10"/>
      <c r="J1633" s="10"/>
      <c r="K1633" s="10"/>
      <c r="L1633" s="10"/>
      <c r="M1633" s="14"/>
      <c r="N1633" s="17" t="str">
        <f aca="false">IF($B1633="","",IF($L1633="已完成",IF($M1633="","",$M1633-$B1633),IF(设置!$B$6&lt;$B1633,"",IF((设置!$B$6-$B1633)&gt;=设置!$B$5,"超期"&amp;(设置!$B$6-$B1633)&amp;"天","已等"&amp;(设置!$B$6-$B1633)&amp;"天"))))</f>
        <v/>
      </c>
      <c r="O1633" s="18" t="str">
        <f aca="false">IF(OR($D1633="",$E1633=""),"",COUNTIFS($D$7:$D1633,$D1633,$E$7:$E1633,$E1633))</f>
        <v/>
      </c>
      <c r="P1633" s="16"/>
      <c r="Q1633" s="19"/>
      <c r="R1633" s="10"/>
      <c r="S1633" s="16"/>
      <c r="T1633" s="0" t="str">
        <f aca="false">IF(OR($D1633="",单元查询!$B$3=""),"",IF($D1633&lt;&gt;单元查询!$B$3,"",IF(OR(单元查询!$D$3="",$E1633&amp;""=单元查询!$D$3&amp;""),IF(ISNUMBER($B1633),$B1633*10000,0)+ROW(),"")))</f>
        <v/>
      </c>
      <c r="U1633" s="0" t="str">
        <f aca="false">IF(OR($B1633="",$L1633="已完成"),"",IF(ISNUMBER($B1633),IF(设置!$B$6&lt;$B1633,"",(设置!$B$6-$B1633)*100000+ROW()),""))</f>
        <v/>
      </c>
      <c r="V1633" s="0" t="str">
        <f aca="false">IF(ISNUMBER($O1633),IF($O1633&gt;=2,IF(COUNTIFS($D1633:$D$2006,$D1633,$E1633:$E$2006,$E1633)=1,ROW(),""),""),"")</f>
        <v/>
      </c>
    </row>
    <row r="1634" customFormat="false" ht="15" hidden="false" customHeight="true" outlineLevel="0" collapsed="false">
      <c r="A1634" s="13" t="str">
        <f aca="false">IF(AND($B1634="",$D1634="",$E1634="",$F1634=""),"",IF(OR($B1634="",$D1634="",$E1634=""),"待补",IF($D1634="公共区域","公",IF($D1634="商铺","S",SUBSTITUTE($D1634,"栋","")))&amp;"-"&amp;$E1634&amp;"-"&amp;TEXT(MONTH($B1634),"00")&amp;TEXT(DAY($B1634),"00")&amp;IF(ISNUMBER($O1634),IF($O1634&gt;1,"-"&amp;TEXT($O1634,"00"),""),"")))</f>
        <v/>
      </c>
      <c r="B1634" s="14"/>
      <c r="C1634" s="10"/>
      <c r="D1634" s="10"/>
      <c r="E1634" s="10"/>
      <c r="F1634" s="16"/>
      <c r="G1634" s="10"/>
      <c r="H1634" s="10"/>
      <c r="I1634" s="10"/>
      <c r="J1634" s="10"/>
      <c r="K1634" s="10"/>
      <c r="L1634" s="10"/>
      <c r="M1634" s="14"/>
      <c r="N1634" s="17" t="str">
        <f aca="false">IF($B1634="","",IF($L1634="已完成",IF($M1634="","",$M1634-$B1634),IF(设置!$B$6&lt;$B1634,"",IF((设置!$B$6-$B1634)&gt;=设置!$B$5,"超期"&amp;(设置!$B$6-$B1634)&amp;"天","已等"&amp;(设置!$B$6-$B1634)&amp;"天"))))</f>
        <v/>
      </c>
      <c r="O1634" s="18" t="str">
        <f aca="false">IF(OR($D1634="",$E1634=""),"",COUNTIFS($D$7:$D1634,$D1634,$E$7:$E1634,$E1634))</f>
        <v/>
      </c>
      <c r="P1634" s="16"/>
      <c r="Q1634" s="19"/>
      <c r="R1634" s="10"/>
      <c r="S1634" s="16"/>
      <c r="T1634" s="0" t="str">
        <f aca="false">IF(OR($D1634="",单元查询!$B$3=""),"",IF($D1634&lt;&gt;单元查询!$B$3,"",IF(OR(单元查询!$D$3="",$E1634&amp;""=单元查询!$D$3&amp;""),IF(ISNUMBER($B1634),$B1634*10000,0)+ROW(),"")))</f>
        <v/>
      </c>
      <c r="U1634" s="0" t="str">
        <f aca="false">IF(OR($B1634="",$L1634="已完成"),"",IF(ISNUMBER($B1634),IF(设置!$B$6&lt;$B1634,"",(设置!$B$6-$B1634)*100000+ROW()),""))</f>
        <v/>
      </c>
      <c r="V1634" s="0" t="str">
        <f aca="false">IF(ISNUMBER($O1634),IF($O1634&gt;=2,IF(COUNTIFS($D1634:$D$2006,$D1634,$E1634:$E$2006,$E1634)=1,ROW(),""),""),"")</f>
        <v/>
      </c>
    </row>
    <row r="1635" customFormat="false" ht="15" hidden="false" customHeight="true" outlineLevel="0" collapsed="false">
      <c r="A1635" s="13" t="str">
        <f aca="false">IF(AND($B1635="",$D1635="",$E1635="",$F1635=""),"",IF(OR($B1635="",$D1635="",$E1635=""),"待补",IF($D1635="公共区域","公",IF($D1635="商铺","S",SUBSTITUTE($D1635,"栋","")))&amp;"-"&amp;$E1635&amp;"-"&amp;TEXT(MONTH($B1635),"00")&amp;TEXT(DAY($B1635),"00")&amp;IF(ISNUMBER($O1635),IF($O1635&gt;1,"-"&amp;TEXT($O1635,"00"),""),"")))</f>
        <v/>
      </c>
      <c r="B1635" s="14"/>
      <c r="C1635" s="10"/>
      <c r="D1635" s="10"/>
      <c r="E1635" s="10"/>
      <c r="F1635" s="16"/>
      <c r="G1635" s="10"/>
      <c r="H1635" s="10"/>
      <c r="I1635" s="10"/>
      <c r="J1635" s="10"/>
      <c r="K1635" s="10"/>
      <c r="L1635" s="10"/>
      <c r="M1635" s="14"/>
      <c r="N1635" s="17" t="str">
        <f aca="false">IF($B1635="","",IF($L1635="已完成",IF($M1635="","",$M1635-$B1635),IF(设置!$B$6&lt;$B1635,"",IF((设置!$B$6-$B1635)&gt;=设置!$B$5,"超期"&amp;(设置!$B$6-$B1635)&amp;"天","已等"&amp;(设置!$B$6-$B1635)&amp;"天"))))</f>
        <v/>
      </c>
      <c r="O1635" s="18" t="str">
        <f aca="false">IF(OR($D1635="",$E1635=""),"",COUNTIFS($D$7:$D1635,$D1635,$E$7:$E1635,$E1635))</f>
        <v/>
      </c>
      <c r="P1635" s="16"/>
      <c r="Q1635" s="19"/>
      <c r="R1635" s="10"/>
      <c r="S1635" s="16"/>
      <c r="T1635" s="0" t="str">
        <f aca="false">IF(OR($D1635="",单元查询!$B$3=""),"",IF($D1635&lt;&gt;单元查询!$B$3,"",IF(OR(单元查询!$D$3="",$E1635&amp;""=单元查询!$D$3&amp;""),IF(ISNUMBER($B1635),$B1635*10000,0)+ROW(),"")))</f>
        <v/>
      </c>
      <c r="U1635" s="0" t="str">
        <f aca="false">IF(OR($B1635="",$L1635="已完成"),"",IF(ISNUMBER($B1635),IF(设置!$B$6&lt;$B1635,"",(设置!$B$6-$B1635)*100000+ROW()),""))</f>
        <v/>
      </c>
      <c r="V1635" s="0" t="str">
        <f aca="false">IF(ISNUMBER($O1635),IF($O1635&gt;=2,IF(COUNTIFS($D1635:$D$2006,$D1635,$E1635:$E$2006,$E1635)=1,ROW(),""),""),"")</f>
        <v/>
      </c>
    </row>
    <row r="1636" customFormat="false" ht="15" hidden="false" customHeight="true" outlineLevel="0" collapsed="false">
      <c r="A1636" s="13" t="str">
        <f aca="false">IF(AND($B1636="",$D1636="",$E1636="",$F1636=""),"",IF(OR($B1636="",$D1636="",$E1636=""),"待补",IF($D1636="公共区域","公",IF($D1636="商铺","S",SUBSTITUTE($D1636,"栋","")))&amp;"-"&amp;$E1636&amp;"-"&amp;TEXT(MONTH($B1636),"00")&amp;TEXT(DAY($B1636),"00")&amp;IF(ISNUMBER($O1636),IF($O1636&gt;1,"-"&amp;TEXT($O1636,"00"),""),"")))</f>
        <v/>
      </c>
      <c r="B1636" s="14"/>
      <c r="C1636" s="10"/>
      <c r="D1636" s="10"/>
      <c r="E1636" s="10"/>
      <c r="F1636" s="16"/>
      <c r="G1636" s="10"/>
      <c r="H1636" s="10"/>
      <c r="I1636" s="10"/>
      <c r="J1636" s="10"/>
      <c r="K1636" s="10"/>
      <c r="L1636" s="10"/>
      <c r="M1636" s="14"/>
      <c r="N1636" s="17" t="str">
        <f aca="false">IF($B1636="","",IF($L1636="已完成",IF($M1636="","",$M1636-$B1636),IF(设置!$B$6&lt;$B1636,"",IF((设置!$B$6-$B1636)&gt;=设置!$B$5,"超期"&amp;(设置!$B$6-$B1636)&amp;"天","已等"&amp;(设置!$B$6-$B1636)&amp;"天"))))</f>
        <v/>
      </c>
      <c r="O1636" s="18" t="str">
        <f aca="false">IF(OR($D1636="",$E1636=""),"",COUNTIFS($D$7:$D1636,$D1636,$E$7:$E1636,$E1636))</f>
        <v/>
      </c>
      <c r="P1636" s="16"/>
      <c r="Q1636" s="19"/>
      <c r="R1636" s="10"/>
      <c r="S1636" s="16"/>
      <c r="T1636" s="0" t="str">
        <f aca="false">IF(OR($D1636="",单元查询!$B$3=""),"",IF($D1636&lt;&gt;单元查询!$B$3,"",IF(OR(单元查询!$D$3="",$E1636&amp;""=单元查询!$D$3&amp;""),IF(ISNUMBER($B1636),$B1636*10000,0)+ROW(),"")))</f>
        <v/>
      </c>
      <c r="U1636" s="0" t="str">
        <f aca="false">IF(OR($B1636="",$L1636="已完成"),"",IF(ISNUMBER($B1636),IF(设置!$B$6&lt;$B1636,"",(设置!$B$6-$B1636)*100000+ROW()),""))</f>
        <v/>
      </c>
      <c r="V1636" s="0" t="str">
        <f aca="false">IF(ISNUMBER($O1636),IF($O1636&gt;=2,IF(COUNTIFS($D1636:$D$2006,$D1636,$E1636:$E$2006,$E1636)=1,ROW(),""),""),"")</f>
        <v/>
      </c>
    </row>
    <row r="1637" customFormat="false" ht="15" hidden="false" customHeight="true" outlineLevel="0" collapsed="false">
      <c r="A1637" s="13" t="str">
        <f aca="false">IF(AND($B1637="",$D1637="",$E1637="",$F1637=""),"",IF(OR($B1637="",$D1637="",$E1637=""),"待补",IF($D1637="公共区域","公",IF($D1637="商铺","S",SUBSTITUTE($D1637,"栋","")))&amp;"-"&amp;$E1637&amp;"-"&amp;TEXT(MONTH($B1637),"00")&amp;TEXT(DAY($B1637),"00")&amp;IF(ISNUMBER($O1637),IF($O1637&gt;1,"-"&amp;TEXT($O1637,"00"),""),"")))</f>
        <v/>
      </c>
      <c r="B1637" s="14"/>
      <c r="C1637" s="10"/>
      <c r="D1637" s="10"/>
      <c r="E1637" s="10"/>
      <c r="F1637" s="16"/>
      <c r="G1637" s="10"/>
      <c r="H1637" s="10"/>
      <c r="I1637" s="10"/>
      <c r="J1637" s="10"/>
      <c r="K1637" s="10"/>
      <c r="L1637" s="10"/>
      <c r="M1637" s="14"/>
      <c r="N1637" s="17" t="str">
        <f aca="false">IF($B1637="","",IF($L1637="已完成",IF($M1637="","",$M1637-$B1637),IF(设置!$B$6&lt;$B1637,"",IF((设置!$B$6-$B1637)&gt;=设置!$B$5,"超期"&amp;(设置!$B$6-$B1637)&amp;"天","已等"&amp;(设置!$B$6-$B1637)&amp;"天"))))</f>
        <v/>
      </c>
      <c r="O1637" s="18" t="str">
        <f aca="false">IF(OR($D1637="",$E1637=""),"",COUNTIFS($D$7:$D1637,$D1637,$E$7:$E1637,$E1637))</f>
        <v/>
      </c>
      <c r="P1637" s="16"/>
      <c r="Q1637" s="19"/>
      <c r="R1637" s="10"/>
      <c r="S1637" s="16"/>
      <c r="T1637" s="0" t="str">
        <f aca="false">IF(OR($D1637="",单元查询!$B$3=""),"",IF($D1637&lt;&gt;单元查询!$B$3,"",IF(OR(单元查询!$D$3="",$E1637&amp;""=单元查询!$D$3&amp;""),IF(ISNUMBER($B1637),$B1637*10000,0)+ROW(),"")))</f>
        <v/>
      </c>
      <c r="U1637" s="0" t="str">
        <f aca="false">IF(OR($B1637="",$L1637="已完成"),"",IF(ISNUMBER($B1637),IF(设置!$B$6&lt;$B1637,"",(设置!$B$6-$B1637)*100000+ROW()),""))</f>
        <v/>
      </c>
      <c r="V1637" s="0" t="str">
        <f aca="false">IF(ISNUMBER($O1637),IF($O1637&gt;=2,IF(COUNTIFS($D1637:$D$2006,$D1637,$E1637:$E$2006,$E1637)=1,ROW(),""),""),"")</f>
        <v/>
      </c>
    </row>
    <row r="1638" customFormat="false" ht="15" hidden="false" customHeight="true" outlineLevel="0" collapsed="false">
      <c r="A1638" s="13" t="str">
        <f aca="false">IF(AND($B1638="",$D1638="",$E1638="",$F1638=""),"",IF(OR($B1638="",$D1638="",$E1638=""),"待补",IF($D1638="公共区域","公",IF($D1638="商铺","S",SUBSTITUTE($D1638,"栋","")))&amp;"-"&amp;$E1638&amp;"-"&amp;TEXT(MONTH($B1638),"00")&amp;TEXT(DAY($B1638),"00")&amp;IF(ISNUMBER($O1638),IF($O1638&gt;1,"-"&amp;TEXT($O1638,"00"),""),"")))</f>
        <v/>
      </c>
      <c r="B1638" s="14"/>
      <c r="C1638" s="10"/>
      <c r="D1638" s="10"/>
      <c r="E1638" s="10"/>
      <c r="F1638" s="16"/>
      <c r="G1638" s="10"/>
      <c r="H1638" s="10"/>
      <c r="I1638" s="10"/>
      <c r="J1638" s="10"/>
      <c r="K1638" s="10"/>
      <c r="L1638" s="10"/>
      <c r="M1638" s="14"/>
      <c r="N1638" s="17" t="str">
        <f aca="false">IF($B1638="","",IF($L1638="已完成",IF($M1638="","",$M1638-$B1638),IF(设置!$B$6&lt;$B1638,"",IF((设置!$B$6-$B1638)&gt;=设置!$B$5,"超期"&amp;(设置!$B$6-$B1638)&amp;"天","已等"&amp;(设置!$B$6-$B1638)&amp;"天"))))</f>
        <v/>
      </c>
      <c r="O1638" s="18" t="str">
        <f aca="false">IF(OR($D1638="",$E1638=""),"",COUNTIFS($D$7:$D1638,$D1638,$E$7:$E1638,$E1638))</f>
        <v/>
      </c>
      <c r="P1638" s="16"/>
      <c r="Q1638" s="19"/>
      <c r="R1638" s="10"/>
      <c r="S1638" s="16"/>
      <c r="T1638" s="0" t="str">
        <f aca="false">IF(OR($D1638="",单元查询!$B$3=""),"",IF($D1638&lt;&gt;单元查询!$B$3,"",IF(OR(单元查询!$D$3="",$E1638&amp;""=单元查询!$D$3&amp;""),IF(ISNUMBER($B1638),$B1638*10000,0)+ROW(),"")))</f>
        <v/>
      </c>
      <c r="U1638" s="0" t="str">
        <f aca="false">IF(OR($B1638="",$L1638="已完成"),"",IF(ISNUMBER($B1638),IF(设置!$B$6&lt;$B1638,"",(设置!$B$6-$B1638)*100000+ROW()),""))</f>
        <v/>
      </c>
      <c r="V1638" s="0" t="str">
        <f aca="false">IF(ISNUMBER($O1638),IF($O1638&gt;=2,IF(COUNTIFS($D1638:$D$2006,$D1638,$E1638:$E$2006,$E1638)=1,ROW(),""),""),"")</f>
        <v/>
      </c>
    </row>
    <row r="1639" customFormat="false" ht="15" hidden="false" customHeight="true" outlineLevel="0" collapsed="false">
      <c r="A1639" s="13" t="str">
        <f aca="false">IF(AND($B1639="",$D1639="",$E1639="",$F1639=""),"",IF(OR($B1639="",$D1639="",$E1639=""),"待补",IF($D1639="公共区域","公",IF($D1639="商铺","S",SUBSTITUTE($D1639,"栋","")))&amp;"-"&amp;$E1639&amp;"-"&amp;TEXT(MONTH($B1639),"00")&amp;TEXT(DAY($B1639),"00")&amp;IF(ISNUMBER($O1639),IF($O1639&gt;1,"-"&amp;TEXT($O1639,"00"),""),"")))</f>
        <v/>
      </c>
      <c r="B1639" s="14"/>
      <c r="C1639" s="10"/>
      <c r="D1639" s="10"/>
      <c r="E1639" s="10"/>
      <c r="F1639" s="16"/>
      <c r="G1639" s="10"/>
      <c r="H1639" s="10"/>
      <c r="I1639" s="10"/>
      <c r="J1639" s="10"/>
      <c r="K1639" s="10"/>
      <c r="L1639" s="10"/>
      <c r="M1639" s="14"/>
      <c r="N1639" s="17" t="str">
        <f aca="false">IF($B1639="","",IF($L1639="已完成",IF($M1639="","",$M1639-$B1639),IF(设置!$B$6&lt;$B1639,"",IF((设置!$B$6-$B1639)&gt;=设置!$B$5,"超期"&amp;(设置!$B$6-$B1639)&amp;"天","已等"&amp;(设置!$B$6-$B1639)&amp;"天"))))</f>
        <v/>
      </c>
      <c r="O1639" s="18" t="str">
        <f aca="false">IF(OR($D1639="",$E1639=""),"",COUNTIFS($D$7:$D1639,$D1639,$E$7:$E1639,$E1639))</f>
        <v/>
      </c>
      <c r="P1639" s="16"/>
      <c r="Q1639" s="19"/>
      <c r="R1639" s="10"/>
      <c r="S1639" s="16"/>
      <c r="T1639" s="0" t="str">
        <f aca="false">IF(OR($D1639="",单元查询!$B$3=""),"",IF($D1639&lt;&gt;单元查询!$B$3,"",IF(OR(单元查询!$D$3="",$E1639&amp;""=单元查询!$D$3&amp;""),IF(ISNUMBER($B1639),$B1639*10000,0)+ROW(),"")))</f>
        <v/>
      </c>
      <c r="U1639" s="0" t="str">
        <f aca="false">IF(OR($B1639="",$L1639="已完成"),"",IF(ISNUMBER($B1639),IF(设置!$B$6&lt;$B1639,"",(设置!$B$6-$B1639)*100000+ROW()),""))</f>
        <v/>
      </c>
      <c r="V1639" s="0" t="str">
        <f aca="false">IF(ISNUMBER($O1639),IF($O1639&gt;=2,IF(COUNTIFS($D1639:$D$2006,$D1639,$E1639:$E$2006,$E1639)=1,ROW(),""),""),"")</f>
        <v/>
      </c>
    </row>
    <row r="1640" customFormat="false" ht="15" hidden="false" customHeight="true" outlineLevel="0" collapsed="false">
      <c r="A1640" s="13" t="str">
        <f aca="false">IF(AND($B1640="",$D1640="",$E1640="",$F1640=""),"",IF(OR($B1640="",$D1640="",$E1640=""),"待补",IF($D1640="公共区域","公",IF($D1640="商铺","S",SUBSTITUTE($D1640,"栋","")))&amp;"-"&amp;$E1640&amp;"-"&amp;TEXT(MONTH($B1640),"00")&amp;TEXT(DAY($B1640),"00")&amp;IF(ISNUMBER($O1640),IF($O1640&gt;1,"-"&amp;TEXT($O1640,"00"),""),"")))</f>
        <v/>
      </c>
      <c r="B1640" s="14"/>
      <c r="C1640" s="10"/>
      <c r="D1640" s="10"/>
      <c r="E1640" s="10"/>
      <c r="F1640" s="16"/>
      <c r="G1640" s="10"/>
      <c r="H1640" s="10"/>
      <c r="I1640" s="10"/>
      <c r="J1640" s="10"/>
      <c r="K1640" s="10"/>
      <c r="L1640" s="10"/>
      <c r="M1640" s="14"/>
      <c r="N1640" s="17" t="str">
        <f aca="false">IF($B1640="","",IF($L1640="已完成",IF($M1640="","",$M1640-$B1640),IF(设置!$B$6&lt;$B1640,"",IF((设置!$B$6-$B1640)&gt;=设置!$B$5,"超期"&amp;(设置!$B$6-$B1640)&amp;"天","已等"&amp;(设置!$B$6-$B1640)&amp;"天"))))</f>
        <v/>
      </c>
      <c r="O1640" s="18" t="str">
        <f aca="false">IF(OR($D1640="",$E1640=""),"",COUNTIFS($D$7:$D1640,$D1640,$E$7:$E1640,$E1640))</f>
        <v/>
      </c>
      <c r="P1640" s="16"/>
      <c r="Q1640" s="19"/>
      <c r="R1640" s="10"/>
      <c r="S1640" s="16"/>
      <c r="T1640" s="0" t="str">
        <f aca="false">IF(OR($D1640="",单元查询!$B$3=""),"",IF($D1640&lt;&gt;单元查询!$B$3,"",IF(OR(单元查询!$D$3="",$E1640&amp;""=单元查询!$D$3&amp;""),IF(ISNUMBER($B1640),$B1640*10000,0)+ROW(),"")))</f>
        <v/>
      </c>
      <c r="U1640" s="0" t="str">
        <f aca="false">IF(OR($B1640="",$L1640="已完成"),"",IF(ISNUMBER($B1640),IF(设置!$B$6&lt;$B1640,"",(设置!$B$6-$B1640)*100000+ROW()),""))</f>
        <v/>
      </c>
      <c r="V1640" s="0" t="str">
        <f aca="false">IF(ISNUMBER($O1640),IF($O1640&gt;=2,IF(COUNTIFS($D1640:$D$2006,$D1640,$E1640:$E$2006,$E1640)=1,ROW(),""),""),"")</f>
        <v/>
      </c>
    </row>
    <row r="1641" customFormat="false" ht="15" hidden="false" customHeight="true" outlineLevel="0" collapsed="false">
      <c r="A1641" s="13" t="str">
        <f aca="false">IF(AND($B1641="",$D1641="",$E1641="",$F1641=""),"",IF(OR($B1641="",$D1641="",$E1641=""),"待补",IF($D1641="公共区域","公",IF($D1641="商铺","S",SUBSTITUTE($D1641,"栋","")))&amp;"-"&amp;$E1641&amp;"-"&amp;TEXT(MONTH($B1641),"00")&amp;TEXT(DAY($B1641),"00")&amp;IF(ISNUMBER($O1641),IF($O1641&gt;1,"-"&amp;TEXT($O1641,"00"),""),"")))</f>
        <v/>
      </c>
      <c r="B1641" s="14"/>
      <c r="C1641" s="10"/>
      <c r="D1641" s="10"/>
      <c r="E1641" s="10"/>
      <c r="F1641" s="16"/>
      <c r="G1641" s="10"/>
      <c r="H1641" s="10"/>
      <c r="I1641" s="10"/>
      <c r="J1641" s="10"/>
      <c r="K1641" s="10"/>
      <c r="L1641" s="10"/>
      <c r="M1641" s="14"/>
      <c r="N1641" s="17" t="str">
        <f aca="false">IF($B1641="","",IF($L1641="已完成",IF($M1641="","",$M1641-$B1641),IF(设置!$B$6&lt;$B1641,"",IF((设置!$B$6-$B1641)&gt;=设置!$B$5,"超期"&amp;(设置!$B$6-$B1641)&amp;"天","已等"&amp;(设置!$B$6-$B1641)&amp;"天"))))</f>
        <v/>
      </c>
      <c r="O1641" s="18" t="str">
        <f aca="false">IF(OR($D1641="",$E1641=""),"",COUNTIFS($D$7:$D1641,$D1641,$E$7:$E1641,$E1641))</f>
        <v/>
      </c>
      <c r="P1641" s="16"/>
      <c r="Q1641" s="19"/>
      <c r="R1641" s="10"/>
      <c r="S1641" s="16"/>
      <c r="T1641" s="0" t="str">
        <f aca="false">IF(OR($D1641="",单元查询!$B$3=""),"",IF($D1641&lt;&gt;单元查询!$B$3,"",IF(OR(单元查询!$D$3="",$E1641&amp;""=单元查询!$D$3&amp;""),IF(ISNUMBER($B1641),$B1641*10000,0)+ROW(),"")))</f>
        <v/>
      </c>
      <c r="U1641" s="0" t="str">
        <f aca="false">IF(OR($B1641="",$L1641="已完成"),"",IF(ISNUMBER($B1641),IF(设置!$B$6&lt;$B1641,"",(设置!$B$6-$B1641)*100000+ROW()),""))</f>
        <v/>
      </c>
      <c r="V1641" s="0" t="str">
        <f aca="false">IF(ISNUMBER($O1641),IF($O1641&gt;=2,IF(COUNTIFS($D1641:$D$2006,$D1641,$E1641:$E$2006,$E1641)=1,ROW(),""),""),"")</f>
        <v/>
      </c>
    </row>
    <row r="1642" customFormat="false" ht="15" hidden="false" customHeight="true" outlineLevel="0" collapsed="false">
      <c r="A1642" s="13" t="str">
        <f aca="false">IF(AND($B1642="",$D1642="",$E1642="",$F1642=""),"",IF(OR($B1642="",$D1642="",$E1642=""),"待补",IF($D1642="公共区域","公",IF($D1642="商铺","S",SUBSTITUTE($D1642,"栋","")))&amp;"-"&amp;$E1642&amp;"-"&amp;TEXT(MONTH($B1642),"00")&amp;TEXT(DAY($B1642),"00")&amp;IF(ISNUMBER($O1642),IF($O1642&gt;1,"-"&amp;TEXT($O1642,"00"),""),"")))</f>
        <v/>
      </c>
      <c r="B1642" s="14"/>
      <c r="C1642" s="10"/>
      <c r="D1642" s="10"/>
      <c r="E1642" s="10"/>
      <c r="F1642" s="16"/>
      <c r="G1642" s="10"/>
      <c r="H1642" s="10"/>
      <c r="I1642" s="10"/>
      <c r="J1642" s="10"/>
      <c r="K1642" s="10"/>
      <c r="L1642" s="10"/>
      <c r="M1642" s="14"/>
      <c r="N1642" s="17" t="str">
        <f aca="false">IF($B1642="","",IF($L1642="已完成",IF($M1642="","",$M1642-$B1642),IF(设置!$B$6&lt;$B1642,"",IF((设置!$B$6-$B1642)&gt;=设置!$B$5,"超期"&amp;(设置!$B$6-$B1642)&amp;"天","已等"&amp;(设置!$B$6-$B1642)&amp;"天"))))</f>
        <v/>
      </c>
      <c r="O1642" s="18" t="str">
        <f aca="false">IF(OR($D1642="",$E1642=""),"",COUNTIFS($D$7:$D1642,$D1642,$E$7:$E1642,$E1642))</f>
        <v/>
      </c>
      <c r="P1642" s="16"/>
      <c r="Q1642" s="19"/>
      <c r="R1642" s="10"/>
      <c r="S1642" s="16"/>
      <c r="T1642" s="0" t="str">
        <f aca="false">IF(OR($D1642="",单元查询!$B$3=""),"",IF($D1642&lt;&gt;单元查询!$B$3,"",IF(OR(单元查询!$D$3="",$E1642&amp;""=单元查询!$D$3&amp;""),IF(ISNUMBER($B1642),$B1642*10000,0)+ROW(),"")))</f>
        <v/>
      </c>
      <c r="U1642" s="0" t="str">
        <f aca="false">IF(OR($B1642="",$L1642="已完成"),"",IF(ISNUMBER($B1642),IF(设置!$B$6&lt;$B1642,"",(设置!$B$6-$B1642)*100000+ROW()),""))</f>
        <v/>
      </c>
      <c r="V1642" s="0" t="str">
        <f aca="false">IF(ISNUMBER($O1642),IF($O1642&gt;=2,IF(COUNTIFS($D1642:$D$2006,$D1642,$E1642:$E$2006,$E1642)=1,ROW(),""),""),"")</f>
        <v/>
      </c>
    </row>
    <row r="1643" customFormat="false" ht="15" hidden="false" customHeight="true" outlineLevel="0" collapsed="false">
      <c r="A1643" s="13" t="str">
        <f aca="false">IF(AND($B1643="",$D1643="",$E1643="",$F1643=""),"",IF(OR($B1643="",$D1643="",$E1643=""),"待补",IF($D1643="公共区域","公",IF($D1643="商铺","S",SUBSTITUTE($D1643,"栋","")))&amp;"-"&amp;$E1643&amp;"-"&amp;TEXT(MONTH($B1643),"00")&amp;TEXT(DAY($B1643),"00")&amp;IF(ISNUMBER($O1643),IF($O1643&gt;1,"-"&amp;TEXT($O1643,"00"),""),"")))</f>
        <v/>
      </c>
      <c r="B1643" s="14"/>
      <c r="C1643" s="10"/>
      <c r="D1643" s="10"/>
      <c r="E1643" s="10"/>
      <c r="F1643" s="16"/>
      <c r="G1643" s="10"/>
      <c r="H1643" s="10"/>
      <c r="I1643" s="10"/>
      <c r="J1643" s="10"/>
      <c r="K1643" s="10"/>
      <c r="L1643" s="10"/>
      <c r="M1643" s="14"/>
      <c r="N1643" s="17" t="str">
        <f aca="false">IF($B1643="","",IF($L1643="已完成",IF($M1643="","",$M1643-$B1643),IF(设置!$B$6&lt;$B1643,"",IF((设置!$B$6-$B1643)&gt;=设置!$B$5,"超期"&amp;(设置!$B$6-$B1643)&amp;"天","已等"&amp;(设置!$B$6-$B1643)&amp;"天"))))</f>
        <v/>
      </c>
      <c r="O1643" s="18" t="str">
        <f aca="false">IF(OR($D1643="",$E1643=""),"",COUNTIFS($D$7:$D1643,$D1643,$E$7:$E1643,$E1643))</f>
        <v/>
      </c>
      <c r="P1643" s="16"/>
      <c r="Q1643" s="19"/>
      <c r="R1643" s="10"/>
      <c r="S1643" s="16"/>
      <c r="T1643" s="0" t="str">
        <f aca="false">IF(OR($D1643="",单元查询!$B$3=""),"",IF($D1643&lt;&gt;单元查询!$B$3,"",IF(OR(单元查询!$D$3="",$E1643&amp;""=单元查询!$D$3&amp;""),IF(ISNUMBER($B1643),$B1643*10000,0)+ROW(),"")))</f>
        <v/>
      </c>
      <c r="U1643" s="0" t="str">
        <f aca="false">IF(OR($B1643="",$L1643="已完成"),"",IF(ISNUMBER($B1643),IF(设置!$B$6&lt;$B1643,"",(设置!$B$6-$B1643)*100000+ROW()),""))</f>
        <v/>
      </c>
      <c r="V1643" s="0" t="str">
        <f aca="false">IF(ISNUMBER($O1643),IF($O1643&gt;=2,IF(COUNTIFS($D1643:$D$2006,$D1643,$E1643:$E$2006,$E1643)=1,ROW(),""),""),"")</f>
        <v/>
      </c>
    </row>
    <row r="1644" customFormat="false" ht="15" hidden="false" customHeight="true" outlineLevel="0" collapsed="false">
      <c r="A1644" s="13" t="str">
        <f aca="false">IF(AND($B1644="",$D1644="",$E1644="",$F1644=""),"",IF(OR($B1644="",$D1644="",$E1644=""),"待补",IF($D1644="公共区域","公",IF($D1644="商铺","S",SUBSTITUTE($D1644,"栋","")))&amp;"-"&amp;$E1644&amp;"-"&amp;TEXT(MONTH($B1644),"00")&amp;TEXT(DAY($B1644),"00")&amp;IF(ISNUMBER($O1644),IF($O1644&gt;1,"-"&amp;TEXT($O1644,"00"),""),"")))</f>
        <v/>
      </c>
      <c r="B1644" s="14"/>
      <c r="C1644" s="10"/>
      <c r="D1644" s="10"/>
      <c r="E1644" s="10"/>
      <c r="F1644" s="16"/>
      <c r="G1644" s="10"/>
      <c r="H1644" s="10"/>
      <c r="I1644" s="10"/>
      <c r="J1644" s="10"/>
      <c r="K1644" s="10"/>
      <c r="L1644" s="10"/>
      <c r="M1644" s="14"/>
      <c r="N1644" s="17" t="str">
        <f aca="false">IF($B1644="","",IF($L1644="已完成",IF($M1644="","",$M1644-$B1644),IF(设置!$B$6&lt;$B1644,"",IF((设置!$B$6-$B1644)&gt;=设置!$B$5,"超期"&amp;(设置!$B$6-$B1644)&amp;"天","已等"&amp;(设置!$B$6-$B1644)&amp;"天"))))</f>
        <v/>
      </c>
      <c r="O1644" s="18" t="str">
        <f aca="false">IF(OR($D1644="",$E1644=""),"",COUNTIFS($D$7:$D1644,$D1644,$E$7:$E1644,$E1644))</f>
        <v/>
      </c>
      <c r="P1644" s="16"/>
      <c r="Q1644" s="19"/>
      <c r="R1644" s="10"/>
      <c r="S1644" s="16"/>
      <c r="T1644" s="0" t="str">
        <f aca="false">IF(OR($D1644="",单元查询!$B$3=""),"",IF($D1644&lt;&gt;单元查询!$B$3,"",IF(OR(单元查询!$D$3="",$E1644&amp;""=单元查询!$D$3&amp;""),IF(ISNUMBER($B1644),$B1644*10000,0)+ROW(),"")))</f>
        <v/>
      </c>
      <c r="U1644" s="0" t="str">
        <f aca="false">IF(OR($B1644="",$L1644="已完成"),"",IF(ISNUMBER($B1644),IF(设置!$B$6&lt;$B1644,"",(设置!$B$6-$B1644)*100000+ROW()),""))</f>
        <v/>
      </c>
      <c r="V1644" s="0" t="str">
        <f aca="false">IF(ISNUMBER($O1644),IF($O1644&gt;=2,IF(COUNTIFS($D1644:$D$2006,$D1644,$E1644:$E$2006,$E1644)=1,ROW(),""),""),"")</f>
        <v/>
      </c>
    </row>
    <row r="1645" customFormat="false" ht="15" hidden="false" customHeight="true" outlineLevel="0" collapsed="false">
      <c r="A1645" s="13" t="str">
        <f aca="false">IF(AND($B1645="",$D1645="",$E1645="",$F1645=""),"",IF(OR($B1645="",$D1645="",$E1645=""),"待补",IF($D1645="公共区域","公",IF($D1645="商铺","S",SUBSTITUTE($D1645,"栋","")))&amp;"-"&amp;$E1645&amp;"-"&amp;TEXT(MONTH($B1645),"00")&amp;TEXT(DAY($B1645),"00")&amp;IF(ISNUMBER($O1645),IF($O1645&gt;1,"-"&amp;TEXT($O1645,"00"),""),"")))</f>
        <v/>
      </c>
      <c r="B1645" s="14"/>
      <c r="C1645" s="10"/>
      <c r="D1645" s="10"/>
      <c r="E1645" s="10"/>
      <c r="F1645" s="16"/>
      <c r="G1645" s="10"/>
      <c r="H1645" s="10"/>
      <c r="I1645" s="10"/>
      <c r="J1645" s="10"/>
      <c r="K1645" s="10"/>
      <c r="L1645" s="10"/>
      <c r="M1645" s="14"/>
      <c r="N1645" s="17" t="str">
        <f aca="false">IF($B1645="","",IF($L1645="已完成",IF($M1645="","",$M1645-$B1645),IF(设置!$B$6&lt;$B1645,"",IF((设置!$B$6-$B1645)&gt;=设置!$B$5,"超期"&amp;(设置!$B$6-$B1645)&amp;"天","已等"&amp;(设置!$B$6-$B1645)&amp;"天"))))</f>
        <v/>
      </c>
      <c r="O1645" s="18" t="str">
        <f aca="false">IF(OR($D1645="",$E1645=""),"",COUNTIFS($D$7:$D1645,$D1645,$E$7:$E1645,$E1645))</f>
        <v/>
      </c>
      <c r="P1645" s="16"/>
      <c r="Q1645" s="19"/>
      <c r="R1645" s="10"/>
      <c r="S1645" s="16"/>
      <c r="T1645" s="0" t="str">
        <f aca="false">IF(OR($D1645="",单元查询!$B$3=""),"",IF($D1645&lt;&gt;单元查询!$B$3,"",IF(OR(单元查询!$D$3="",$E1645&amp;""=单元查询!$D$3&amp;""),IF(ISNUMBER($B1645),$B1645*10000,0)+ROW(),"")))</f>
        <v/>
      </c>
      <c r="U1645" s="0" t="str">
        <f aca="false">IF(OR($B1645="",$L1645="已完成"),"",IF(ISNUMBER($B1645),IF(设置!$B$6&lt;$B1645,"",(设置!$B$6-$B1645)*100000+ROW()),""))</f>
        <v/>
      </c>
      <c r="V1645" s="0" t="str">
        <f aca="false">IF(ISNUMBER($O1645),IF($O1645&gt;=2,IF(COUNTIFS($D1645:$D$2006,$D1645,$E1645:$E$2006,$E1645)=1,ROW(),""),""),"")</f>
        <v/>
      </c>
    </row>
    <row r="1646" customFormat="false" ht="15" hidden="false" customHeight="true" outlineLevel="0" collapsed="false">
      <c r="A1646" s="13" t="str">
        <f aca="false">IF(AND($B1646="",$D1646="",$E1646="",$F1646=""),"",IF(OR($B1646="",$D1646="",$E1646=""),"待补",IF($D1646="公共区域","公",IF($D1646="商铺","S",SUBSTITUTE($D1646,"栋","")))&amp;"-"&amp;$E1646&amp;"-"&amp;TEXT(MONTH($B1646),"00")&amp;TEXT(DAY($B1646),"00")&amp;IF(ISNUMBER($O1646),IF($O1646&gt;1,"-"&amp;TEXT($O1646,"00"),""),"")))</f>
        <v/>
      </c>
      <c r="B1646" s="14"/>
      <c r="C1646" s="10"/>
      <c r="D1646" s="10"/>
      <c r="E1646" s="10"/>
      <c r="F1646" s="16"/>
      <c r="G1646" s="10"/>
      <c r="H1646" s="10"/>
      <c r="I1646" s="10"/>
      <c r="J1646" s="10"/>
      <c r="K1646" s="10"/>
      <c r="L1646" s="10"/>
      <c r="M1646" s="14"/>
      <c r="N1646" s="17" t="str">
        <f aca="false">IF($B1646="","",IF($L1646="已完成",IF($M1646="","",$M1646-$B1646),IF(设置!$B$6&lt;$B1646,"",IF((设置!$B$6-$B1646)&gt;=设置!$B$5,"超期"&amp;(设置!$B$6-$B1646)&amp;"天","已等"&amp;(设置!$B$6-$B1646)&amp;"天"))))</f>
        <v/>
      </c>
      <c r="O1646" s="18" t="str">
        <f aca="false">IF(OR($D1646="",$E1646=""),"",COUNTIFS($D$7:$D1646,$D1646,$E$7:$E1646,$E1646))</f>
        <v/>
      </c>
      <c r="P1646" s="16"/>
      <c r="Q1646" s="19"/>
      <c r="R1646" s="10"/>
      <c r="S1646" s="16"/>
      <c r="T1646" s="0" t="str">
        <f aca="false">IF(OR($D1646="",单元查询!$B$3=""),"",IF($D1646&lt;&gt;单元查询!$B$3,"",IF(OR(单元查询!$D$3="",$E1646&amp;""=单元查询!$D$3&amp;""),IF(ISNUMBER($B1646),$B1646*10000,0)+ROW(),"")))</f>
        <v/>
      </c>
      <c r="U1646" s="0" t="str">
        <f aca="false">IF(OR($B1646="",$L1646="已完成"),"",IF(ISNUMBER($B1646),IF(设置!$B$6&lt;$B1646,"",(设置!$B$6-$B1646)*100000+ROW()),""))</f>
        <v/>
      </c>
      <c r="V1646" s="0" t="str">
        <f aca="false">IF(ISNUMBER($O1646),IF($O1646&gt;=2,IF(COUNTIFS($D1646:$D$2006,$D1646,$E1646:$E$2006,$E1646)=1,ROW(),""),""),"")</f>
        <v/>
      </c>
    </row>
    <row r="1647" customFormat="false" ht="15" hidden="false" customHeight="true" outlineLevel="0" collapsed="false">
      <c r="A1647" s="13" t="str">
        <f aca="false">IF(AND($B1647="",$D1647="",$E1647="",$F1647=""),"",IF(OR($B1647="",$D1647="",$E1647=""),"待补",IF($D1647="公共区域","公",IF($D1647="商铺","S",SUBSTITUTE($D1647,"栋","")))&amp;"-"&amp;$E1647&amp;"-"&amp;TEXT(MONTH($B1647),"00")&amp;TEXT(DAY($B1647),"00")&amp;IF(ISNUMBER($O1647),IF($O1647&gt;1,"-"&amp;TEXT($O1647,"00"),""),"")))</f>
        <v/>
      </c>
      <c r="B1647" s="14"/>
      <c r="C1647" s="10"/>
      <c r="D1647" s="10"/>
      <c r="E1647" s="10"/>
      <c r="F1647" s="16"/>
      <c r="G1647" s="10"/>
      <c r="H1647" s="10"/>
      <c r="I1647" s="10"/>
      <c r="J1647" s="10"/>
      <c r="K1647" s="10"/>
      <c r="L1647" s="10"/>
      <c r="M1647" s="14"/>
      <c r="N1647" s="17" t="str">
        <f aca="false">IF($B1647="","",IF($L1647="已完成",IF($M1647="","",$M1647-$B1647),IF(设置!$B$6&lt;$B1647,"",IF((设置!$B$6-$B1647)&gt;=设置!$B$5,"超期"&amp;(设置!$B$6-$B1647)&amp;"天","已等"&amp;(设置!$B$6-$B1647)&amp;"天"))))</f>
        <v/>
      </c>
      <c r="O1647" s="18" t="str">
        <f aca="false">IF(OR($D1647="",$E1647=""),"",COUNTIFS($D$7:$D1647,$D1647,$E$7:$E1647,$E1647))</f>
        <v/>
      </c>
      <c r="P1647" s="16"/>
      <c r="Q1647" s="19"/>
      <c r="R1647" s="10"/>
      <c r="S1647" s="16"/>
      <c r="T1647" s="0" t="str">
        <f aca="false">IF(OR($D1647="",单元查询!$B$3=""),"",IF($D1647&lt;&gt;单元查询!$B$3,"",IF(OR(单元查询!$D$3="",$E1647&amp;""=单元查询!$D$3&amp;""),IF(ISNUMBER($B1647),$B1647*10000,0)+ROW(),"")))</f>
        <v/>
      </c>
      <c r="U1647" s="0" t="str">
        <f aca="false">IF(OR($B1647="",$L1647="已完成"),"",IF(ISNUMBER($B1647),IF(设置!$B$6&lt;$B1647,"",(设置!$B$6-$B1647)*100000+ROW()),""))</f>
        <v/>
      </c>
      <c r="V1647" s="0" t="str">
        <f aca="false">IF(ISNUMBER($O1647),IF($O1647&gt;=2,IF(COUNTIFS($D1647:$D$2006,$D1647,$E1647:$E$2006,$E1647)=1,ROW(),""),""),"")</f>
        <v/>
      </c>
    </row>
    <row r="1648" customFormat="false" ht="15" hidden="false" customHeight="true" outlineLevel="0" collapsed="false">
      <c r="A1648" s="13" t="str">
        <f aca="false">IF(AND($B1648="",$D1648="",$E1648="",$F1648=""),"",IF(OR($B1648="",$D1648="",$E1648=""),"待补",IF($D1648="公共区域","公",IF($D1648="商铺","S",SUBSTITUTE($D1648,"栋","")))&amp;"-"&amp;$E1648&amp;"-"&amp;TEXT(MONTH($B1648),"00")&amp;TEXT(DAY($B1648),"00")&amp;IF(ISNUMBER($O1648),IF($O1648&gt;1,"-"&amp;TEXT($O1648,"00"),""),"")))</f>
        <v/>
      </c>
      <c r="B1648" s="14"/>
      <c r="C1648" s="10"/>
      <c r="D1648" s="10"/>
      <c r="E1648" s="10"/>
      <c r="F1648" s="16"/>
      <c r="G1648" s="10"/>
      <c r="H1648" s="10"/>
      <c r="I1648" s="10"/>
      <c r="J1648" s="10"/>
      <c r="K1648" s="10"/>
      <c r="L1648" s="10"/>
      <c r="M1648" s="14"/>
      <c r="N1648" s="17" t="str">
        <f aca="false">IF($B1648="","",IF($L1648="已完成",IF($M1648="","",$M1648-$B1648),IF(设置!$B$6&lt;$B1648,"",IF((设置!$B$6-$B1648)&gt;=设置!$B$5,"超期"&amp;(设置!$B$6-$B1648)&amp;"天","已等"&amp;(设置!$B$6-$B1648)&amp;"天"))))</f>
        <v/>
      </c>
      <c r="O1648" s="18" t="str">
        <f aca="false">IF(OR($D1648="",$E1648=""),"",COUNTIFS($D$7:$D1648,$D1648,$E$7:$E1648,$E1648))</f>
        <v/>
      </c>
      <c r="P1648" s="16"/>
      <c r="Q1648" s="19"/>
      <c r="R1648" s="10"/>
      <c r="S1648" s="16"/>
      <c r="T1648" s="0" t="str">
        <f aca="false">IF(OR($D1648="",单元查询!$B$3=""),"",IF($D1648&lt;&gt;单元查询!$B$3,"",IF(OR(单元查询!$D$3="",$E1648&amp;""=单元查询!$D$3&amp;""),IF(ISNUMBER($B1648),$B1648*10000,0)+ROW(),"")))</f>
        <v/>
      </c>
      <c r="U1648" s="0" t="str">
        <f aca="false">IF(OR($B1648="",$L1648="已完成"),"",IF(ISNUMBER($B1648),IF(设置!$B$6&lt;$B1648,"",(设置!$B$6-$B1648)*100000+ROW()),""))</f>
        <v/>
      </c>
      <c r="V1648" s="0" t="str">
        <f aca="false">IF(ISNUMBER($O1648),IF($O1648&gt;=2,IF(COUNTIFS($D1648:$D$2006,$D1648,$E1648:$E$2006,$E1648)=1,ROW(),""),""),"")</f>
        <v/>
      </c>
    </row>
    <row r="1649" customFormat="false" ht="15" hidden="false" customHeight="true" outlineLevel="0" collapsed="false">
      <c r="A1649" s="13" t="str">
        <f aca="false">IF(AND($B1649="",$D1649="",$E1649="",$F1649=""),"",IF(OR($B1649="",$D1649="",$E1649=""),"待补",IF($D1649="公共区域","公",IF($D1649="商铺","S",SUBSTITUTE($D1649,"栋","")))&amp;"-"&amp;$E1649&amp;"-"&amp;TEXT(MONTH($B1649),"00")&amp;TEXT(DAY($B1649),"00")&amp;IF(ISNUMBER($O1649),IF($O1649&gt;1,"-"&amp;TEXT($O1649,"00"),""),"")))</f>
        <v/>
      </c>
      <c r="B1649" s="14"/>
      <c r="C1649" s="10"/>
      <c r="D1649" s="10"/>
      <c r="E1649" s="10"/>
      <c r="F1649" s="16"/>
      <c r="G1649" s="10"/>
      <c r="H1649" s="10"/>
      <c r="I1649" s="10"/>
      <c r="J1649" s="10"/>
      <c r="K1649" s="10"/>
      <c r="L1649" s="10"/>
      <c r="M1649" s="14"/>
      <c r="N1649" s="17" t="str">
        <f aca="false">IF($B1649="","",IF($L1649="已完成",IF($M1649="","",$M1649-$B1649),IF(设置!$B$6&lt;$B1649,"",IF((设置!$B$6-$B1649)&gt;=设置!$B$5,"超期"&amp;(设置!$B$6-$B1649)&amp;"天","已等"&amp;(设置!$B$6-$B1649)&amp;"天"))))</f>
        <v/>
      </c>
      <c r="O1649" s="18" t="str">
        <f aca="false">IF(OR($D1649="",$E1649=""),"",COUNTIFS($D$7:$D1649,$D1649,$E$7:$E1649,$E1649))</f>
        <v/>
      </c>
      <c r="P1649" s="16"/>
      <c r="Q1649" s="19"/>
      <c r="R1649" s="10"/>
      <c r="S1649" s="16"/>
      <c r="T1649" s="0" t="str">
        <f aca="false">IF(OR($D1649="",单元查询!$B$3=""),"",IF($D1649&lt;&gt;单元查询!$B$3,"",IF(OR(单元查询!$D$3="",$E1649&amp;""=单元查询!$D$3&amp;""),IF(ISNUMBER($B1649),$B1649*10000,0)+ROW(),"")))</f>
        <v/>
      </c>
      <c r="U1649" s="0" t="str">
        <f aca="false">IF(OR($B1649="",$L1649="已完成"),"",IF(ISNUMBER($B1649),IF(设置!$B$6&lt;$B1649,"",(设置!$B$6-$B1649)*100000+ROW()),""))</f>
        <v/>
      </c>
      <c r="V1649" s="0" t="str">
        <f aca="false">IF(ISNUMBER($O1649),IF($O1649&gt;=2,IF(COUNTIFS($D1649:$D$2006,$D1649,$E1649:$E$2006,$E1649)=1,ROW(),""),""),"")</f>
        <v/>
      </c>
    </row>
    <row r="1650" customFormat="false" ht="15" hidden="false" customHeight="true" outlineLevel="0" collapsed="false">
      <c r="A1650" s="13" t="str">
        <f aca="false">IF(AND($B1650="",$D1650="",$E1650="",$F1650=""),"",IF(OR($B1650="",$D1650="",$E1650=""),"待补",IF($D1650="公共区域","公",IF($D1650="商铺","S",SUBSTITUTE($D1650,"栋","")))&amp;"-"&amp;$E1650&amp;"-"&amp;TEXT(MONTH($B1650),"00")&amp;TEXT(DAY($B1650),"00")&amp;IF(ISNUMBER($O1650),IF($O1650&gt;1,"-"&amp;TEXT($O1650,"00"),""),"")))</f>
        <v/>
      </c>
      <c r="B1650" s="14"/>
      <c r="C1650" s="10"/>
      <c r="D1650" s="10"/>
      <c r="E1650" s="10"/>
      <c r="F1650" s="16"/>
      <c r="G1650" s="10"/>
      <c r="H1650" s="10"/>
      <c r="I1650" s="10"/>
      <c r="J1650" s="10"/>
      <c r="K1650" s="10"/>
      <c r="L1650" s="10"/>
      <c r="M1650" s="14"/>
      <c r="N1650" s="17" t="str">
        <f aca="false">IF($B1650="","",IF($L1650="已完成",IF($M1650="","",$M1650-$B1650),IF(设置!$B$6&lt;$B1650,"",IF((设置!$B$6-$B1650)&gt;=设置!$B$5,"超期"&amp;(设置!$B$6-$B1650)&amp;"天","已等"&amp;(设置!$B$6-$B1650)&amp;"天"))))</f>
        <v/>
      </c>
      <c r="O1650" s="18" t="str">
        <f aca="false">IF(OR($D1650="",$E1650=""),"",COUNTIFS($D$7:$D1650,$D1650,$E$7:$E1650,$E1650))</f>
        <v/>
      </c>
      <c r="P1650" s="16"/>
      <c r="Q1650" s="19"/>
      <c r="R1650" s="10"/>
      <c r="S1650" s="16"/>
      <c r="T1650" s="0" t="str">
        <f aca="false">IF(OR($D1650="",单元查询!$B$3=""),"",IF($D1650&lt;&gt;单元查询!$B$3,"",IF(OR(单元查询!$D$3="",$E1650&amp;""=单元查询!$D$3&amp;""),IF(ISNUMBER($B1650),$B1650*10000,0)+ROW(),"")))</f>
        <v/>
      </c>
      <c r="U1650" s="0" t="str">
        <f aca="false">IF(OR($B1650="",$L1650="已完成"),"",IF(ISNUMBER($B1650),IF(设置!$B$6&lt;$B1650,"",(设置!$B$6-$B1650)*100000+ROW()),""))</f>
        <v/>
      </c>
      <c r="V1650" s="0" t="str">
        <f aca="false">IF(ISNUMBER($O1650),IF($O1650&gt;=2,IF(COUNTIFS($D1650:$D$2006,$D1650,$E1650:$E$2006,$E1650)=1,ROW(),""),""),"")</f>
        <v/>
      </c>
    </row>
    <row r="1651" customFormat="false" ht="15" hidden="false" customHeight="true" outlineLevel="0" collapsed="false">
      <c r="A1651" s="13" t="str">
        <f aca="false">IF(AND($B1651="",$D1651="",$E1651="",$F1651=""),"",IF(OR($B1651="",$D1651="",$E1651=""),"待补",IF($D1651="公共区域","公",IF($D1651="商铺","S",SUBSTITUTE($D1651,"栋","")))&amp;"-"&amp;$E1651&amp;"-"&amp;TEXT(MONTH($B1651),"00")&amp;TEXT(DAY($B1651),"00")&amp;IF(ISNUMBER($O1651),IF($O1651&gt;1,"-"&amp;TEXT($O1651,"00"),""),"")))</f>
        <v/>
      </c>
      <c r="B1651" s="14"/>
      <c r="C1651" s="10"/>
      <c r="D1651" s="10"/>
      <c r="E1651" s="10"/>
      <c r="F1651" s="16"/>
      <c r="G1651" s="10"/>
      <c r="H1651" s="10"/>
      <c r="I1651" s="10"/>
      <c r="J1651" s="10"/>
      <c r="K1651" s="10"/>
      <c r="L1651" s="10"/>
      <c r="M1651" s="14"/>
      <c r="N1651" s="17" t="str">
        <f aca="false">IF($B1651="","",IF($L1651="已完成",IF($M1651="","",$M1651-$B1651),IF(设置!$B$6&lt;$B1651,"",IF((设置!$B$6-$B1651)&gt;=设置!$B$5,"超期"&amp;(设置!$B$6-$B1651)&amp;"天","已等"&amp;(设置!$B$6-$B1651)&amp;"天"))))</f>
        <v/>
      </c>
      <c r="O1651" s="18" t="str">
        <f aca="false">IF(OR($D1651="",$E1651=""),"",COUNTIFS($D$7:$D1651,$D1651,$E$7:$E1651,$E1651))</f>
        <v/>
      </c>
      <c r="P1651" s="16"/>
      <c r="Q1651" s="19"/>
      <c r="R1651" s="10"/>
      <c r="S1651" s="16"/>
      <c r="T1651" s="0" t="str">
        <f aca="false">IF(OR($D1651="",单元查询!$B$3=""),"",IF($D1651&lt;&gt;单元查询!$B$3,"",IF(OR(单元查询!$D$3="",$E1651&amp;""=单元查询!$D$3&amp;""),IF(ISNUMBER($B1651),$B1651*10000,0)+ROW(),"")))</f>
        <v/>
      </c>
      <c r="U1651" s="0" t="str">
        <f aca="false">IF(OR($B1651="",$L1651="已完成"),"",IF(ISNUMBER($B1651),IF(设置!$B$6&lt;$B1651,"",(设置!$B$6-$B1651)*100000+ROW()),""))</f>
        <v/>
      </c>
      <c r="V1651" s="0" t="str">
        <f aca="false">IF(ISNUMBER($O1651),IF($O1651&gt;=2,IF(COUNTIFS($D1651:$D$2006,$D1651,$E1651:$E$2006,$E1651)=1,ROW(),""),""),"")</f>
        <v/>
      </c>
    </row>
    <row r="1652" customFormat="false" ht="15" hidden="false" customHeight="true" outlineLevel="0" collapsed="false">
      <c r="A1652" s="13" t="str">
        <f aca="false">IF(AND($B1652="",$D1652="",$E1652="",$F1652=""),"",IF(OR($B1652="",$D1652="",$E1652=""),"待补",IF($D1652="公共区域","公",IF($D1652="商铺","S",SUBSTITUTE($D1652,"栋","")))&amp;"-"&amp;$E1652&amp;"-"&amp;TEXT(MONTH($B1652),"00")&amp;TEXT(DAY($B1652),"00")&amp;IF(ISNUMBER($O1652),IF($O1652&gt;1,"-"&amp;TEXT($O1652,"00"),""),"")))</f>
        <v/>
      </c>
      <c r="B1652" s="14"/>
      <c r="C1652" s="10"/>
      <c r="D1652" s="10"/>
      <c r="E1652" s="10"/>
      <c r="F1652" s="16"/>
      <c r="G1652" s="10"/>
      <c r="H1652" s="10"/>
      <c r="I1652" s="10"/>
      <c r="J1652" s="10"/>
      <c r="K1652" s="10"/>
      <c r="L1652" s="10"/>
      <c r="M1652" s="14"/>
      <c r="N1652" s="17" t="str">
        <f aca="false">IF($B1652="","",IF($L1652="已完成",IF($M1652="","",$M1652-$B1652),IF(设置!$B$6&lt;$B1652,"",IF((设置!$B$6-$B1652)&gt;=设置!$B$5,"超期"&amp;(设置!$B$6-$B1652)&amp;"天","已等"&amp;(设置!$B$6-$B1652)&amp;"天"))))</f>
        <v/>
      </c>
      <c r="O1652" s="18" t="str">
        <f aca="false">IF(OR($D1652="",$E1652=""),"",COUNTIFS($D$7:$D1652,$D1652,$E$7:$E1652,$E1652))</f>
        <v/>
      </c>
      <c r="P1652" s="16"/>
      <c r="Q1652" s="19"/>
      <c r="R1652" s="10"/>
      <c r="S1652" s="16"/>
      <c r="T1652" s="0" t="str">
        <f aca="false">IF(OR($D1652="",单元查询!$B$3=""),"",IF($D1652&lt;&gt;单元查询!$B$3,"",IF(OR(单元查询!$D$3="",$E1652&amp;""=单元查询!$D$3&amp;""),IF(ISNUMBER($B1652),$B1652*10000,0)+ROW(),"")))</f>
        <v/>
      </c>
      <c r="U1652" s="0" t="str">
        <f aca="false">IF(OR($B1652="",$L1652="已完成"),"",IF(ISNUMBER($B1652),IF(设置!$B$6&lt;$B1652,"",(设置!$B$6-$B1652)*100000+ROW()),""))</f>
        <v/>
      </c>
      <c r="V1652" s="0" t="str">
        <f aca="false">IF(ISNUMBER($O1652),IF($O1652&gt;=2,IF(COUNTIFS($D1652:$D$2006,$D1652,$E1652:$E$2006,$E1652)=1,ROW(),""),""),"")</f>
        <v/>
      </c>
    </row>
    <row r="1653" customFormat="false" ht="15" hidden="false" customHeight="true" outlineLevel="0" collapsed="false">
      <c r="A1653" s="13" t="str">
        <f aca="false">IF(AND($B1653="",$D1653="",$E1653="",$F1653=""),"",IF(OR($B1653="",$D1653="",$E1653=""),"待补",IF($D1653="公共区域","公",IF($D1653="商铺","S",SUBSTITUTE($D1653,"栋","")))&amp;"-"&amp;$E1653&amp;"-"&amp;TEXT(MONTH($B1653),"00")&amp;TEXT(DAY($B1653),"00")&amp;IF(ISNUMBER($O1653),IF($O1653&gt;1,"-"&amp;TEXT($O1653,"00"),""),"")))</f>
        <v/>
      </c>
      <c r="B1653" s="14"/>
      <c r="C1653" s="10"/>
      <c r="D1653" s="10"/>
      <c r="E1653" s="10"/>
      <c r="F1653" s="16"/>
      <c r="G1653" s="10"/>
      <c r="H1653" s="10"/>
      <c r="I1653" s="10"/>
      <c r="J1653" s="10"/>
      <c r="K1653" s="10"/>
      <c r="L1653" s="10"/>
      <c r="M1653" s="14"/>
      <c r="N1653" s="17" t="str">
        <f aca="false">IF($B1653="","",IF($L1653="已完成",IF($M1653="","",$M1653-$B1653),IF(设置!$B$6&lt;$B1653,"",IF((设置!$B$6-$B1653)&gt;=设置!$B$5,"超期"&amp;(设置!$B$6-$B1653)&amp;"天","已等"&amp;(设置!$B$6-$B1653)&amp;"天"))))</f>
        <v/>
      </c>
      <c r="O1653" s="18" t="str">
        <f aca="false">IF(OR($D1653="",$E1653=""),"",COUNTIFS($D$7:$D1653,$D1653,$E$7:$E1653,$E1653))</f>
        <v/>
      </c>
      <c r="P1653" s="16"/>
      <c r="Q1653" s="19"/>
      <c r="R1653" s="10"/>
      <c r="S1653" s="16"/>
      <c r="T1653" s="0" t="str">
        <f aca="false">IF(OR($D1653="",单元查询!$B$3=""),"",IF($D1653&lt;&gt;单元查询!$B$3,"",IF(OR(单元查询!$D$3="",$E1653&amp;""=单元查询!$D$3&amp;""),IF(ISNUMBER($B1653),$B1653*10000,0)+ROW(),"")))</f>
        <v/>
      </c>
      <c r="U1653" s="0" t="str">
        <f aca="false">IF(OR($B1653="",$L1653="已完成"),"",IF(ISNUMBER($B1653),IF(设置!$B$6&lt;$B1653,"",(设置!$B$6-$B1653)*100000+ROW()),""))</f>
        <v/>
      </c>
      <c r="V1653" s="0" t="str">
        <f aca="false">IF(ISNUMBER($O1653),IF($O1653&gt;=2,IF(COUNTIFS($D1653:$D$2006,$D1653,$E1653:$E$2006,$E1653)=1,ROW(),""),""),"")</f>
        <v/>
      </c>
    </row>
    <row r="1654" customFormat="false" ht="15" hidden="false" customHeight="true" outlineLevel="0" collapsed="false">
      <c r="A1654" s="13" t="str">
        <f aca="false">IF(AND($B1654="",$D1654="",$E1654="",$F1654=""),"",IF(OR($B1654="",$D1654="",$E1654=""),"待补",IF($D1654="公共区域","公",IF($D1654="商铺","S",SUBSTITUTE($D1654,"栋","")))&amp;"-"&amp;$E1654&amp;"-"&amp;TEXT(MONTH($B1654),"00")&amp;TEXT(DAY($B1654),"00")&amp;IF(ISNUMBER($O1654),IF($O1654&gt;1,"-"&amp;TEXT($O1654,"00"),""),"")))</f>
        <v/>
      </c>
      <c r="B1654" s="14"/>
      <c r="C1654" s="10"/>
      <c r="D1654" s="10"/>
      <c r="E1654" s="10"/>
      <c r="F1654" s="16"/>
      <c r="G1654" s="10"/>
      <c r="H1654" s="10"/>
      <c r="I1654" s="10"/>
      <c r="J1654" s="10"/>
      <c r="K1654" s="10"/>
      <c r="L1654" s="10"/>
      <c r="M1654" s="14"/>
      <c r="N1654" s="17" t="str">
        <f aca="false">IF($B1654="","",IF($L1654="已完成",IF($M1654="","",$M1654-$B1654),IF(设置!$B$6&lt;$B1654,"",IF((设置!$B$6-$B1654)&gt;=设置!$B$5,"超期"&amp;(设置!$B$6-$B1654)&amp;"天","已等"&amp;(设置!$B$6-$B1654)&amp;"天"))))</f>
        <v/>
      </c>
      <c r="O1654" s="18" t="str">
        <f aca="false">IF(OR($D1654="",$E1654=""),"",COUNTIFS($D$7:$D1654,$D1654,$E$7:$E1654,$E1654))</f>
        <v/>
      </c>
      <c r="P1654" s="16"/>
      <c r="Q1654" s="19"/>
      <c r="R1654" s="10"/>
      <c r="S1654" s="16"/>
      <c r="T1654" s="0" t="str">
        <f aca="false">IF(OR($D1654="",单元查询!$B$3=""),"",IF($D1654&lt;&gt;单元查询!$B$3,"",IF(OR(单元查询!$D$3="",$E1654&amp;""=单元查询!$D$3&amp;""),IF(ISNUMBER($B1654),$B1654*10000,0)+ROW(),"")))</f>
        <v/>
      </c>
      <c r="U1654" s="0" t="str">
        <f aca="false">IF(OR($B1654="",$L1654="已完成"),"",IF(ISNUMBER($B1654),IF(设置!$B$6&lt;$B1654,"",(设置!$B$6-$B1654)*100000+ROW()),""))</f>
        <v/>
      </c>
      <c r="V1654" s="0" t="str">
        <f aca="false">IF(ISNUMBER($O1654),IF($O1654&gt;=2,IF(COUNTIFS($D1654:$D$2006,$D1654,$E1654:$E$2006,$E1654)=1,ROW(),""),""),"")</f>
        <v/>
      </c>
    </row>
    <row r="1655" customFormat="false" ht="15" hidden="false" customHeight="true" outlineLevel="0" collapsed="false">
      <c r="A1655" s="13" t="str">
        <f aca="false">IF(AND($B1655="",$D1655="",$E1655="",$F1655=""),"",IF(OR($B1655="",$D1655="",$E1655=""),"待补",IF($D1655="公共区域","公",IF($D1655="商铺","S",SUBSTITUTE($D1655,"栋","")))&amp;"-"&amp;$E1655&amp;"-"&amp;TEXT(MONTH($B1655),"00")&amp;TEXT(DAY($B1655),"00")&amp;IF(ISNUMBER($O1655),IF($O1655&gt;1,"-"&amp;TEXT($O1655,"00"),""),"")))</f>
        <v/>
      </c>
      <c r="B1655" s="14"/>
      <c r="C1655" s="10"/>
      <c r="D1655" s="10"/>
      <c r="E1655" s="10"/>
      <c r="F1655" s="16"/>
      <c r="G1655" s="10"/>
      <c r="H1655" s="10"/>
      <c r="I1655" s="10"/>
      <c r="J1655" s="10"/>
      <c r="K1655" s="10"/>
      <c r="L1655" s="10"/>
      <c r="M1655" s="14"/>
      <c r="N1655" s="17" t="str">
        <f aca="false">IF($B1655="","",IF($L1655="已完成",IF($M1655="","",$M1655-$B1655),IF(设置!$B$6&lt;$B1655,"",IF((设置!$B$6-$B1655)&gt;=设置!$B$5,"超期"&amp;(设置!$B$6-$B1655)&amp;"天","已等"&amp;(设置!$B$6-$B1655)&amp;"天"))))</f>
        <v/>
      </c>
      <c r="O1655" s="18" t="str">
        <f aca="false">IF(OR($D1655="",$E1655=""),"",COUNTIFS($D$7:$D1655,$D1655,$E$7:$E1655,$E1655))</f>
        <v/>
      </c>
      <c r="P1655" s="16"/>
      <c r="Q1655" s="19"/>
      <c r="R1655" s="10"/>
      <c r="S1655" s="16"/>
      <c r="T1655" s="0" t="str">
        <f aca="false">IF(OR($D1655="",单元查询!$B$3=""),"",IF($D1655&lt;&gt;单元查询!$B$3,"",IF(OR(单元查询!$D$3="",$E1655&amp;""=单元查询!$D$3&amp;""),IF(ISNUMBER($B1655),$B1655*10000,0)+ROW(),"")))</f>
        <v/>
      </c>
      <c r="U1655" s="0" t="str">
        <f aca="false">IF(OR($B1655="",$L1655="已完成"),"",IF(ISNUMBER($B1655),IF(设置!$B$6&lt;$B1655,"",(设置!$B$6-$B1655)*100000+ROW()),""))</f>
        <v/>
      </c>
      <c r="V1655" s="0" t="str">
        <f aca="false">IF(ISNUMBER($O1655),IF($O1655&gt;=2,IF(COUNTIFS($D1655:$D$2006,$D1655,$E1655:$E$2006,$E1655)=1,ROW(),""),""),"")</f>
        <v/>
      </c>
    </row>
    <row r="1656" customFormat="false" ht="15" hidden="false" customHeight="true" outlineLevel="0" collapsed="false">
      <c r="A1656" s="13" t="str">
        <f aca="false">IF(AND($B1656="",$D1656="",$E1656="",$F1656=""),"",IF(OR($B1656="",$D1656="",$E1656=""),"待补",IF($D1656="公共区域","公",IF($D1656="商铺","S",SUBSTITUTE($D1656,"栋","")))&amp;"-"&amp;$E1656&amp;"-"&amp;TEXT(MONTH($B1656),"00")&amp;TEXT(DAY($B1656),"00")&amp;IF(ISNUMBER($O1656),IF($O1656&gt;1,"-"&amp;TEXT($O1656,"00"),""),"")))</f>
        <v/>
      </c>
      <c r="B1656" s="14"/>
      <c r="C1656" s="10"/>
      <c r="D1656" s="10"/>
      <c r="E1656" s="10"/>
      <c r="F1656" s="16"/>
      <c r="G1656" s="10"/>
      <c r="H1656" s="10"/>
      <c r="I1656" s="10"/>
      <c r="J1656" s="10"/>
      <c r="K1656" s="10"/>
      <c r="L1656" s="10"/>
      <c r="M1656" s="14"/>
      <c r="N1656" s="17" t="str">
        <f aca="false">IF($B1656="","",IF($L1656="已完成",IF($M1656="","",$M1656-$B1656),IF(设置!$B$6&lt;$B1656,"",IF((设置!$B$6-$B1656)&gt;=设置!$B$5,"超期"&amp;(设置!$B$6-$B1656)&amp;"天","已等"&amp;(设置!$B$6-$B1656)&amp;"天"))))</f>
        <v/>
      </c>
      <c r="O1656" s="18" t="str">
        <f aca="false">IF(OR($D1656="",$E1656=""),"",COUNTIFS($D$7:$D1656,$D1656,$E$7:$E1656,$E1656))</f>
        <v/>
      </c>
      <c r="P1656" s="16"/>
      <c r="Q1656" s="19"/>
      <c r="R1656" s="10"/>
      <c r="S1656" s="16"/>
      <c r="T1656" s="0" t="str">
        <f aca="false">IF(OR($D1656="",单元查询!$B$3=""),"",IF($D1656&lt;&gt;单元查询!$B$3,"",IF(OR(单元查询!$D$3="",$E1656&amp;""=单元查询!$D$3&amp;""),IF(ISNUMBER($B1656),$B1656*10000,0)+ROW(),"")))</f>
        <v/>
      </c>
      <c r="U1656" s="0" t="str">
        <f aca="false">IF(OR($B1656="",$L1656="已完成"),"",IF(ISNUMBER($B1656),IF(设置!$B$6&lt;$B1656,"",(设置!$B$6-$B1656)*100000+ROW()),""))</f>
        <v/>
      </c>
      <c r="V1656" s="0" t="str">
        <f aca="false">IF(ISNUMBER($O1656),IF($O1656&gt;=2,IF(COUNTIFS($D1656:$D$2006,$D1656,$E1656:$E$2006,$E1656)=1,ROW(),""),""),"")</f>
        <v/>
      </c>
    </row>
    <row r="1657" customFormat="false" ht="15" hidden="false" customHeight="true" outlineLevel="0" collapsed="false">
      <c r="A1657" s="13" t="str">
        <f aca="false">IF(AND($B1657="",$D1657="",$E1657="",$F1657=""),"",IF(OR($B1657="",$D1657="",$E1657=""),"待补",IF($D1657="公共区域","公",IF($D1657="商铺","S",SUBSTITUTE($D1657,"栋","")))&amp;"-"&amp;$E1657&amp;"-"&amp;TEXT(MONTH($B1657),"00")&amp;TEXT(DAY($B1657),"00")&amp;IF(ISNUMBER($O1657),IF($O1657&gt;1,"-"&amp;TEXT($O1657,"00"),""),"")))</f>
        <v/>
      </c>
      <c r="B1657" s="14"/>
      <c r="C1657" s="10"/>
      <c r="D1657" s="10"/>
      <c r="E1657" s="10"/>
      <c r="F1657" s="16"/>
      <c r="G1657" s="10"/>
      <c r="H1657" s="10"/>
      <c r="I1657" s="10"/>
      <c r="J1657" s="10"/>
      <c r="K1657" s="10"/>
      <c r="L1657" s="10"/>
      <c r="M1657" s="14"/>
      <c r="N1657" s="17" t="str">
        <f aca="false">IF($B1657="","",IF($L1657="已完成",IF($M1657="","",$M1657-$B1657),IF(设置!$B$6&lt;$B1657,"",IF((设置!$B$6-$B1657)&gt;=设置!$B$5,"超期"&amp;(设置!$B$6-$B1657)&amp;"天","已等"&amp;(设置!$B$6-$B1657)&amp;"天"))))</f>
        <v/>
      </c>
      <c r="O1657" s="18" t="str">
        <f aca="false">IF(OR($D1657="",$E1657=""),"",COUNTIFS($D$7:$D1657,$D1657,$E$7:$E1657,$E1657))</f>
        <v/>
      </c>
      <c r="P1657" s="16"/>
      <c r="Q1657" s="19"/>
      <c r="R1657" s="10"/>
      <c r="S1657" s="16"/>
      <c r="T1657" s="0" t="str">
        <f aca="false">IF(OR($D1657="",单元查询!$B$3=""),"",IF($D1657&lt;&gt;单元查询!$B$3,"",IF(OR(单元查询!$D$3="",$E1657&amp;""=单元查询!$D$3&amp;""),IF(ISNUMBER($B1657),$B1657*10000,0)+ROW(),"")))</f>
        <v/>
      </c>
      <c r="U1657" s="0" t="str">
        <f aca="false">IF(OR($B1657="",$L1657="已完成"),"",IF(ISNUMBER($B1657),IF(设置!$B$6&lt;$B1657,"",(设置!$B$6-$B1657)*100000+ROW()),""))</f>
        <v/>
      </c>
      <c r="V1657" s="0" t="str">
        <f aca="false">IF(ISNUMBER($O1657),IF($O1657&gt;=2,IF(COUNTIFS($D1657:$D$2006,$D1657,$E1657:$E$2006,$E1657)=1,ROW(),""),""),"")</f>
        <v/>
      </c>
    </row>
    <row r="1658" customFormat="false" ht="15" hidden="false" customHeight="true" outlineLevel="0" collapsed="false">
      <c r="A1658" s="13" t="str">
        <f aca="false">IF(AND($B1658="",$D1658="",$E1658="",$F1658=""),"",IF(OR($B1658="",$D1658="",$E1658=""),"待补",IF($D1658="公共区域","公",IF($D1658="商铺","S",SUBSTITUTE($D1658,"栋","")))&amp;"-"&amp;$E1658&amp;"-"&amp;TEXT(MONTH($B1658),"00")&amp;TEXT(DAY($B1658),"00")&amp;IF(ISNUMBER($O1658),IF($O1658&gt;1,"-"&amp;TEXT($O1658,"00"),""),"")))</f>
        <v/>
      </c>
      <c r="B1658" s="14"/>
      <c r="C1658" s="10"/>
      <c r="D1658" s="10"/>
      <c r="E1658" s="10"/>
      <c r="F1658" s="16"/>
      <c r="G1658" s="10"/>
      <c r="H1658" s="10"/>
      <c r="I1658" s="10"/>
      <c r="J1658" s="10"/>
      <c r="K1658" s="10"/>
      <c r="L1658" s="10"/>
      <c r="M1658" s="14"/>
      <c r="N1658" s="17" t="str">
        <f aca="false">IF($B1658="","",IF($L1658="已完成",IF($M1658="","",$M1658-$B1658),IF(设置!$B$6&lt;$B1658,"",IF((设置!$B$6-$B1658)&gt;=设置!$B$5,"超期"&amp;(设置!$B$6-$B1658)&amp;"天","已等"&amp;(设置!$B$6-$B1658)&amp;"天"))))</f>
        <v/>
      </c>
      <c r="O1658" s="18" t="str">
        <f aca="false">IF(OR($D1658="",$E1658=""),"",COUNTIFS($D$7:$D1658,$D1658,$E$7:$E1658,$E1658))</f>
        <v/>
      </c>
      <c r="P1658" s="16"/>
      <c r="Q1658" s="19"/>
      <c r="R1658" s="10"/>
      <c r="S1658" s="16"/>
      <c r="T1658" s="0" t="str">
        <f aca="false">IF(OR($D1658="",单元查询!$B$3=""),"",IF($D1658&lt;&gt;单元查询!$B$3,"",IF(OR(单元查询!$D$3="",$E1658&amp;""=单元查询!$D$3&amp;""),IF(ISNUMBER($B1658),$B1658*10000,0)+ROW(),"")))</f>
        <v/>
      </c>
      <c r="U1658" s="0" t="str">
        <f aca="false">IF(OR($B1658="",$L1658="已完成"),"",IF(ISNUMBER($B1658),IF(设置!$B$6&lt;$B1658,"",(设置!$B$6-$B1658)*100000+ROW()),""))</f>
        <v/>
      </c>
      <c r="V1658" s="0" t="str">
        <f aca="false">IF(ISNUMBER($O1658),IF($O1658&gt;=2,IF(COUNTIFS($D1658:$D$2006,$D1658,$E1658:$E$2006,$E1658)=1,ROW(),""),""),"")</f>
        <v/>
      </c>
    </row>
    <row r="1659" customFormat="false" ht="15" hidden="false" customHeight="true" outlineLevel="0" collapsed="false">
      <c r="A1659" s="13" t="str">
        <f aca="false">IF(AND($B1659="",$D1659="",$E1659="",$F1659=""),"",IF(OR($B1659="",$D1659="",$E1659=""),"待补",IF($D1659="公共区域","公",IF($D1659="商铺","S",SUBSTITUTE($D1659,"栋","")))&amp;"-"&amp;$E1659&amp;"-"&amp;TEXT(MONTH($B1659),"00")&amp;TEXT(DAY($B1659),"00")&amp;IF(ISNUMBER($O1659),IF($O1659&gt;1,"-"&amp;TEXT($O1659,"00"),""),"")))</f>
        <v/>
      </c>
      <c r="B1659" s="14"/>
      <c r="C1659" s="10"/>
      <c r="D1659" s="10"/>
      <c r="E1659" s="10"/>
      <c r="F1659" s="16"/>
      <c r="G1659" s="10"/>
      <c r="H1659" s="10"/>
      <c r="I1659" s="10"/>
      <c r="J1659" s="10"/>
      <c r="K1659" s="10"/>
      <c r="L1659" s="10"/>
      <c r="M1659" s="14"/>
      <c r="N1659" s="17" t="str">
        <f aca="false">IF($B1659="","",IF($L1659="已完成",IF($M1659="","",$M1659-$B1659),IF(设置!$B$6&lt;$B1659,"",IF((设置!$B$6-$B1659)&gt;=设置!$B$5,"超期"&amp;(设置!$B$6-$B1659)&amp;"天","已等"&amp;(设置!$B$6-$B1659)&amp;"天"))))</f>
        <v/>
      </c>
      <c r="O1659" s="18" t="str">
        <f aca="false">IF(OR($D1659="",$E1659=""),"",COUNTIFS($D$7:$D1659,$D1659,$E$7:$E1659,$E1659))</f>
        <v/>
      </c>
      <c r="P1659" s="16"/>
      <c r="Q1659" s="19"/>
      <c r="R1659" s="10"/>
      <c r="S1659" s="16"/>
      <c r="T1659" s="0" t="str">
        <f aca="false">IF(OR($D1659="",单元查询!$B$3=""),"",IF($D1659&lt;&gt;单元查询!$B$3,"",IF(OR(单元查询!$D$3="",$E1659&amp;""=单元查询!$D$3&amp;""),IF(ISNUMBER($B1659),$B1659*10000,0)+ROW(),"")))</f>
        <v/>
      </c>
      <c r="U1659" s="0" t="str">
        <f aca="false">IF(OR($B1659="",$L1659="已完成"),"",IF(ISNUMBER($B1659),IF(设置!$B$6&lt;$B1659,"",(设置!$B$6-$B1659)*100000+ROW()),""))</f>
        <v/>
      </c>
      <c r="V1659" s="0" t="str">
        <f aca="false">IF(ISNUMBER($O1659),IF($O1659&gt;=2,IF(COUNTIFS($D1659:$D$2006,$D1659,$E1659:$E$2006,$E1659)=1,ROW(),""),""),"")</f>
        <v/>
      </c>
    </row>
    <row r="1660" customFormat="false" ht="15" hidden="false" customHeight="true" outlineLevel="0" collapsed="false">
      <c r="A1660" s="13" t="str">
        <f aca="false">IF(AND($B1660="",$D1660="",$E1660="",$F1660=""),"",IF(OR($B1660="",$D1660="",$E1660=""),"待补",IF($D1660="公共区域","公",IF($D1660="商铺","S",SUBSTITUTE($D1660,"栋","")))&amp;"-"&amp;$E1660&amp;"-"&amp;TEXT(MONTH($B1660),"00")&amp;TEXT(DAY($B1660),"00")&amp;IF(ISNUMBER($O1660),IF($O1660&gt;1,"-"&amp;TEXT($O1660,"00"),""),"")))</f>
        <v/>
      </c>
      <c r="B1660" s="14"/>
      <c r="C1660" s="10"/>
      <c r="D1660" s="10"/>
      <c r="E1660" s="10"/>
      <c r="F1660" s="16"/>
      <c r="G1660" s="10"/>
      <c r="H1660" s="10"/>
      <c r="I1660" s="10"/>
      <c r="J1660" s="10"/>
      <c r="K1660" s="10"/>
      <c r="L1660" s="10"/>
      <c r="M1660" s="14"/>
      <c r="N1660" s="17" t="str">
        <f aca="false">IF($B1660="","",IF($L1660="已完成",IF($M1660="","",$M1660-$B1660),IF(设置!$B$6&lt;$B1660,"",IF((设置!$B$6-$B1660)&gt;=设置!$B$5,"超期"&amp;(设置!$B$6-$B1660)&amp;"天","已等"&amp;(设置!$B$6-$B1660)&amp;"天"))))</f>
        <v/>
      </c>
      <c r="O1660" s="18" t="str">
        <f aca="false">IF(OR($D1660="",$E1660=""),"",COUNTIFS($D$7:$D1660,$D1660,$E$7:$E1660,$E1660))</f>
        <v/>
      </c>
      <c r="P1660" s="16"/>
      <c r="Q1660" s="19"/>
      <c r="R1660" s="10"/>
      <c r="S1660" s="16"/>
      <c r="T1660" s="0" t="str">
        <f aca="false">IF(OR($D1660="",单元查询!$B$3=""),"",IF($D1660&lt;&gt;单元查询!$B$3,"",IF(OR(单元查询!$D$3="",$E1660&amp;""=单元查询!$D$3&amp;""),IF(ISNUMBER($B1660),$B1660*10000,0)+ROW(),"")))</f>
        <v/>
      </c>
      <c r="U1660" s="0" t="str">
        <f aca="false">IF(OR($B1660="",$L1660="已完成"),"",IF(ISNUMBER($B1660),IF(设置!$B$6&lt;$B1660,"",(设置!$B$6-$B1660)*100000+ROW()),""))</f>
        <v/>
      </c>
      <c r="V1660" s="0" t="str">
        <f aca="false">IF(ISNUMBER($O1660),IF($O1660&gt;=2,IF(COUNTIFS($D1660:$D$2006,$D1660,$E1660:$E$2006,$E1660)=1,ROW(),""),""),"")</f>
        <v/>
      </c>
    </row>
    <row r="1661" customFormat="false" ht="15" hidden="false" customHeight="true" outlineLevel="0" collapsed="false">
      <c r="A1661" s="13" t="str">
        <f aca="false">IF(AND($B1661="",$D1661="",$E1661="",$F1661=""),"",IF(OR($B1661="",$D1661="",$E1661=""),"待补",IF($D1661="公共区域","公",IF($D1661="商铺","S",SUBSTITUTE($D1661,"栋","")))&amp;"-"&amp;$E1661&amp;"-"&amp;TEXT(MONTH($B1661),"00")&amp;TEXT(DAY($B1661),"00")&amp;IF(ISNUMBER($O1661),IF($O1661&gt;1,"-"&amp;TEXT($O1661,"00"),""),"")))</f>
        <v/>
      </c>
      <c r="B1661" s="14"/>
      <c r="C1661" s="10"/>
      <c r="D1661" s="10"/>
      <c r="E1661" s="10"/>
      <c r="F1661" s="16"/>
      <c r="G1661" s="10"/>
      <c r="H1661" s="10"/>
      <c r="I1661" s="10"/>
      <c r="J1661" s="10"/>
      <c r="K1661" s="10"/>
      <c r="L1661" s="10"/>
      <c r="M1661" s="14"/>
      <c r="N1661" s="17" t="str">
        <f aca="false">IF($B1661="","",IF($L1661="已完成",IF($M1661="","",$M1661-$B1661),IF(设置!$B$6&lt;$B1661,"",IF((设置!$B$6-$B1661)&gt;=设置!$B$5,"超期"&amp;(设置!$B$6-$B1661)&amp;"天","已等"&amp;(设置!$B$6-$B1661)&amp;"天"))))</f>
        <v/>
      </c>
      <c r="O1661" s="18" t="str">
        <f aca="false">IF(OR($D1661="",$E1661=""),"",COUNTIFS($D$7:$D1661,$D1661,$E$7:$E1661,$E1661))</f>
        <v/>
      </c>
      <c r="P1661" s="16"/>
      <c r="Q1661" s="19"/>
      <c r="R1661" s="10"/>
      <c r="S1661" s="16"/>
      <c r="T1661" s="0" t="str">
        <f aca="false">IF(OR($D1661="",单元查询!$B$3=""),"",IF($D1661&lt;&gt;单元查询!$B$3,"",IF(OR(单元查询!$D$3="",$E1661&amp;""=单元查询!$D$3&amp;""),IF(ISNUMBER($B1661),$B1661*10000,0)+ROW(),"")))</f>
        <v/>
      </c>
      <c r="U1661" s="0" t="str">
        <f aca="false">IF(OR($B1661="",$L1661="已完成"),"",IF(ISNUMBER($B1661),IF(设置!$B$6&lt;$B1661,"",(设置!$B$6-$B1661)*100000+ROW()),""))</f>
        <v/>
      </c>
      <c r="V1661" s="0" t="str">
        <f aca="false">IF(ISNUMBER($O1661),IF($O1661&gt;=2,IF(COUNTIFS($D1661:$D$2006,$D1661,$E1661:$E$2006,$E1661)=1,ROW(),""),""),"")</f>
        <v/>
      </c>
    </row>
    <row r="1662" customFormat="false" ht="15" hidden="false" customHeight="true" outlineLevel="0" collapsed="false">
      <c r="A1662" s="13" t="str">
        <f aca="false">IF(AND($B1662="",$D1662="",$E1662="",$F1662=""),"",IF(OR($B1662="",$D1662="",$E1662=""),"待补",IF($D1662="公共区域","公",IF($D1662="商铺","S",SUBSTITUTE($D1662,"栋","")))&amp;"-"&amp;$E1662&amp;"-"&amp;TEXT(MONTH($B1662),"00")&amp;TEXT(DAY($B1662),"00")&amp;IF(ISNUMBER($O1662),IF($O1662&gt;1,"-"&amp;TEXT($O1662,"00"),""),"")))</f>
        <v/>
      </c>
      <c r="B1662" s="14"/>
      <c r="C1662" s="10"/>
      <c r="D1662" s="10"/>
      <c r="E1662" s="10"/>
      <c r="F1662" s="16"/>
      <c r="G1662" s="10"/>
      <c r="H1662" s="10"/>
      <c r="I1662" s="10"/>
      <c r="J1662" s="10"/>
      <c r="K1662" s="10"/>
      <c r="L1662" s="10"/>
      <c r="M1662" s="14"/>
      <c r="N1662" s="17" t="str">
        <f aca="false">IF($B1662="","",IF($L1662="已完成",IF($M1662="","",$M1662-$B1662),IF(设置!$B$6&lt;$B1662,"",IF((设置!$B$6-$B1662)&gt;=设置!$B$5,"超期"&amp;(设置!$B$6-$B1662)&amp;"天","已等"&amp;(设置!$B$6-$B1662)&amp;"天"))))</f>
        <v/>
      </c>
      <c r="O1662" s="18" t="str">
        <f aca="false">IF(OR($D1662="",$E1662=""),"",COUNTIFS($D$7:$D1662,$D1662,$E$7:$E1662,$E1662))</f>
        <v/>
      </c>
      <c r="P1662" s="16"/>
      <c r="Q1662" s="19"/>
      <c r="R1662" s="10"/>
      <c r="S1662" s="16"/>
      <c r="T1662" s="0" t="str">
        <f aca="false">IF(OR($D1662="",单元查询!$B$3=""),"",IF($D1662&lt;&gt;单元查询!$B$3,"",IF(OR(单元查询!$D$3="",$E1662&amp;""=单元查询!$D$3&amp;""),IF(ISNUMBER($B1662),$B1662*10000,0)+ROW(),"")))</f>
        <v/>
      </c>
      <c r="U1662" s="0" t="str">
        <f aca="false">IF(OR($B1662="",$L1662="已完成"),"",IF(ISNUMBER($B1662),IF(设置!$B$6&lt;$B1662,"",(设置!$B$6-$B1662)*100000+ROW()),""))</f>
        <v/>
      </c>
      <c r="V1662" s="0" t="str">
        <f aca="false">IF(ISNUMBER($O1662),IF($O1662&gt;=2,IF(COUNTIFS($D1662:$D$2006,$D1662,$E1662:$E$2006,$E1662)=1,ROW(),""),""),"")</f>
        <v/>
      </c>
    </row>
    <row r="1663" customFormat="false" ht="15" hidden="false" customHeight="true" outlineLevel="0" collapsed="false">
      <c r="A1663" s="13" t="str">
        <f aca="false">IF(AND($B1663="",$D1663="",$E1663="",$F1663=""),"",IF(OR($B1663="",$D1663="",$E1663=""),"待补",IF($D1663="公共区域","公",IF($D1663="商铺","S",SUBSTITUTE($D1663,"栋","")))&amp;"-"&amp;$E1663&amp;"-"&amp;TEXT(MONTH($B1663),"00")&amp;TEXT(DAY($B1663),"00")&amp;IF(ISNUMBER($O1663),IF($O1663&gt;1,"-"&amp;TEXT($O1663,"00"),""),"")))</f>
        <v/>
      </c>
      <c r="B1663" s="14"/>
      <c r="C1663" s="10"/>
      <c r="D1663" s="10"/>
      <c r="E1663" s="10"/>
      <c r="F1663" s="16"/>
      <c r="G1663" s="10"/>
      <c r="H1663" s="10"/>
      <c r="I1663" s="10"/>
      <c r="J1663" s="10"/>
      <c r="K1663" s="10"/>
      <c r="L1663" s="10"/>
      <c r="M1663" s="14"/>
      <c r="N1663" s="17" t="str">
        <f aca="false">IF($B1663="","",IF($L1663="已完成",IF($M1663="","",$M1663-$B1663),IF(设置!$B$6&lt;$B1663,"",IF((设置!$B$6-$B1663)&gt;=设置!$B$5,"超期"&amp;(设置!$B$6-$B1663)&amp;"天","已等"&amp;(设置!$B$6-$B1663)&amp;"天"))))</f>
        <v/>
      </c>
      <c r="O1663" s="18" t="str">
        <f aca="false">IF(OR($D1663="",$E1663=""),"",COUNTIFS($D$7:$D1663,$D1663,$E$7:$E1663,$E1663))</f>
        <v/>
      </c>
      <c r="P1663" s="16"/>
      <c r="Q1663" s="19"/>
      <c r="R1663" s="10"/>
      <c r="S1663" s="16"/>
      <c r="T1663" s="0" t="str">
        <f aca="false">IF(OR($D1663="",单元查询!$B$3=""),"",IF($D1663&lt;&gt;单元查询!$B$3,"",IF(OR(单元查询!$D$3="",$E1663&amp;""=单元查询!$D$3&amp;""),IF(ISNUMBER($B1663),$B1663*10000,0)+ROW(),"")))</f>
        <v/>
      </c>
      <c r="U1663" s="0" t="str">
        <f aca="false">IF(OR($B1663="",$L1663="已完成"),"",IF(ISNUMBER($B1663),IF(设置!$B$6&lt;$B1663,"",(设置!$B$6-$B1663)*100000+ROW()),""))</f>
        <v/>
      </c>
      <c r="V1663" s="0" t="str">
        <f aca="false">IF(ISNUMBER($O1663),IF($O1663&gt;=2,IF(COUNTIFS($D1663:$D$2006,$D1663,$E1663:$E$2006,$E1663)=1,ROW(),""),""),"")</f>
        <v/>
      </c>
    </row>
    <row r="1664" customFormat="false" ht="15" hidden="false" customHeight="true" outlineLevel="0" collapsed="false">
      <c r="A1664" s="13" t="str">
        <f aca="false">IF(AND($B1664="",$D1664="",$E1664="",$F1664=""),"",IF(OR($B1664="",$D1664="",$E1664=""),"待补",IF($D1664="公共区域","公",IF($D1664="商铺","S",SUBSTITUTE($D1664,"栋","")))&amp;"-"&amp;$E1664&amp;"-"&amp;TEXT(MONTH($B1664),"00")&amp;TEXT(DAY($B1664),"00")&amp;IF(ISNUMBER($O1664),IF($O1664&gt;1,"-"&amp;TEXT($O1664,"00"),""),"")))</f>
        <v/>
      </c>
      <c r="B1664" s="14"/>
      <c r="C1664" s="10"/>
      <c r="D1664" s="10"/>
      <c r="E1664" s="10"/>
      <c r="F1664" s="16"/>
      <c r="G1664" s="10"/>
      <c r="H1664" s="10"/>
      <c r="I1664" s="10"/>
      <c r="J1664" s="10"/>
      <c r="K1664" s="10"/>
      <c r="L1664" s="10"/>
      <c r="M1664" s="14"/>
      <c r="N1664" s="17" t="str">
        <f aca="false">IF($B1664="","",IF($L1664="已完成",IF($M1664="","",$M1664-$B1664),IF(设置!$B$6&lt;$B1664,"",IF((设置!$B$6-$B1664)&gt;=设置!$B$5,"超期"&amp;(设置!$B$6-$B1664)&amp;"天","已等"&amp;(设置!$B$6-$B1664)&amp;"天"))))</f>
        <v/>
      </c>
      <c r="O1664" s="18" t="str">
        <f aca="false">IF(OR($D1664="",$E1664=""),"",COUNTIFS($D$7:$D1664,$D1664,$E$7:$E1664,$E1664))</f>
        <v/>
      </c>
      <c r="P1664" s="16"/>
      <c r="Q1664" s="19"/>
      <c r="R1664" s="10"/>
      <c r="S1664" s="16"/>
      <c r="T1664" s="0" t="str">
        <f aca="false">IF(OR($D1664="",单元查询!$B$3=""),"",IF($D1664&lt;&gt;单元查询!$B$3,"",IF(OR(单元查询!$D$3="",$E1664&amp;""=单元查询!$D$3&amp;""),IF(ISNUMBER($B1664),$B1664*10000,0)+ROW(),"")))</f>
        <v/>
      </c>
      <c r="U1664" s="0" t="str">
        <f aca="false">IF(OR($B1664="",$L1664="已完成"),"",IF(ISNUMBER($B1664),IF(设置!$B$6&lt;$B1664,"",(设置!$B$6-$B1664)*100000+ROW()),""))</f>
        <v/>
      </c>
      <c r="V1664" s="0" t="str">
        <f aca="false">IF(ISNUMBER($O1664),IF($O1664&gt;=2,IF(COUNTIFS($D1664:$D$2006,$D1664,$E1664:$E$2006,$E1664)=1,ROW(),""),""),"")</f>
        <v/>
      </c>
    </row>
    <row r="1665" customFormat="false" ht="15" hidden="false" customHeight="true" outlineLevel="0" collapsed="false">
      <c r="A1665" s="13" t="str">
        <f aca="false">IF(AND($B1665="",$D1665="",$E1665="",$F1665=""),"",IF(OR($B1665="",$D1665="",$E1665=""),"待补",IF($D1665="公共区域","公",IF($D1665="商铺","S",SUBSTITUTE($D1665,"栋","")))&amp;"-"&amp;$E1665&amp;"-"&amp;TEXT(MONTH($B1665),"00")&amp;TEXT(DAY($B1665),"00")&amp;IF(ISNUMBER($O1665),IF($O1665&gt;1,"-"&amp;TEXT($O1665,"00"),""),"")))</f>
        <v/>
      </c>
      <c r="B1665" s="14"/>
      <c r="C1665" s="10"/>
      <c r="D1665" s="10"/>
      <c r="E1665" s="10"/>
      <c r="F1665" s="16"/>
      <c r="G1665" s="10"/>
      <c r="H1665" s="10"/>
      <c r="I1665" s="10"/>
      <c r="J1665" s="10"/>
      <c r="K1665" s="10"/>
      <c r="L1665" s="10"/>
      <c r="M1665" s="14"/>
      <c r="N1665" s="17" t="str">
        <f aca="false">IF($B1665="","",IF($L1665="已完成",IF($M1665="","",$M1665-$B1665),IF(设置!$B$6&lt;$B1665,"",IF((设置!$B$6-$B1665)&gt;=设置!$B$5,"超期"&amp;(设置!$B$6-$B1665)&amp;"天","已等"&amp;(设置!$B$6-$B1665)&amp;"天"))))</f>
        <v/>
      </c>
      <c r="O1665" s="18" t="str">
        <f aca="false">IF(OR($D1665="",$E1665=""),"",COUNTIFS($D$7:$D1665,$D1665,$E$7:$E1665,$E1665))</f>
        <v/>
      </c>
      <c r="P1665" s="16"/>
      <c r="Q1665" s="19"/>
      <c r="R1665" s="10"/>
      <c r="S1665" s="16"/>
      <c r="T1665" s="0" t="str">
        <f aca="false">IF(OR($D1665="",单元查询!$B$3=""),"",IF($D1665&lt;&gt;单元查询!$B$3,"",IF(OR(单元查询!$D$3="",$E1665&amp;""=单元查询!$D$3&amp;""),IF(ISNUMBER($B1665),$B1665*10000,0)+ROW(),"")))</f>
        <v/>
      </c>
      <c r="U1665" s="0" t="str">
        <f aca="false">IF(OR($B1665="",$L1665="已完成"),"",IF(ISNUMBER($B1665),IF(设置!$B$6&lt;$B1665,"",(设置!$B$6-$B1665)*100000+ROW()),""))</f>
        <v/>
      </c>
      <c r="V1665" s="0" t="str">
        <f aca="false">IF(ISNUMBER($O1665),IF($O1665&gt;=2,IF(COUNTIFS($D1665:$D$2006,$D1665,$E1665:$E$2006,$E1665)=1,ROW(),""),""),"")</f>
        <v/>
      </c>
    </row>
    <row r="1666" customFormat="false" ht="15" hidden="false" customHeight="true" outlineLevel="0" collapsed="false">
      <c r="A1666" s="13" t="str">
        <f aca="false">IF(AND($B1666="",$D1666="",$E1666="",$F1666=""),"",IF(OR($B1666="",$D1666="",$E1666=""),"待补",IF($D1666="公共区域","公",IF($D1666="商铺","S",SUBSTITUTE($D1666,"栋","")))&amp;"-"&amp;$E1666&amp;"-"&amp;TEXT(MONTH($B1666),"00")&amp;TEXT(DAY($B1666),"00")&amp;IF(ISNUMBER($O1666),IF($O1666&gt;1,"-"&amp;TEXT($O1666,"00"),""),"")))</f>
        <v/>
      </c>
      <c r="B1666" s="14"/>
      <c r="C1666" s="10"/>
      <c r="D1666" s="10"/>
      <c r="E1666" s="10"/>
      <c r="F1666" s="16"/>
      <c r="G1666" s="10"/>
      <c r="H1666" s="10"/>
      <c r="I1666" s="10"/>
      <c r="J1666" s="10"/>
      <c r="K1666" s="10"/>
      <c r="L1666" s="10"/>
      <c r="M1666" s="14"/>
      <c r="N1666" s="17" t="str">
        <f aca="false">IF($B1666="","",IF($L1666="已完成",IF($M1666="","",$M1666-$B1666),IF(设置!$B$6&lt;$B1666,"",IF((设置!$B$6-$B1666)&gt;=设置!$B$5,"超期"&amp;(设置!$B$6-$B1666)&amp;"天","已等"&amp;(设置!$B$6-$B1666)&amp;"天"))))</f>
        <v/>
      </c>
      <c r="O1666" s="18" t="str">
        <f aca="false">IF(OR($D1666="",$E1666=""),"",COUNTIFS($D$7:$D1666,$D1666,$E$7:$E1666,$E1666))</f>
        <v/>
      </c>
      <c r="P1666" s="16"/>
      <c r="Q1666" s="19"/>
      <c r="R1666" s="10"/>
      <c r="S1666" s="16"/>
      <c r="T1666" s="0" t="str">
        <f aca="false">IF(OR($D1666="",单元查询!$B$3=""),"",IF($D1666&lt;&gt;单元查询!$B$3,"",IF(OR(单元查询!$D$3="",$E1666&amp;""=单元查询!$D$3&amp;""),IF(ISNUMBER($B1666),$B1666*10000,0)+ROW(),"")))</f>
        <v/>
      </c>
      <c r="U1666" s="0" t="str">
        <f aca="false">IF(OR($B1666="",$L1666="已完成"),"",IF(ISNUMBER($B1666),IF(设置!$B$6&lt;$B1666,"",(设置!$B$6-$B1666)*100000+ROW()),""))</f>
        <v/>
      </c>
      <c r="V1666" s="0" t="str">
        <f aca="false">IF(ISNUMBER($O1666),IF($O1666&gt;=2,IF(COUNTIFS($D1666:$D$2006,$D1666,$E1666:$E$2006,$E1666)=1,ROW(),""),""),"")</f>
        <v/>
      </c>
    </row>
    <row r="1667" customFormat="false" ht="15" hidden="false" customHeight="true" outlineLevel="0" collapsed="false">
      <c r="A1667" s="13" t="str">
        <f aca="false">IF(AND($B1667="",$D1667="",$E1667="",$F1667=""),"",IF(OR($B1667="",$D1667="",$E1667=""),"待补",IF($D1667="公共区域","公",IF($D1667="商铺","S",SUBSTITUTE($D1667,"栋","")))&amp;"-"&amp;$E1667&amp;"-"&amp;TEXT(MONTH($B1667),"00")&amp;TEXT(DAY($B1667),"00")&amp;IF(ISNUMBER($O1667),IF($O1667&gt;1,"-"&amp;TEXT($O1667,"00"),""),"")))</f>
        <v/>
      </c>
      <c r="B1667" s="14"/>
      <c r="C1667" s="10"/>
      <c r="D1667" s="10"/>
      <c r="E1667" s="10"/>
      <c r="F1667" s="16"/>
      <c r="G1667" s="10"/>
      <c r="H1667" s="10"/>
      <c r="I1667" s="10"/>
      <c r="J1667" s="10"/>
      <c r="K1667" s="10"/>
      <c r="L1667" s="10"/>
      <c r="M1667" s="14"/>
      <c r="N1667" s="17" t="str">
        <f aca="false">IF($B1667="","",IF($L1667="已完成",IF($M1667="","",$M1667-$B1667),IF(设置!$B$6&lt;$B1667,"",IF((设置!$B$6-$B1667)&gt;=设置!$B$5,"超期"&amp;(设置!$B$6-$B1667)&amp;"天","已等"&amp;(设置!$B$6-$B1667)&amp;"天"))))</f>
        <v/>
      </c>
      <c r="O1667" s="18" t="str">
        <f aca="false">IF(OR($D1667="",$E1667=""),"",COUNTIFS($D$7:$D1667,$D1667,$E$7:$E1667,$E1667))</f>
        <v/>
      </c>
      <c r="P1667" s="16"/>
      <c r="Q1667" s="19"/>
      <c r="R1667" s="10"/>
      <c r="S1667" s="16"/>
      <c r="T1667" s="0" t="str">
        <f aca="false">IF(OR($D1667="",单元查询!$B$3=""),"",IF($D1667&lt;&gt;单元查询!$B$3,"",IF(OR(单元查询!$D$3="",$E1667&amp;""=单元查询!$D$3&amp;""),IF(ISNUMBER($B1667),$B1667*10000,0)+ROW(),"")))</f>
        <v/>
      </c>
      <c r="U1667" s="0" t="str">
        <f aca="false">IF(OR($B1667="",$L1667="已完成"),"",IF(ISNUMBER($B1667),IF(设置!$B$6&lt;$B1667,"",(设置!$B$6-$B1667)*100000+ROW()),""))</f>
        <v/>
      </c>
      <c r="V1667" s="0" t="str">
        <f aca="false">IF(ISNUMBER($O1667),IF($O1667&gt;=2,IF(COUNTIFS($D1667:$D$2006,$D1667,$E1667:$E$2006,$E1667)=1,ROW(),""),""),"")</f>
        <v/>
      </c>
    </row>
    <row r="1668" customFormat="false" ht="15" hidden="false" customHeight="true" outlineLevel="0" collapsed="false">
      <c r="A1668" s="13" t="str">
        <f aca="false">IF(AND($B1668="",$D1668="",$E1668="",$F1668=""),"",IF(OR($B1668="",$D1668="",$E1668=""),"待补",IF($D1668="公共区域","公",IF($D1668="商铺","S",SUBSTITUTE($D1668,"栋","")))&amp;"-"&amp;$E1668&amp;"-"&amp;TEXT(MONTH($B1668),"00")&amp;TEXT(DAY($B1668),"00")&amp;IF(ISNUMBER($O1668),IF($O1668&gt;1,"-"&amp;TEXT($O1668,"00"),""),"")))</f>
        <v/>
      </c>
      <c r="B1668" s="14"/>
      <c r="C1668" s="10"/>
      <c r="D1668" s="10"/>
      <c r="E1668" s="10"/>
      <c r="F1668" s="16"/>
      <c r="G1668" s="10"/>
      <c r="H1668" s="10"/>
      <c r="I1668" s="10"/>
      <c r="J1668" s="10"/>
      <c r="K1668" s="10"/>
      <c r="L1668" s="10"/>
      <c r="M1668" s="14"/>
      <c r="N1668" s="17" t="str">
        <f aca="false">IF($B1668="","",IF($L1668="已完成",IF($M1668="","",$M1668-$B1668),IF(设置!$B$6&lt;$B1668,"",IF((设置!$B$6-$B1668)&gt;=设置!$B$5,"超期"&amp;(设置!$B$6-$B1668)&amp;"天","已等"&amp;(设置!$B$6-$B1668)&amp;"天"))))</f>
        <v/>
      </c>
      <c r="O1668" s="18" t="str">
        <f aca="false">IF(OR($D1668="",$E1668=""),"",COUNTIFS($D$7:$D1668,$D1668,$E$7:$E1668,$E1668))</f>
        <v/>
      </c>
      <c r="P1668" s="16"/>
      <c r="Q1668" s="19"/>
      <c r="R1668" s="10"/>
      <c r="S1668" s="16"/>
      <c r="T1668" s="0" t="str">
        <f aca="false">IF(OR($D1668="",单元查询!$B$3=""),"",IF($D1668&lt;&gt;单元查询!$B$3,"",IF(OR(单元查询!$D$3="",$E1668&amp;""=单元查询!$D$3&amp;""),IF(ISNUMBER($B1668),$B1668*10000,0)+ROW(),"")))</f>
        <v/>
      </c>
      <c r="U1668" s="0" t="str">
        <f aca="false">IF(OR($B1668="",$L1668="已完成"),"",IF(ISNUMBER($B1668),IF(设置!$B$6&lt;$B1668,"",(设置!$B$6-$B1668)*100000+ROW()),""))</f>
        <v/>
      </c>
      <c r="V1668" s="0" t="str">
        <f aca="false">IF(ISNUMBER($O1668),IF($O1668&gt;=2,IF(COUNTIFS($D1668:$D$2006,$D1668,$E1668:$E$2006,$E1668)=1,ROW(),""),""),"")</f>
        <v/>
      </c>
    </row>
    <row r="1669" customFormat="false" ht="15" hidden="false" customHeight="true" outlineLevel="0" collapsed="false">
      <c r="A1669" s="13" t="str">
        <f aca="false">IF(AND($B1669="",$D1669="",$E1669="",$F1669=""),"",IF(OR($B1669="",$D1669="",$E1669=""),"待补",IF($D1669="公共区域","公",IF($D1669="商铺","S",SUBSTITUTE($D1669,"栋","")))&amp;"-"&amp;$E1669&amp;"-"&amp;TEXT(MONTH($B1669),"00")&amp;TEXT(DAY($B1669),"00")&amp;IF(ISNUMBER($O1669),IF($O1669&gt;1,"-"&amp;TEXT($O1669,"00"),""),"")))</f>
        <v/>
      </c>
      <c r="B1669" s="14"/>
      <c r="C1669" s="10"/>
      <c r="D1669" s="10"/>
      <c r="E1669" s="10"/>
      <c r="F1669" s="16"/>
      <c r="G1669" s="10"/>
      <c r="H1669" s="10"/>
      <c r="I1669" s="10"/>
      <c r="J1669" s="10"/>
      <c r="K1669" s="10"/>
      <c r="L1669" s="10"/>
      <c r="M1669" s="14"/>
      <c r="N1669" s="17" t="str">
        <f aca="false">IF($B1669="","",IF($L1669="已完成",IF($M1669="","",$M1669-$B1669),IF(设置!$B$6&lt;$B1669,"",IF((设置!$B$6-$B1669)&gt;=设置!$B$5,"超期"&amp;(设置!$B$6-$B1669)&amp;"天","已等"&amp;(设置!$B$6-$B1669)&amp;"天"))))</f>
        <v/>
      </c>
      <c r="O1669" s="18" t="str">
        <f aca="false">IF(OR($D1669="",$E1669=""),"",COUNTIFS($D$7:$D1669,$D1669,$E$7:$E1669,$E1669))</f>
        <v/>
      </c>
      <c r="P1669" s="16"/>
      <c r="Q1669" s="19"/>
      <c r="R1669" s="10"/>
      <c r="S1669" s="16"/>
      <c r="T1669" s="0" t="str">
        <f aca="false">IF(OR($D1669="",单元查询!$B$3=""),"",IF($D1669&lt;&gt;单元查询!$B$3,"",IF(OR(单元查询!$D$3="",$E1669&amp;""=单元查询!$D$3&amp;""),IF(ISNUMBER($B1669),$B1669*10000,0)+ROW(),"")))</f>
        <v/>
      </c>
      <c r="U1669" s="0" t="str">
        <f aca="false">IF(OR($B1669="",$L1669="已完成"),"",IF(ISNUMBER($B1669),IF(设置!$B$6&lt;$B1669,"",(设置!$B$6-$B1669)*100000+ROW()),""))</f>
        <v/>
      </c>
      <c r="V1669" s="0" t="str">
        <f aca="false">IF(ISNUMBER($O1669),IF($O1669&gt;=2,IF(COUNTIFS($D1669:$D$2006,$D1669,$E1669:$E$2006,$E1669)=1,ROW(),""),""),"")</f>
        <v/>
      </c>
    </row>
    <row r="1670" customFormat="false" ht="15" hidden="false" customHeight="true" outlineLevel="0" collapsed="false">
      <c r="A1670" s="13" t="str">
        <f aca="false">IF(AND($B1670="",$D1670="",$E1670="",$F1670=""),"",IF(OR($B1670="",$D1670="",$E1670=""),"待补",IF($D1670="公共区域","公",IF($D1670="商铺","S",SUBSTITUTE($D1670,"栋","")))&amp;"-"&amp;$E1670&amp;"-"&amp;TEXT(MONTH($B1670),"00")&amp;TEXT(DAY($B1670),"00")&amp;IF(ISNUMBER($O1670),IF($O1670&gt;1,"-"&amp;TEXT($O1670,"00"),""),"")))</f>
        <v/>
      </c>
      <c r="B1670" s="14"/>
      <c r="C1670" s="10"/>
      <c r="D1670" s="10"/>
      <c r="E1670" s="10"/>
      <c r="F1670" s="16"/>
      <c r="G1670" s="10"/>
      <c r="H1670" s="10"/>
      <c r="I1670" s="10"/>
      <c r="J1670" s="10"/>
      <c r="K1670" s="10"/>
      <c r="L1670" s="10"/>
      <c r="M1670" s="14"/>
      <c r="N1670" s="17" t="str">
        <f aca="false">IF($B1670="","",IF($L1670="已完成",IF($M1670="","",$M1670-$B1670),IF(设置!$B$6&lt;$B1670,"",IF((设置!$B$6-$B1670)&gt;=设置!$B$5,"超期"&amp;(设置!$B$6-$B1670)&amp;"天","已等"&amp;(设置!$B$6-$B1670)&amp;"天"))))</f>
        <v/>
      </c>
      <c r="O1670" s="18" t="str">
        <f aca="false">IF(OR($D1670="",$E1670=""),"",COUNTIFS($D$7:$D1670,$D1670,$E$7:$E1670,$E1670))</f>
        <v/>
      </c>
      <c r="P1670" s="16"/>
      <c r="Q1670" s="19"/>
      <c r="R1670" s="10"/>
      <c r="S1670" s="16"/>
      <c r="T1670" s="0" t="str">
        <f aca="false">IF(OR($D1670="",单元查询!$B$3=""),"",IF($D1670&lt;&gt;单元查询!$B$3,"",IF(OR(单元查询!$D$3="",$E1670&amp;""=单元查询!$D$3&amp;""),IF(ISNUMBER($B1670),$B1670*10000,0)+ROW(),"")))</f>
        <v/>
      </c>
      <c r="U1670" s="0" t="str">
        <f aca="false">IF(OR($B1670="",$L1670="已完成"),"",IF(ISNUMBER($B1670),IF(设置!$B$6&lt;$B1670,"",(设置!$B$6-$B1670)*100000+ROW()),""))</f>
        <v/>
      </c>
      <c r="V1670" s="0" t="str">
        <f aca="false">IF(ISNUMBER($O1670),IF($O1670&gt;=2,IF(COUNTIFS($D1670:$D$2006,$D1670,$E1670:$E$2006,$E1670)=1,ROW(),""),""),"")</f>
        <v/>
      </c>
    </row>
    <row r="1671" customFormat="false" ht="15" hidden="false" customHeight="true" outlineLevel="0" collapsed="false">
      <c r="A1671" s="13" t="str">
        <f aca="false">IF(AND($B1671="",$D1671="",$E1671="",$F1671=""),"",IF(OR($B1671="",$D1671="",$E1671=""),"待补",IF($D1671="公共区域","公",IF($D1671="商铺","S",SUBSTITUTE($D1671,"栋","")))&amp;"-"&amp;$E1671&amp;"-"&amp;TEXT(MONTH($B1671),"00")&amp;TEXT(DAY($B1671),"00")&amp;IF(ISNUMBER($O1671),IF($O1671&gt;1,"-"&amp;TEXT($O1671,"00"),""),"")))</f>
        <v/>
      </c>
      <c r="B1671" s="14"/>
      <c r="C1671" s="10"/>
      <c r="D1671" s="10"/>
      <c r="E1671" s="10"/>
      <c r="F1671" s="16"/>
      <c r="G1671" s="10"/>
      <c r="H1671" s="10"/>
      <c r="I1671" s="10"/>
      <c r="J1671" s="10"/>
      <c r="K1671" s="10"/>
      <c r="L1671" s="10"/>
      <c r="M1671" s="14"/>
      <c r="N1671" s="17" t="str">
        <f aca="false">IF($B1671="","",IF($L1671="已完成",IF($M1671="","",$M1671-$B1671),IF(设置!$B$6&lt;$B1671,"",IF((设置!$B$6-$B1671)&gt;=设置!$B$5,"超期"&amp;(设置!$B$6-$B1671)&amp;"天","已等"&amp;(设置!$B$6-$B1671)&amp;"天"))))</f>
        <v/>
      </c>
      <c r="O1671" s="18" t="str">
        <f aca="false">IF(OR($D1671="",$E1671=""),"",COUNTIFS($D$7:$D1671,$D1671,$E$7:$E1671,$E1671))</f>
        <v/>
      </c>
      <c r="P1671" s="16"/>
      <c r="Q1671" s="19"/>
      <c r="R1671" s="10"/>
      <c r="S1671" s="16"/>
      <c r="T1671" s="0" t="str">
        <f aca="false">IF(OR($D1671="",单元查询!$B$3=""),"",IF($D1671&lt;&gt;单元查询!$B$3,"",IF(OR(单元查询!$D$3="",$E1671&amp;""=单元查询!$D$3&amp;""),IF(ISNUMBER($B1671),$B1671*10000,0)+ROW(),"")))</f>
        <v/>
      </c>
      <c r="U1671" s="0" t="str">
        <f aca="false">IF(OR($B1671="",$L1671="已完成"),"",IF(ISNUMBER($B1671),IF(设置!$B$6&lt;$B1671,"",(设置!$B$6-$B1671)*100000+ROW()),""))</f>
        <v/>
      </c>
      <c r="V1671" s="0" t="str">
        <f aca="false">IF(ISNUMBER($O1671),IF($O1671&gt;=2,IF(COUNTIFS($D1671:$D$2006,$D1671,$E1671:$E$2006,$E1671)=1,ROW(),""),""),"")</f>
        <v/>
      </c>
    </row>
    <row r="1672" customFormat="false" ht="15" hidden="false" customHeight="true" outlineLevel="0" collapsed="false">
      <c r="A1672" s="13" t="str">
        <f aca="false">IF(AND($B1672="",$D1672="",$E1672="",$F1672=""),"",IF(OR($B1672="",$D1672="",$E1672=""),"待补",IF($D1672="公共区域","公",IF($D1672="商铺","S",SUBSTITUTE($D1672,"栋","")))&amp;"-"&amp;$E1672&amp;"-"&amp;TEXT(MONTH($B1672),"00")&amp;TEXT(DAY($B1672),"00")&amp;IF(ISNUMBER($O1672),IF($O1672&gt;1,"-"&amp;TEXT($O1672,"00"),""),"")))</f>
        <v/>
      </c>
      <c r="B1672" s="14"/>
      <c r="C1672" s="10"/>
      <c r="D1672" s="10"/>
      <c r="E1672" s="10"/>
      <c r="F1672" s="16"/>
      <c r="G1672" s="10"/>
      <c r="H1672" s="10"/>
      <c r="I1672" s="10"/>
      <c r="J1672" s="10"/>
      <c r="K1672" s="10"/>
      <c r="L1672" s="10"/>
      <c r="M1672" s="14"/>
      <c r="N1672" s="17" t="str">
        <f aca="false">IF($B1672="","",IF($L1672="已完成",IF($M1672="","",$M1672-$B1672),IF(设置!$B$6&lt;$B1672,"",IF((设置!$B$6-$B1672)&gt;=设置!$B$5,"超期"&amp;(设置!$B$6-$B1672)&amp;"天","已等"&amp;(设置!$B$6-$B1672)&amp;"天"))))</f>
        <v/>
      </c>
      <c r="O1672" s="18" t="str">
        <f aca="false">IF(OR($D1672="",$E1672=""),"",COUNTIFS($D$7:$D1672,$D1672,$E$7:$E1672,$E1672))</f>
        <v/>
      </c>
      <c r="P1672" s="16"/>
      <c r="Q1672" s="19"/>
      <c r="R1672" s="10"/>
      <c r="S1672" s="16"/>
      <c r="T1672" s="0" t="str">
        <f aca="false">IF(OR($D1672="",单元查询!$B$3=""),"",IF($D1672&lt;&gt;单元查询!$B$3,"",IF(OR(单元查询!$D$3="",$E1672&amp;""=单元查询!$D$3&amp;""),IF(ISNUMBER($B1672),$B1672*10000,0)+ROW(),"")))</f>
        <v/>
      </c>
      <c r="U1672" s="0" t="str">
        <f aca="false">IF(OR($B1672="",$L1672="已完成"),"",IF(ISNUMBER($B1672),IF(设置!$B$6&lt;$B1672,"",(设置!$B$6-$B1672)*100000+ROW()),""))</f>
        <v/>
      </c>
      <c r="V1672" s="0" t="str">
        <f aca="false">IF(ISNUMBER($O1672),IF($O1672&gt;=2,IF(COUNTIFS($D1672:$D$2006,$D1672,$E1672:$E$2006,$E1672)=1,ROW(),""),""),"")</f>
        <v/>
      </c>
    </row>
    <row r="1673" customFormat="false" ht="15" hidden="false" customHeight="true" outlineLevel="0" collapsed="false">
      <c r="A1673" s="13" t="str">
        <f aca="false">IF(AND($B1673="",$D1673="",$E1673="",$F1673=""),"",IF(OR($B1673="",$D1673="",$E1673=""),"待补",IF($D1673="公共区域","公",IF($D1673="商铺","S",SUBSTITUTE($D1673,"栋","")))&amp;"-"&amp;$E1673&amp;"-"&amp;TEXT(MONTH($B1673),"00")&amp;TEXT(DAY($B1673),"00")&amp;IF(ISNUMBER($O1673),IF($O1673&gt;1,"-"&amp;TEXT($O1673,"00"),""),"")))</f>
        <v/>
      </c>
      <c r="B1673" s="14"/>
      <c r="C1673" s="10"/>
      <c r="D1673" s="10"/>
      <c r="E1673" s="10"/>
      <c r="F1673" s="16"/>
      <c r="G1673" s="10"/>
      <c r="H1673" s="10"/>
      <c r="I1673" s="10"/>
      <c r="J1673" s="10"/>
      <c r="K1673" s="10"/>
      <c r="L1673" s="10"/>
      <c r="M1673" s="14"/>
      <c r="N1673" s="17" t="str">
        <f aca="false">IF($B1673="","",IF($L1673="已完成",IF($M1673="","",$M1673-$B1673),IF(设置!$B$6&lt;$B1673,"",IF((设置!$B$6-$B1673)&gt;=设置!$B$5,"超期"&amp;(设置!$B$6-$B1673)&amp;"天","已等"&amp;(设置!$B$6-$B1673)&amp;"天"))))</f>
        <v/>
      </c>
      <c r="O1673" s="18" t="str">
        <f aca="false">IF(OR($D1673="",$E1673=""),"",COUNTIFS($D$7:$D1673,$D1673,$E$7:$E1673,$E1673))</f>
        <v/>
      </c>
      <c r="P1673" s="16"/>
      <c r="Q1673" s="19"/>
      <c r="R1673" s="10"/>
      <c r="S1673" s="16"/>
      <c r="T1673" s="0" t="str">
        <f aca="false">IF(OR($D1673="",单元查询!$B$3=""),"",IF($D1673&lt;&gt;单元查询!$B$3,"",IF(OR(单元查询!$D$3="",$E1673&amp;""=单元查询!$D$3&amp;""),IF(ISNUMBER($B1673),$B1673*10000,0)+ROW(),"")))</f>
        <v/>
      </c>
      <c r="U1673" s="0" t="str">
        <f aca="false">IF(OR($B1673="",$L1673="已完成"),"",IF(ISNUMBER($B1673),IF(设置!$B$6&lt;$B1673,"",(设置!$B$6-$B1673)*100000+ROW()),""))</f>
        <v/>
      </c>
      <c r="V1673" s="0" t="str">
        <f aca="false">IF(ISNUMBER($O1673),IF($O1673&gt;=2,IF(COUNTIFS($D1673:$D$2006,$D1673,$E1673:$E$2006,$E1673)=1,ROW(),""),""),"")</f>
        <v/>
      </c>
    </row>
    <row r="1674" customFormat="false" ht="15" hidden="false" customHeight="true" outlineLevel="0" collapsed="false">
      <c r="A1674" s="13" t="str">
        <f aca="false">IF(AND($B1674="",$D1674="",$E1674="",$F1674=""),"",IF(OR($B1674="",$D1674="",$E1674=""),"待补",IF($D1674="公共区域","公",IF($D1674="商铺","S",SUBSTITUTE($D1674,"栋","")))&amp;"-"&amp;$E1674&amp;"-"&amp;TEXT(MONTH($B1674),"00")&amp;TEXT(DAY($B1674),"00")&amp;IF(ISNUMBER($O1674),IF($O1674&gt;1,"-"&amp;TEXT($O1674,"00"),""),"")))</f>
        <v/>
      </c>
      <c r="B1674" s="14"/>
      <c r="C1674" s="10"/>
      <c r="D1674" s="10"/>
      <c r="E1674" s="10"/>
      <c r="F1674" s="16"/>
      <c r="G1674" s="10"/>
      <c r="H1674" s="10"/>
      <c r="I1674" s="10"/>
      <c r="J1674" s="10"/>
      <c r="K1674" s="10"/>
      <c r="L1674" s="10"/>
      <c r="M1674" s="14"/>
      <c r="N1674" s="17" t="str">
        <f aca="false">IF($B1674="","",IF($L1674="已完成",IF($M1674="","",$M1674-$B1674),IF(设置!$B$6&lt;$B1674,"",IF((设置!$B$6-$B1674)&gt;=设置!$B$5,"超期"&amp;(设置!$B$6-$B1674)&amp;"天","已等"&amp;(设置!$B$6-$B1674)&amp;"天"))))</f>
        <v/>
      </c>
      <c r="O1674" s="18" t="str">
        <f aca="false">IF(OR($D1674="",$E1674=""),"",COUNTIFS($D$7:$D1674,$D1674,$E$7:$E1674,$E1674))</f>
        <v/>
      </c>
      <c r="P1674" s="16"/>
      <c r="Q1674" s="19"/>
      <c r="R1674" s="10"/>
      <c r="S1674" s="16"/>
      <c r="T1674" s="0" t="str">
        <f aca="false">IF(OR($D1674="",单元查询!$B$3=""),"",IF($D1674&lt;&gt;单元查询!$B$3,"",IF(OR(单元查询!$D$3="",$E1674&amp;""=单元查询!$D$3&amp;""),IF(ISNUMBER($B1674),$B1674*10000,0)+ROW(),"")))</f>
        <v/>
      </c>
      <c r="U1674" s="0" t="str">
        <f aca="false">IF(OR($B1674="",$L1674="已完成"),"",IF(ISNUMBER($B1674),IF(设置!$B$6&lt;$B1674,"",(设置!$B$6-$B1674)*100000+ROW()),""))</f>
        <v/>
      </c>
      <c r="V1674" s="0" t="str">
        <f aca="false">IF(ISNUMBER($O1674),IF($O1674&gt;=2,IF(COUNTIFS($D1674:$D$2006,$D1674,$E1674:$E$2006,$E1674)=1,ROW(),""),""),"")</f>
        <v/>
      </c>
    </row>
    <row r="1675" customFormat="false" ht="15" hidden="false" customHeight="true" outlineLevel="0" collapsed="false">
      <c r="A1675" s="13" t="str">
        <f aca="false">IF(AND($B1675="",$D1675="",$E1675="",$F1675=""),"",IF(OR($B1675="",$D1675="",$E1675=""),"待补",IF($D1675="公共区域","公",IF($D1675="商铺","S",SUBSTITUTE($D1675,"栋","")))&amp;"-"&amp;$E1675&amp;"-"&amp;TEXT(MONTH($B1675),"00")&amp;TEXT(DAY($B1675),"00")&amp;IF(ISNUMBER($O1675),IF($O1675&gt;1,"-"&amp;TEXT($O1675,"00"),""),"")))</f>
        <v/>
      </c>
      <c r="B1675" s="14"/>
      <c r="C1675" s="10"/>
      <c r="D1675" s="10"/>
      <c r="E1675" s="10"/>
      <c r="F1675" s="16"/>
      <c r="G1675" s="10"/>
      <c r="H1675" s="10"/>
      <c r="I1675" s="10"/>
      <c r="J1675" s="10"/>
      <c r="K1675" s="10"/>
      <c r="L1675" s="10"/>
      <c r="M1675" s="14"/>
      <c r="N1675" s="17" t="str">
        <f aca="false">IF($B1675="","",IF($L1675="已完成",IF($M1675="","",$M1675-$B1675),IF(设置!$B$6&lt;$B1675,"",IF((设置!$B$6-$B1675)&gt;=设置!$B$5,"超期"&amp;(设置!$B$6-$B1675)&amp;"天","已等"&amp;(设置!$B$6-$B1675)&amp;"天"))))</f>
        <v/>
      </c>
      <c r="O1675" s="18" t="str">
        <f aca="false">IF(OR($D1675="",$E1675=""),"",COUNTIFS($D$7:$D1675,$D1675,$E$7:$E1675,$E1675))</f>
        <v/>
      </c>
      <c r="P1675" s="16"/>
      <c r="Q1675" s="19"/>
      <c r="R1675" s="10"/>
      <c r="S1675" s="16"/>
      <c r="T1675" s="0" t="str">
        <f aca="false">IF(OR($D1675="",单元查询!$B$3=""),"",IF($D1675&lt;&gt;单元查询!$B$3,"",IF(OR(单元查询!$D$3="",$E1675&amp;""=单元查询!$D$3&amp;""),IF(ISNUMBER($B1675),$B1675*10000,0)+ROW(),"")))</f>
        <v/>
      </c>
      <c r="U1675" s="0" t="str">
        <f aca="false">IF(OR($B1675="",$L1675="已完成"),"",IF(ISNUMBER($B1675),IF(设置!$B$6&lt;$B1675,"",(设置!$B$6-$B1675)*100000+ROW()),""))</f>
        <v/>
      </c>
      <c r="V1675" s="0" t="str">
        <f aca="false">IF(ISNUMBER($O1675),IF($O1675&gt;=2,IF(COUNTIFS($D1675:$D$2006,$D1675,$E1675:$E$2006,$E1675)=1,ROW(),""),""),"")</f>
        <v/>
      </c>
    </row>
    <row r="1676" customFormat="false" ht="15" hidden="false" customHeight="true" outlineLevel="0" collapsed="false">
      <c r="A1676" s="13" t="str">
        <f aca="false">IF(AND($B1676="",$D1676="",$E1676="",$F1676=""),"",IF(OR($B1676="",$D1676="",$E1676=""),"待补",IF($D1676="公共区域","公",IF($D1676="商铺","S",SUBSTITUTE($D1676,"栋","")))&amp;"-"&amp;$E1676&amp;"-"&amp;TEXT(MONTH($B1676),"00")&amp;TEXT(DAY($B1676),"00")&amp;IF(ISNUMBER($O1676),IF($O1676&gt;1,"-"&amp;TEXT($O1676,"00"),""),"")))</f>
        <v/>
      </c>
      <c r="B1676" s="14"/>
      <c r="C1676" s="10"/>
      <c r="D1676" s="10"/>
      <c r="E1676" s="10"/>
      <c r="F1676" s="16"/>
      <c r="G1676" s="10"/>
      <c r="H1676" s="10"/>
      <c r="I1676" s="10"/>
      <c r="J1676" s="10"/>
      <c r="K1676" s="10"/>
      <c r="L1676" s="10"/>
      <c r="M1676" s="14"/>
      <c r="N1676" s="17" t="str">
        <f aca="false">IF($B1676="","",IF($L1676="已完成",IF($M1676="","",$M1676-$B1676),IF(设置!$B$6&lt;$B1676,"",IF((设置!$B$6-$B1676)&gt;=设置!$B$5,"超期"&amp;(设置!$B$6-$B1676)&amp;"天","已等"&amp;(设置!$B$6-$B1676)&amp;"天"))))</f>
        <v/>
      </c>
      <c r="O1676" s="18" t="str">
        <f aca="false">IF(OR($D1676="",$E1676=""),"",COUNTIFS($D$7:$D1676,$D1676,$E$7:$E1676,$E1676))</f>
        <v/>
      </c>
      <c r="P1676" s="16"/>
      <c r="Q1676" s="19"/>
      <c r="R1676" s="10"/>
      <c r="S1676" s="16"/>
      <c r="T1676" s="0" t="str">
        <f aca="false">IF(OR($D1676="",单元查询!$B$3=""),"",IF($D1676&lt;&gt;单元查询!$B$3,"",IF(OR(单元查询!$D$3="",$E1676&amp;""=单元查询!$D$3&amp;""),IF(ISNUMBER($B1676),$B1676*10000,0)+ROW(),"")))</f>
        <v/>
      </c>
      <c r="U1676" s="0" t="str">
        <f aca="false">IF(OR($B1676="",$L1676="已完成"),"",IF(ISNUMBER($B1676),IF(设置!$B$6&lt;$B1676,"",(设置!$B$6-$B1676)*100000+ROW()),""))</f>
        <v/>
      </c>
      <c r="V1676" s="0" t="str">
        <f aca="false">IF(ISNUMBER($O1676),IF($O1676&gt;=2,IF(COUNTIFS($D1676:$D$2006,$D1676,$E1676:$E$2006,$E1676)=1,ROW(),""),""),"")</f>
        <v/>
      </c>
    </row>
    <row r="1677" customFormat="false" ht="15" hidden="false" customHeight="true" outlineLevel="0" collapsed="false">
      <c r="A1677" s="13" t="str">
        <f aca="false">IF(AND($B1677="",$D1677="",$E1677="",$F1677=""),"",IF(OR($B1677="",$D1677="",$E1677=""),"待补",IF($D1677="公共区域","公",IF($D1677="商铺","S",SUBSTITUTE($D1677,"栋","")))&amp;"-"&amp;$E1677&amp;"-"&amp;TEXT(MONTH($B1677),"00")&amp;TEXT(DAY($B1677),"00")&amp;IF(ISNUMBER($O1677),IF($O1677&gt;1,"-"&amp;TEXT($O1677,"00"),""),"")))</f>
        <v/>
      </c>
      <c r="B1677" s="14"/>
      <c r="C1677" s="10"/>
      <c r="D1677" s="10"/>
      <c r="E1677" s="10"/>
      <c r="F1677" s="16"/>
      <c r="G1677" s="10"/>
      <c r="H1677" s="10"/>
      <c r="I1677" s="10"/>
      <c r="J1677" s="10"/>
      <c r="K1677" s="10"/>
      <c r="L1677" s="10"/>
      <c r="M1677" s="14"/>
      <c r="N1677" s="17" t="str">
        <f aca="false">IF($B1677="","",IF($L1677="已完成",IF($M1677="","",$M1677-$B1677),IF(设置!$B$6&lt;$B1677,"",IF((设置!$B$6-$B1677)&gt;=设置!$B$5,"超期"&amp;(设置!$B$6-$B1677)&amp;"天","已等"&amp;(设置!$B$6-$B1677)&amp;"天"))))</f>
        <v/>
      </c>
      <c r="O1677" s="18" t="str">
        <f aca="false">IF(OR($D1677="",$E1677=""),"",COUNTIFS($D$7:$D1677,$D1677,$E$7:$E1677,$E1677))</f>
        <v/>
      </c>
      <c r="P1677" s="16"/>
      <c r="Q1677" s="19"/>
      <c r="R1677" s="10"/>
      <c r="S1677" s="16"/>
      <c r="T1677" s="0" t="str">
        <f aca="false">IF(OR($D1677="",单元查询!$B$3=""),"",IF($D1677&lt;&gt;单元查询!$B$3,"",IF(OR(单元查询!$D$3="",$E1677&amp;""=单元查询!$D$3&amp;""),IF(ISNUMBER($B1677),$B1677*10000,0)+ROW(),"")))</f>
        <v/>
      </c>
      <c r="U1677" s="0" t="str">
        <f aca="false">IF(OR($B1677="",$L1677="已完成"),"",IF(ISNUMBER($B1677),IF(设置!$B$6&lt;$B1677,"",(设置!$B$6-$B1677)*100000+ROW()),""))</f>
        <v/>
      </c>
      <c r="V1677" s="0" t="str">
        <f aca="false">IF(ISNUMBER($O1677),IF($O1677&gt;=2,IF(COUNTIFS($D1677:$D$2006,$D1677,$E1677:$E$2006,$E1677)=1,ROW(),""),""),"")</f>
        <v/>
      </c>
    </row>
    <row r="1678" customFormat="false" ht="15" hidden="false" customHeight="true" outlineLevel="0" collapsed="false">
      <c r="A1678" s="13" t="str">
        <f aca="false">IF(AND($B1678="",$D1678="",$E1678="",$F1678=""),"",IF(OR($B1678="",$D1678="",$E1678=""),"待补",IF($D1678="公共区域","公",IF($D1678="商铺","S",SUBSTITUTE($D1678,"栋","")))&amp;"-"&amp;$E1678&amp;"-"&amp;TEXT(MONTH($B1678),"00")&amp;TEXT(DAY($B1678),"00")&amp;IF(ISNUMBER($O1678),IF($O1678&gt;1,"-"&amp;TEXT($O1678,"00"),""),"")))</f>
        <v/>
      </c>
      <c r="B1678" s="14"/>
      <c r="C1678" s="10"/>
      <c r="D1678" s="10"/>
      <c r="E1678" s="10"/>
      <c r="F1678" s="16"/>
      <c r="G1678" s="10"/>
      <c r="H1678" s="10"/>
      <c r="I1678" s="10"/>
      <c r="J1678" s="10"/>
      <c r="K1678" s="10"/>
      <c r="L1678" s="10"/>
      <c r="M1678" s="14"/>
      <c r="N1678" s="17" t="str">
        <f aca="false">IF($B1678="","",IF($L1678="已完成",IF($M1678="","",$M1678-$B1678),IF(设置!$B$6&lt;$B1678,"",IF((设置!$B$6-$B1678)&gt;=设置!$B$5,"超期"&amp;(设置!$B$6-$B1678)&amp;"天","已等"&amp;(设置!$B$6-$B1678)&amp;"天"))))</f>
        <v/>
      </c>
      <c r="O1678" s="18" t="str">
        <f aca="false">IF(OR($D1678="",$E1678=""),"",COUNTIFS($D$7:$D1678,$D1678,$E$7:$E1678,$E1678))</f>
        <v/>
      </c>
      <c r="P1678" s="16"/>
      <c r="Q1678" s="19"/>
      <c r="R1678" s="10"/>
      <c r="S1678" s="16"/>
      <c r="T1678" s="0" t="str">
        <f aca="false">IF(OR($D1678="",单元查询!$B$3=""),"",IF($D1678&lt;&gt;单元查询!$B$3,"",IF(OR(单元查询!$D$3="",$E1678&amp;""=单元查询!$D$3&amp;""),IF(ISNUMBER($B1678),$B1678*10000,0)+ROW(),"")))</f>
        <v/>
      </c>
      <c r="U1678" s="0" t="str">
        <f aca="false">IF(OR($B1678="",$L1678="已完成"),"",IF(ISNUMBER($B1678),IF(设置!$B$6&lt;$B1678,"",(设置!$B$6-$B1678)*100000+ROW()),""))</f>
        <v/>
      </c>
      <c r="V1678" s="0" t="str">
        <f aca="false">IF(ISNUMBER($O1678),IF($O1678&gt;=2,IF(COUNTIFS($D1678:$D$2006,$D1678,$E1678:$E$2006,$E1678)=1,ROW(),""),""),"")</f>
        <v/>
      </c>
    </row>
    <row r="1679" customFormat="false" ht="15" hidden="false" customHeight="true" outlineLevel="0" collapsed="false">
      <c r="A1679" s="13" t="str">
        <f aca="false">IF(AND($B1679="",$D1679="",$E1679="",$F1679=""),"",IF(OR($B1679="",$D1679="",$E1679=""),"待补",IF($D1679="公共区域","公",IF($D1679="商铺","S",SUBSTITUTE($D1679,"栋","")))&amp;"-"&amp;$E1679&amp;"-"&amp;TEXT(MONTH($B1679),"00")&amp;TEXT(DAY($B1679),"00")&amp;IF(ISNUMBER($O1679),IF($O1679&gt;1,"-"&amp;TEXT($O1679,"00"),""),"")))</f>
        <v/>
      </c>
      <c r="B1679" s="14"/>
      <c r="C1679" s="10"/>
      <c r="D1679" s="10"/>
      <c r="E1679" s="10"/>
      <c r="F1679" s="16"/>
      <c r="G1679" s="10"/>
      <c r="H1679" s="10"/>
      <c r="I1679" s="10"/>
      <c r="J1679" s="10"/>
      <c r="K1679" s="10"/>
      <c r="L1679" s="10"/>
      <c r="M1679" s="14"/>
      <c r="N1679" s="17" t="str">
        <f aca="false">IF($B1679="","",IF($L1679="已完成",IF($M1679="","",$M1679-$B1679),IF(设置!$B$6&lt;$B1679,"",IF((设置!$B$6-$B1679)&gt;=设置!$B$5,"超期"&amp;(设置!$B$6-$B1679)&amp;"天","已等"&amp;(设置!$B$6-$B1679)&amp;"天"))))</f>
        <v/>
      </c>
      <c r="O1679" s="18" t="str">
        <f aca="false">IF(OR($D1679="",$E1679=""),"",COUNTIFS($D$7:$D1679,$D1679,$E$7:$E1679,$E1679))</f>
        <v/>
      </c>
      <c r="P1679" s="16"/>
      <c r="Q1679" s="19"/>
      <c r="R1679" s="10"/>
      <c r="S1679" s="16"/>
      <c r="T1679" s="0" t="str">
        <f aca="false">IF(OR($D1679="",单元查询!$B$3=""),"",IF($D1679&lt;&gt;单元查询!$B$3,"",IF(OR(单元查询!$D$3="",$E1679&amp;""=单元查询!$D$3&amp;""),IF(ISNUMBER($B1679),$B1679*10000,0)+ROW(),"")))</f>
        <v/>
      </c>
      <c r="U1679" s="0" t="str">
        <f aca="false">IF(OR($B1679="",$L1679="已完成"),"",IF(ISNUMBER($B1679),IF(设置!$B$6&lt;$B1679,"",(设置!$B$6-$B1679)*100000+ROW()),""))</f>
        <v/>
      </c>
      <c r="V1679" s="0" t="str">
        <f aca="false">IF(ISNUMBER($O1679),IF($O1679&gt;=2,IF(COUNTIFS($D1679:$D$2006,$D1679,$E1679:$E$2006,$E1679)=1,ROW(),""),""),"")</f>
        <v/>
      </c>
    </row>
    <row r="1680" customFormat="false" ht="15" hidden="false" customHeight="true" outlineLevel="0" collapsed="false">
      <c r="A1680" s="13" t="str">
        <f aca="false">IF(AND($B1680="",$D1680="",$E1680="",$F1680=""),"",IF(OR($B1680="",$D1680="",$E1680=""),"待补",IF($D1680="公共区域","公",IF($D1680="商铺","S",SUBSTITUTE($D1680,"栋","")))&amp;"-"&amp;$E1680&amp;"-"&amp;TEXT(MONTH($B1680),"00")&amp;TEXT(DAY($B1680),"00")&amp;IF(ISNUMBER($O1680),IF($O1680&gt;1,"-"&amp;TEXT($O1680,"00"),""),"")))</f>
        <v/>
      </c>
      <c r="B1680" s="14"/>
      <c r="C1680" s="10"/>
      <c r="D1680" s="10"/>
      <c r="E1680" s="10"/>
      <c r="F1680" s="16"/>
      <c r="G1680" s="10"/>
      <c r="H1680" s="10"/>
      <c r="I1680" s="10"/>
      <c r="J1680" s="10"/>
      <c r="K1680" s="10"/>
      <c r="L1680" s="10"/>
      <c r="M1680" s="14"/>
      <c r="N1680" s="17" t="str">
        <f aca="false">IF($B1680="","",IF($L1680="已完成",IF($M1680="","",$M1680-$B1680),IF(设置!$B$6&lt;$B1680,"",IF((设置!$B$6-$B1680)&gt;=设置!$B$5,"超期"&amp;(设置!$B$6-$B1680)&amp;"天","已等"&amp;(设置!$B$6-$B1680)&amp;"天"))))</f>
        <v/>
      </c>
      <c r="O1680" s="18" t="str">
        <f aca="false">IF(OR($D1680="",$E1680=""),"",COUNTIFS($D$7:$D1680,$D1680,$E$7:$E1680,$E1680))</f>
        <v/>
      </c>
      <c r="P1680" s="16"/>
      <c r="Q1680" s="19"/>
      <c r="R1680" s="10"/>
      <c r="S1680" s="16"/>
      <c r="T1680" s="0" t="str">
        <f aca="false">IF(OR($D1680="",单元查询!$B$3=""),"",IF($D1680&lt;&gt;单元查询!$B$3,"",IF(OR(单元查询!$D$3="",$E1680&amp;""=单元查询!$D$3&amp;""),IF(ISNUMBER($B1680),$B1680*10000,0)+ROW(),"")))</f>
        <v/>
      </c>
      <c r="U1680" s="0" t="str">
        <f aca="false">IF(OR($B1680="",$L1680="已完成"),"",IF(ISNUMBER($B1680),IF(设置!$B$6&lt;$B1680,"",(设置!$B$6-$B1680)*100000+ROW()),""))</f>
        <v/>
      </c>
      <c r="V1680" s="0" t="str">
        <f aca="false">IF(ISNUMBER($O1680),IF($O1680&gt;=2,IF(COUNTIFS($D1680:$D$2006,$D1680,$E1680:$E$2006,$E1680)=1,ROW(),""),""),"")</f>
        <v/>
      </c>
    </row>
    <row r="1681" customFormat="false" ht="15" hidden="false" customHeight="true" outlineLevel="0" collapsed="false">
      <c r="A1681" s="13" t="str">
        <f aca="false">IF(AND($B1681="",$D1681="",$E1681="",$F1681=""),"",IF(OR($B1681="",$D1681="",$E1681=""),"待补",IF($D1681="公共区域","公",IF($D1681="商铺","S",SUBSTITUTE($D1681,"栋","")))&amp;"-"&amp;$E1681&amp;"-"&amp;TEXT(MONTH($B1681),"00")&amp;TEXT(DAY($B1681),"00")&amp;IF(ISNUMBER($O1681),IF($O1681&gt;1,"-"&amp;TEXT($O1681,"00"),""),"")))</f>
        <v/>
      </c>
      <c r="B1681" s="14"/>
      <c r="C1681" s="10"/>
      <c r="D1681" s="10"/>
      <c r="E1681" s="10"/>
      <c r="F1681" s="16"/>
      <c r="G1681" s="10"/>
      <c r="H1681" s="10"/>
      <c r="I1681" s="10"/>
      <c r="J1681" s="10"/>
      <c r="K1681" s="10"/>
      <c r="L1681" s="10"/>
      <c r="M1681" s="14"/>
      <c r="N1681" s="17" t="str">
        <f aca="false">IF($B1681="","",IF($L1681="已完成",IF($M1681="","",$M1681-$B1681),IF(设置!$B$6&lt;$B1681,"",IF((设置!$B$6-$B1681)&gt;=设置!$B$5,"超期"&amp;(设置!$B$6-$B1681)&amp;"天","已等"&amp;(设置!$B$6-$B1681)&amp;"天"))))</f>
        <v/>
      </c>
      <c r="O1681" s="18" t="str">
        <f aca="false">IF(OR($D1681="",$E1681=""),"",COUNTIFS($D$7:$D1681,$D1681,$E$7:$E1681,$E1681))</f>
        <v/>
      </c>
      <c r="P1681" s="16"/>
      <c r="Q1681" s="19"/>
      <c r="R1681" s="10"/>
      <c r="S1681" s="16"/>
      <c r="T1681" s="0" t="str">
        <f aca="false">IF(OR($D1681="",单元查询!$B$3=""),"",IF($D1681&lt;&gt;单元查询!$B$3,"",IF(OR(单元查询!$D$3="",$E1681&amp;""=单元查询!$D$3&amp;""),IF(ISNUMBER($B1681),$B1681*10000,0)+ROW(),"")))</f>
        <v/>
      </c>
      <c r="U1681" s="0" t="str">
        <f aca="false">IF(OR($B1681="",$L1681="已完成"),"",IF(ISNUMBER($B1681),IF(设置!$B$6&lt;$B1681,"",(设置!$B$6-$B1681)*100000+ROW()),""))</f>
        <v/>
      </c>
      <c r="V1681" s="0" t="str">
        <f aca="false">IF(ISNUMBER($O1681),IF($O1681&gt;=2,IF(COUNTIFS($D1681:$D$2006,$D1681,$E1681:$E$2006,$E1681)=1,ROW(),""),""),"")</f>
        <v/>
      </c>
    </row>
    <row r="1682" customFormat="false" ht="15" hidden="false" customHeight="true" outlineLevel="0" collapsed="false">
      <c r="A1682" s="13" t="str">
        <f aca="false">IF(AND($B1682="",$D1682="",$E1682="",$F1682=""),"",IF(OR($B1682="",$D1682="",$E1682=""),"待补",IF($D1682="公共区域","公",IF($D1682="商铺","S",SUBSTITUTE($D1682,"栋","")))&amp;"-"&amp;$E1682&amp;"-"&amp;TEXT(MONTH($B1682),"00")&amp;TEXT(DAY($B1682),"00")&amp;IF(ISNUMBER($O1682),IF($O1682&gt;1,"-"&amp;TEXT($O1682,"00"),""),"")))</f>
        <v/>
      </c>
      <c r="B1682" s="14"/>
      <c r="C1682" s="10"/>
      <c r="D1682" s="10"/>
      <c r="E1682" s="10"/>
      <c r="F1682" s="16"/>
      <c r="G1682" s="10"/>
      <c r="H1682" s="10"/>
      <c r="I1682" s="10"/>
      <c r="J1682" s="10"/>
      <c r="K1682" s="10"/>
      <c r="L1682" s="10"/>
      <c r="M1682" s="14"/>
      <c r="N1682" s="17" t="str">
        <f aca="false">IF($B1682="","",IF($L1682="已完成",IF($M1682="","",$M1682-$B1682),IF(设置!$B$6&lt;$B1682,"",IF((设置!$B$6-$B1682)&gt;=设置!$B$5,"超期"&amp;(设置!$B$6-$B1682)&amp;"天","已等"&amp;(设置!$B$6-$B1682)&amp;"天"))))</f>
        <v/>
      </c>
      <c r="O1682" s="18" t="str">
        <f aca="false">IF(OR($D1682="",$E1682=""),"",COUNTIFS($D$7:$D1682,$D1682,$E$7:$E1682,$E1682))</f>
        <v/>
      </c>
      <c r="P1682" s="16"/>
      <c r="Q1682" s="19"/>
      <c r="R1682" s="10"/>
      <c r="S1682" s="16"/>
      <c r="T1682" s="0" t="str">
        <f aca="false">IF(OR($D1682="",单元查询!$B$3=""),"",IF($D1682&lt;&gt;单元查询!$B$3,"",IF(OR(单元查询!$D$3="",$E1682&amp;""=单元查询!$D$3&amp;""),IF(ISNUMBER($B1682),$B1682*10000,0)+ROW(),"")))</f>
        <v/>
      </c>
      <c r="U1682" s="0" t="str">
        <f aca="false">IF(OR($B1682="",$L1682="已完成"),"",IF(ISNUMBER($B1682),IF(设置!$B$6&lt;$B1682,"",(设置!$B$6-$B1682)*100000+ROW()),""))</f>
        <v/>
      </c>
      <c r="V1682" s="0" t="str">
        <f aca="false">IF(ISNUMBER($O1682),IF($O1682&gt;=2,IF(COUNTIFS($D1682:$D$2006,$D1682,$E1682:$E$2006,$E1682)=1,ROW(),""),""),"")</f>
        <v/>
      </c>
    </row>
    <row r="1683" customFormat="false" ht="15" hidden="false" customHeight="true" outlineLevel="0" collapsed="false">
      <c r="A1683" s="13" t="str">
        <f aca="false">IF(AND($B1683="",$D1683="",$E1683="",$F1683=""),"",IF(OR($B1683="",$D1683="",$E1683=""),"待补",IF($D1683="公共区域","公",IF($D1683="商铺","S",SUBSTITUTE($D1683,"栋","")))&amp;"-"&amp;$E1683&amp;"-"&amp;TEXT(MONTH($B1683),"00")&amp;TEXT(DAY($B1683),"00")&amp;IF(ISNUMBER($O1683),IF($O1683&gt;1,"-"&amp;TEXT($O1683,"00"),""),"")))</f>
        <v/>
      </c>
      <c r="B1683" s="14"/>
      <c r="C1683" s="10"/>
      <c r="D1683" s="10"/>
      <c r="E1683" s="10"/>
      <c r="F1683" s="16"/>
      <c r="G1683" s="10"/>
      <c r="H1683" s="10"/>
      <c r="I1683" s="10"/>
      <c r="J1683" s="10"/>
      <c r="K1683" s="10"/>
      <c r="L1683" s="10"/>
      <c r="M1683" s="14"/>
      <c r="N1683" s="17" t="str">
        <f aca="false">IF($B1683="","",IF($L1683="已完成",IF($M1683="","",$M1683-$B1683),IF(设置!$B$6&lt;$B1683,"",IF((设置!$B$6-$B1683)&gt;=设置!$B$5,"超期"&amp;(设置!$B$6-$B1683)&amp;"天","已等"&amp;(设置!$B$6-$B1683)&amp;"天"))))</f>
        <v/>
      </c>
      <c r="O1683" s="18" t="str">
        <f aca="false">IF(OR($D1683="",$E1683=""),"",COUNTIFS($D$7:$D1683,$D1683,$E$7:$E1683,$E1683))</f>
        <v/>
      </c>
      <c r="P1683" s="16"/>
      <c r="Q1683" s="19"/>
      <c r="R1683" s="10"/>
      <c r="S1683" s="16"/>
      <c r="T1683" s="0" t="str">
        <f aca="false">IF(OR($D1683="",单元查询!$B$3=""),"",IF($D1683&lt;&gt;单元查询!$B$3,"",IF(OR(单元查询!$D$3="",$E1683&amp;""=单元查询!$D$3&amp;""),IF(ISNUMBER($B1683),$B1683*10000,0)+ROW(),"")))</f>
        <v/>
      </c>
      <c r="U1683" s="0" t="str">
        <f aca="false">IF(OR($B1683="",$L1683="已完成"),"",IF(ISNUMBER($B1683),IF(设置!$B$6&lt;$B1683,"",(设置!$B$6-$B1683)*100000+ROW()),""))</f>
        <v/>
      </c>
      <c r="V1683" s="0" t="str">
        <f aca="false">IF(ISNUMBER($O1683),IF($O1683&gt;=2,IF(COUNTIFS($D1683:$D$2006,$D1683,$E1683:$E$2006,$E1683)=1,ROW(),""),""),"")</f>
        <v/>
      </c>
    </row>
    <row r="1684" customFormat="false" ht="15" hidden="false" customHeight="true" outlineLevel="0" collapsed="false">
      <c r="A1684" s="13" t="str">
        <f aca="false">IF(AND($B1684="",$D1684="",$E1684="",$F1684=""),"",IF(OR($B1684="",$D1684="",$E1684=""),"待补",IF($D1684="公共区域","公",IF($D1684="商铺","S",SUBSTITUTE($D1684,"栋","")))&amp;"-"&amp;$E1684&amp;"-"&amp;TEXT(MONTH($B1684),"00")&amp;TEXT(DAY($B1684),"00")&amp;IF(ISNUMBER($O1684),IF($O1684&gt;1,"-"&amp;TEXT($O1684,"00"),""),"")))</f>
        <v/>
      </c>
      <c r="B1684" s="14"/>
      <c r="C1684" s="10"/>
      <c r="D1684" s="10"/>
      <c r="E1684" s="10"/>
      <c r="F1684" s="16"/>
      <c r="G1684" s="10"/>
      <c r="H1684" s="10"/>
      <c r="I1684" s="10"/>
      <c r="J1684" s="10"/>
      <c r="K1684" s="10"/>
      <c r="L1684" s="10"/>
      <c r="M1684" s="14"/>
      <c r="N1684" s="17" t="str">
        <f aca="false">IF($B1684="","",IF($L1684="已完成",IF($M1684="","",$M1684-$B1684),IF(设置!$B$6&lt;$B1684,"",IF((设置!$B$6-$B1684)&gt;=设置!$B$5,"超期"&amp;(设置!$B$6-$B1684)&amp;"天","已等"&amp;(设置!$B$6-$B1684)&amp;"天"))))</f>
        <v/>
      </c>
      <c r="O1684" s="18" t="str">
        <f aca="false">IF(OR($D1684="",$E1684=""),"",COUNTIFS($D$7:$D1684,$D1684,$E$7:$E1684,$E1684))</f>
        <v/>
      </c>
      <c r="P1684" s="16"/>
      <c r="Q1684" s="19"/>
      <c r="R1684" s="10"/>
      <c r="S1684" s="16"/>
      <c r="T1684" s="0" t="str">
        <f aca="false">IF(OR($D1684="",单元查询!$B$3=""),"",IF($D1684&lt;&gt;单元查询!$B$3,"",IF(OR(单元查询!$D$3="",$E1684&amp;""=单元查询!$D$3&amp;""),IF(ISNUMBER($B1684),$B1684*10000,0)+ROW(),"")))</f>
        <v/>
      </c>
      <c r="U1684" s="0" t="str">
        <f aca="false">IF(OR($B1684="",$L1684="已完成"),"",IF(ISNUMBER($B1684),IF(设置!$B$6&lt;$B1684,"",(设置!$B$6-$B1684)*100000+ROW()),""))</f>
        <v/>
      </c>
      <c r="V1684" s="0" t="str">
        <f aca="false">IF(ISNUMBER($O1684),IF($O1684&gt;=2,IF(COUNTIFS($D1684:$D$2006,$D1684,$E1684:$E$2006,$E1684)=1,ROW(),""),""),"")</f>
        <v/>
      </c>
    </row>
    <row r="1685" customFormat="false" ht="15" hidden="false" customHeight="true" outlineLevel="0" collapsed="false">
      <c r="A1685" s="13" t="str">
        <f aca="false">IF(AND($B1685="",$D1685="",$E1685="",$F1685=""),"",IF(OR($B1685="",$D1685="",$E1685=""),"待补",IF($D1685="公共区域","公",IF($D1685="商铺","S",SUBSTITUTE($D1685,"栋","")))&amp;"-"&amp;$E1685&amp;"-"&amp;TEXT(MONTH($B1685),"00")&amp;TEXT(DAY($B1685),"00")&amp;IF(ISNUMBER($O1685),IF($O1685&gt;1,"-"&amp;TEXT($O1685,"00"),""),"")))</f>
        <v/>
      </c>
      <c r="B1685" s="14"/>
      <c r="C1685" s="10"/>
      <c r="D1685" s="10"/>
      <c r="E1685" s="10"/>
      <c r="F1685" s="16"/>
      <c r="G1685" s="10"/>
      <c r="H1685" s="10"/>
      <c r="I1685" s="10"/>
      <c r="J1685" s="10"/>
      <c r="K1685" s="10"/>
      <c r="L1685" s="10"/>
      <c r="M1685" s="14"/>
      <c r="N1685" s="17" t="str">
        <f aca="false">IF($B1685="","",IF($L1685="已完成",IF($M1685="","",$M1685-$B1685),IF(设置!$B$6&lt;$B1685,"",IF((设置!$B$6-$B1685)&gt;=设置!$B$5,"超期"&amp;(设置!$B$6-$B1685)&amp;"天","已等"&amp;(设置!$B$6-$B1685)&amp;"天"))))</f>
        <v/>
      </c>
      <c r="O1685" s="18" t="str">
        <f aca="false">IF(OR($D1685="",$E1685=""),"",COUNTIFS($D$7:$D1685,$D1685,$E$7:$E1685,$E1685))</f>
        <v/>
      </c>
      <c r="P1685" s="16"/>
      <c r="Q1685" s="19"/>
      <c r="R1685" s="10"/>
      <c r="S1685" s="16"/>
      <c r="T1685" s="0" t="str">
        <f aca="false">IF(OR($D1685="",单元查询!$B$3=""),"",IF($D1685&lt;&gt;单元查询!$B$3,"",IF(OR(单元查询!$D$3="",$E1685&amp;""=单元查询!$D$3&amp;""),IF(ISNUMBER($B1685),$B1685*10000,0)+ROW(),"")))</f>
        <v/>
      </c>
      <c r="U1685" s="0" t="str">
        <f aca="false">IF(OR($B1685="",$L1685="已完成"),"",IF(ISNUMBER($B1685),IF(设置!$B$6&lt;$B1685,"",(设置!$B$6-$B1685)*100000+ROW()),""))</f>
        <v/>
      </c>
      <c r="V1685" s="0" t="str">
        <f aca="false">IF(ISNUMBER($O1685),IF($O1685&gt;=2,IF(COUNTIFS($D1685:$D$2006,$D1685,$E1685:$E$2006,$E1685)=1,ROW(),""),""),"")</f>
        <v/>
      </c>
    </row>
    <row r="1686" customFormat="false" ht="15" hidden="false" customHeight="true" outlineLevel="0" collapsed="false">
      <c r="A1686" s="13" t="str">
        <f aca="false">IF(AND($B1686="",$D1686="",$E1686="",$F1686=""),"",IF(OR($B1686="",$D1686="",$E1686=""),"待补",IF($D1686="公共区域","公",IF($D1686="商铺","S",SUBSTITUTE($D1686,"栋","")))&amp;"-"&amp;$E1686&amp;"-"&amp;TEXT(MONTH($B1686),"00")&amp;TEXT(DAY($B1686),"00")&amp;IF(ISNUMBER($O1686),IF($O1686&gt;1,"-"&amp;TEXT($O1686,"00"),""),"")))</f>
        <v/>
      </c>
      <c r="B1686" s="14"/>
      <c r="C1686" s="10"/>
      <c r="D1686" s="10"/>
      <c r="E1686" s="10"/>
      <c r="F1686" s="16"/>
      <c r="G1686" s="10"/>
      <c r="H1686" s="10"/>
      <c r="I1686" s="10"/>
      <c r="J1686" s="10"/>
      <c r="K1686" s="10"/>
      <c r="L1686" s="10"/>
      <c r="M1686" s="14"/>
      <c r="N1686" s="17" t="str">
        <f aca="false">IF($B1686="","",IF($L1686="已完成",IF($M1686="","",$M1686-$B1686),IF(设置!$B$6&lt;$B1686,"",IF((设置!$B$6-$B1686)&gt;=设置!$B$5,"超期"&amp;(设置!$B$6-$B1686)&amp;"天","已等"&amp;(设置!$B$6-$B1686)&amp;"天"))))</f>
        <v/>
      </c>
      <c r="O1686" s="18" t="str">
        <f aca="false">IF(OR($D1686="",$E1686=""),"",COUNTIFS($D$7:$D1686,$D1686,$E$7:$E1686,$E1686))</f>
        <v/>
      </c>
      <c r="P1686" s="16"/>
      <c r="Q1686" s="19"/>
      <c r="R1686" s="10"/>
      <c r="S1686" s="16"/>
      <c r="T1686" s="0" t="str">
        <f aca="false">IF(OR($D1686="",单元查询!$B$3=""),"",IF($D1686&lt;&gt;单元查询!$B$3,"",IF(OR(单元查询!$D$3="",$E1686&amp;""=单元查询!$D$3&amp;""),IF(ISNUMBER($B1686),$B1686*10000,0)+ROW(),"")))</f>
        <v/>
      </c>
      <c r="U1686" s="0" t="str">
        <f aca="false">IF(OR($B1686="",$L1686="已完成"),"",IF(ISNUMBER($B1686),IF(设置!$B$6&lt;$B1686,"",(设置!$B$6-$B1686)*100000+ROW()),""))</f>
        <v/>
      </c>
      <c r="V1686" s="0" t="str">
        <f aca="false">IF(ISNUMBER($O1686),IF($O1686&gt;=2,IF(COUNTIFS($D1686:$D$2006,$D1686,$E1686:$E$2006,$E1686)=1,ROW(),""),""),"")</f>
        <v/>
      </c>
    </row>
    <row r="1687" customFormat="false" ht="15" hidden="false" customHeight="true" outlineLevel="0" collapsed="false">
      <c r="A1687" s="13" t="str">
        <f aca="false">IF(AND($B1687="",$D1687="",$E1687="",$F1687=""),"",IF(OR($B1687="",$D1687="",$E1687=""),"待补",IF($D1687="公共区域","公",IF($D1687="商铺","S",SUBSTITUTE($D1687,"栋","")))&amp;"-"&amp;$E1687&amp;"-"&amp;TEXT(MONTH($B1687),"00")&amp;TEXT(DAY($B1687),"00")&amp;IF(ISNUMBER($O1687),IF($O1687&gt;1,"-"&amp;TEXT($O1687,"00"),""),"")))</f>
        <v/>
      </c>
      <c r="B1687" s="14"/>
      <c r="C1687" s="10"/>
      <c r="D1687" s="10"/>
      <c r="E1687" s="10"/>
      <c r="F1687" s="16"/>
      <c r="G1687" s="10"/>
      <c r="H1687" s="10"/>
      <c r="I1687" s="10"/>
      <c r="J1687" s="10"/>
      <c r="K1687" s="10"/>
      <c r="L1687" s="10"/>
      <c r="M1687" s="14"/>
      <c r="N1687" s="17" t="str">
        <f aca="false">IF($B1687="","",IF($L1687="已完成",IF($M1687="","",$M1687-$B1687),IF(设置!$B$6&lt;$B1687,"",IF((设置!$B$6-$B1687)&gt;=设置!$B$5,"超期"&amp;(设置!$B$6-$B1687)&amp;"天","已等"&amp;(设置!$B$6-$B1687)&amp;"天"))))</f>
        <v/>
      </c>
      <c r="O1687" s="18" t="str">
        <f aca="false">IF(OR($D1687="",$E1687=""),"",COUNTIFS($D$7:$D1687,$D1687,$E$7:$E1687,$E1687))</f>
        <v/>
      </c>
      <c r="P1687" s="16"/>
      <c r="Q1687" s="19"/>
      <c r="R1687" s="10"/>
      <c r="S1687" s="16"/>
      <c r="T1687" s="0" t="str">
        <f aca="false">IF(OR($D1687="",单元查询!$B$3=""),"",IF($D1687&lt;&gt;单元查询!$B$3,"",IF(OR(单元查询!$D$3="",$E1687&amp;""=单元查询!$D$3&amp;""),IF(ISNUMBER($B1687),$B1687*10000,0)+ROW(),"")))</f>
        <v/>
      </c>
      <c r="U1687" s="0" t="str">
        <f aca="false">IF(OR($B1687="",$L1687="已完成"),"",IF(ISNUMBER($B1687),IF(设置!$B$6&lt;$B1687,"",(设置!$B$6-$B1687)*100000+ROW()),""))</f>
        <v/>
      </c>
      <c r="V1687" s="0" t="str">
        <f aca="false">IF(ISNUMBER($O1687),IF($O1687&gt;=2,IF(COUNTIFS($D1687:$D$2006,$D1687,$E1687:$E$2006,$E1687)=1,ROW(),""),""),"")</f>
        <v/>
      </c>
    </row>
    <row r="1688" customFormat="false" ht="15" hidden="false" customHeight="true" outlineLevel="0" collapsed="false">
      <c r="A1688" s="13" t="str">
        <f aca="false">IF(AND($B1688="",$D1688="",$E1688="",$F1688=""),"",IF(OR($B1688="",$D1688="",$E1688=""),"待补",IF($D1688="公共区域","公",IF($D1688="商铺","S",SUBSTITUTE($D1688,"栋","")))&amp;"-"&amp;$E1688&amp;"-"&amp;TEXT(MONTH($B1688),"00")&amp;TEXT(DAY($B1688),"00")&amp;IF(ISNUMBER($O1688),IF($O1688&gt;1,"-"&amp;TEXT($O1688,"00"),""),"")))</f>
        <v/>
      </c>
      <c r="B1688" s="14"/>
      <c r="C1688" s="10"/>
      <c r="D1688" s="10"/>
      <c r="E1688" s="10"/>
      <c r="F1688" s="16"/>
      <c r="G1688" s="10"/>
      <c r="H1688" s="10"/>
      <c r="I1688" s="10"/>
      <c r="J1688" s="10"/>
      <c r="K1688" s="10"/>
      <c r="L1688" s="10"/>
      <c r="M1688" s="14"/>
      <c r="N1688" s="17" t="str">
        <f aca="false">IF($B1688="","",IF($L1688="已完成",IF($M1688="","",$M1688-$B1688),IF(设置!$B$6&lt;$B1688,"",IF((设置!$B$6-$B1688)&gt;=设置!$B$5,"超期"&amp;(设置!$B$6-$B1688)&amp;"天","已等"&amp;(设置!$B$6-$B1688)&amp;"天"))))</f>
        <v/>
      </c>
      <c r="O1688" s="18" t="str">
        <f aca="false">IF(OR($D1688="",$E1688=""),"",COUNTIFS($D$7:$D1688,$D1688,$E$7:$E1688,$E1688))</f>
        <v/>
      </c>
      <c r="P1688" s="16"/>
      <c r="Q1688" s="19"/>
      <c r="R1688" s="10"/>
      <c r="S1688" s="16"/>
      <c r="T1688" s="0" t="str">
        <f aca="false">IF(OR($D1688="",单元查询!$B$3=""),"",IF($D1688&lt;&gt;单元查询!$B$3,"",IF(OR(单元查询!$D$3="",$E1688&amp;""=单元查询!$D$3&amp;""),IF(ISNUMBER($B1688),$B1688*10000,0)+ROW(),"")))</f>
        <v/>
      </c>
      <c r="U1688" s="0" t="str">
        <f aca="false">IF(OR($B1688="",$L1688="已完成"),"",IF(ISNUMBER($B1688),IF(设置!$B$6&lt;$B1688,"",(设置!$B$6-$B1688)*100000+ROW()),""))</f>
        <v/>
      </c>
      <c r="V1688" s="0" t="str">
        <f aca="false">IF(ISNUMBER($O1688),IF($O1688&gt;=2,IF(COUNTIFS($D1688:$D$2006,$D1688,$E1688:$E$2006,$E1688)=1,ROW(),""),""),"")</f>
        <v/>
      </c>
    </row>
    <row r="1689" customFormat="false" ht="15" hidden="false" customHeight="true" outlineLevel="0" collapsed="false">
      <c r="A1689" s="13" t="str">
        <f aca="false">IF(AND($B1689="",$D1689="",$E1689="",$F1689=""),"",IF(OR($B1689="",$D1689="",$E1689=""),"待补",IF($D1689="公共区域","公",IF($D1689="商铺","S",SUBSTITUTE($D1689,"栋","")))&amp;"-"&amp;$E1689&amp;"-"&amp;TEXT(MONTH($B1689),"00")&amp;TEXT(DAY($B1689),"00")&amp;IF(ISNUMBER($O1689),IF($O1689&gt;1,"-"&amp;TEXT($O1689,"00"),""),"")))</f>
        <v/>
      </c>
      <c r="B1689" s="14"/>
      <c r="C1689" s="10"/>
      <c r="D1689" s="10"/>
      <c r="E1689" s="10"/>
      <c r="F1689" s="16"/>
      <c r="G1689" s="10"/>
      <c r="H1689" s="10"/>
      <c r="I1689" s="10"/>
      <c r="J1689" s="10"/>
      <c r="K1689" s="10"/>
      <c r="L1689" s="10"/>
      <c r="M1689" s="14"/>
      <c r="N1689" s="17" t="str">
        <f aca="false">IF($B1689="","",IF($L1689="已完成",IF($M1689="","",$M1689-$B1689),IF(设置!$B$6&lt;$B1689,"",IF((设置!$B$6-$B1689)&gt;=设置!$B$5,"超期"&amp;(设置!$B$6-$B1689)&amp;"天","已等"&amp;(设置!$B$6-$B1689)&amp;"天"))))</f>
        <v/>
      </c>
      <c r="O1689" s="18" t="str">
        <f aca="false">IF(OR($D1689="",$E1689=""),"",COUNTIFS($D$7:$D1689,$D1689,$E$7:$E1689,$E1689))</f>
        <v/>
      </c>
      <c r="P1689" s="16"/>
      <c r="Q1689" s="19"/>
      <c r="R1689" s="10"/>
      <c r="S1689" s="16"/>
      <c r="T1689" s="0" t="str">
        <f aca="false">IF(OR($D1689="",单元查询!$B$3=""),"",IF($D1689&lt;&gt;单元查询!$B$3,"",IF(OR(单元查询!$D$3="",$E1689&amp;""=单元查询!$D$3&amp;""),IF(ISNUMBER($B1689),$B1689*10000,0)+ROW(),"")))</f>
        <v/>
      </c>
      <c r="U1689" s="0" t="str">
        <f aca="false">IF(OR($B1689="",$L1689="已完成"),"",IF(ISNUMBER($B1689),IF(设置!$B$6&lt;$B1689,"",(设置!$B$6-$B1689)*100000+ROW()),""))</f>
        <v/>
      </c>
      <c r="V1689" s="0" t="str">
        <f aca="false">IF(ISNUMBER($O1689),IF($O1689&gt;=2,IF(COUNTIFS($D1689:$D$2006,$D1689,$E1689:$E$2006,$E1689)=1,ROW(),""),""),"")</f>
        <v/>
      </c>
    </row>
    <row r="1690" customFormat="false" ht="15" hidden="false" customHeight="true" outlineLevel="0" collapsed="false">
      <c r="A1690" s="13" t="str">
        <f aca="false">IF(AND($B1690="",$D1690="",$E1690="",$F1690=""),"",IF(OR($B1690="",$D1690="",$E1690=""),"待补",IF($D1690="公共区域","公",IF($D1690="商铺","S",SUBSTITUTE($D1690,"栋","")))&amp;"-"&amp;$E1690&amp;"-"&amp;TEXT(MONTH($B1690),"00")&amp;TEXT(DAY($B1690),"00")&amp;IF(ISNUMBER($O1690),IF($O1690&gt;1,"-"&amp;TEXT($O1690,"00"),""),"")))</f>
        <v/>
      </c>
      <c r="B1690" s="14"/>
      <c r="C1690" s="10"/>
      <c r="D1690" s="10"/>
      <c r="E1690" s="10"/>
      <c r="F1690" s="16"/>
      <c r="G1690" s="10"/>
      <c r="H1690" s="10"/>
      <c r="I1690" s="10"/>
      <c r="J1690" s="10"/>
      <c r="K1690" s="10"/>
      <c r="L1690" s="10"/>
      <c r="M1690" s="14"/>
      <c r="N1690" s="17" t="str">
        <f aca="false">IF($B1690="","",IF($L1690="已完成",IF($M1690="","",$M1690-$B1690),IF(设置!$B$6&lt;$B1690,"",IF((设置!$B$6-$B1690)&gt;=设置!$B$5,"超期"&amp;(设置!$B$6-$B1690)&amp;"天","已等"&amp;(设置!$B$6-$B1690)&amp;"天"))))</f>
        <v/>
      </c>
      <c r="O1690" s="18" t="str">
        <f aca="false">IF(OR($D1690="",$E1690=""),"",COUNTIFS($D$7:$D1690,$D1690,$E$7:$E1690,$E1690))</f>
        <v/>
      </c>
      <c r="P1690" s="16"/>
      <c r="Q1690" s="19"/>
      <c r="R1690" s="10"/>
      <c r="S1690" s="16"/>
      <c r="T1690" s="0" t="str">
        <f aca="false">IF(OR($D1690="",单元查询!$B$3=""),"",IF($D1690&lt;&gt;单元查询!$B$3,"",IF(OR(单元查询!$D$3="",$E1690&amp;""=单元查询!$D$3&amp;""),IF(ISNUMBER($B1690),$B1690*10000,0)+ROW(),"")))</f>
        <v/>
      </c>
      <c r="U1690" s="0" t="str">
        <f aca="false">IF(OR($B1690="",$L1690="已完成"),"",IF(ISNUMBER($B1690),IF(设置!$B$6&lt;$B1690,"",(设置!$B$6-$B1690)*100000+ROW()),""))</f>
        <v/>
      </c>
      <c r="V1690" s="0" t="str">
        <f aca="false">IF(ISNUMBER($O1690),IF($O1690&gt;=2,IF(COUNTIFS($D1690:$D$2006,$D1690,$E1690:$E$2006,$E1690)=1,ROW(),""),""),"")</f>
        <v/>
      </c>
    </row>
    <row r="1691" customFormat="false" ht="15" hidden="false" customHeight="true" outlineLevel="0" collapsed="false">
      <c r="A1691" s="13" t="str">
        <f aca="false">IF(AND($B1691="",$D1691="",$E1691="",$F1691=""),"",IF(OR($B1691="",$D1691="",$E1691=""),"待补",IF($D1691="公共区域","公",IF($D1691="商铺","S",SUBSTITUTE($D1691,"栋","")))&amp;"-"&amp;$E1691&amp;"-"&amp;TEXT(MONTH($B1691),"00")&amp;TEXT(DAY($B1691),"00")&amp;IF(ISNUMBER($O1691),IF($O1691&gt;1,"-"&amp;TEXT($O1691,"00"),""),"")))</f>
        <v/>
      </c>
      <c r="B1691" s="14"/>
      <c r="C1691" s="10"/>
      <c r="D1691" s="10"/>
      <c r="E1691" s="10"/>
      <c r="F1691" s="16"/>
      <c r="G1691" s="10"/>
      <c r="H1691" s="10"/>
      <c r="I1691" s="10"/>
      <c r="J1691" s="10"/>
      <c r="K1691" s="10"/>
      <c r="L1691" s="10"/>
      <c r="M1691" s="14"/>
      <c r="N1691" s="17" t="str">
        <f aca="false">IF($B1691="","",IF($L1691="已完成",IF($M1691="","",$M1691-$B1691),IF(设置!$B$6&lt;$B1691,"",IF((设置!$B$6-$B1691)&gt;=设置!$B$5,"超期"&amp;(设置!$B$6-$B1691)&amp;"天","已等"&amp;(设置!$B$6-$B1691)&amp;"天"))))</f>
        <v/>
      </c>
      <c r="O1691" s="18" t="str">
        <f aca="false">IF(OR($D1691="",$E1691=""),"",COUNTIFS($D$7:$D1691,$D1691,$E$7:$E1691,$E1691))</f>
        <v/>
      </c>
      <c r="P1691" s="16"/>
      <c r="Q1691" s="19"/>
      <c r="R1691" s="10"/>
      <c r="S1691" s="16"/>
      <c r="T1691" s="0" t="str">
        <f aca="false">IF(OR($D1691="",单元查询!$B$3=""),"",IF($D1691&lt;&gt;单元查询!$B$3,"",IF(OR(单元查询!$D$3="",$E1691&amp;""=单元查询!$D$3&amp;""),IF(ISNUMBER($B1691),$B1691*10000,0)+ROW(),"")))</f>
        <v/>
      </c>
      <c r="U1691" s="0" t="str">
        <f aca="false">IF(OR($B1691="",$L1691="已完成"),"",IF(ISNUMBER($B1691),IF(设置!$B$6&lt;$B1691,"",(设置!$B$6-$B1691)*100000+ROW()),""))</f>
        <v/>
      </c>
      <c r="V1691" s="0" t="str">
        <f aca="false">IF(ISNUMBER($O1691),IF($O1691&gt;=2,IF(COUNTIFS($D1691:$D$2006,$D1691,$E1691:$E$2006,$E1691)=1,ROW(),""),""),"")</f>
        <v/>
      </c>
    </row>
    <row r="1692" customFormat="false" ht="15" hidden="false" customHeight="true" outlineLevel="0" collapsed="false">
      <c r="A1692" s="13" t="str">
        <f aca="false">IF(AND($B1692="",$D1692="",$E1692="",$F1692=""),"",IF(OR($B1692="",$D1692="",$E1692=""),"待补",IF($D1692="公共区域","公",IF($D1692="商铺","S",SUBSTITUTE($D1692,"栋","")))&amp;"-"&amp;$E1692&amp;"-"&amp;TEXT(MONTH($B1692),"00")&amp;TEXT(DAY($B1692),"00")&amp;IF(ISNUMBER($O1692),IF($O1692&gt;1,"-"&amp;TEXT($O1692,"00"),""),"")))</f>
        <v/>
      </c>
      <c r="B1692" s="14"/>
      <c r="C1692" s="10"/>
      <c r="D1692" s="10"/>
      <c r="E1692" s="10"/>
      <c r="F1692" s="16"/>
      <c r="G1692" s="10"/>
      <c r="H1692" s="10"/>
      <c r="I1692" s="10"/>
      <c r="J1692" s="10"/>
      <c r="K1692" s="10"/>
      <c r="L1692" s="10"/>
      <c r="M1692" s="14"/>
      <c r="N1692" s="17" t="str">
        <f aca="false">IF($B1692="","",IF($L1692="已完成",IF($M1692="","",$M1692-$B1692),IF(设置!$B$6&lt;$B1692,"",IF((设置!$B$6-$B1692)&gt;=设置!$B$5,"超期"&amp;(设置!$B$6-$B1692)&amp;"天","已等"&amp;(设置!$B$6-$B1692)&amp;"天"))))</f>
        <v/>
      </c>
      <c r="O1692" s="18" t="str">
        <f aca="false">IF(OR($D1692="",$E1692=""),"",COUNTIFS($D$7:$D1692,$D1692,$E$7:$E1692,$E1692))</f>
        <v/>
      </c>
      <c r="P1692" s="16"/>
      <c r="Q1692" s="19"/>
      <c r="R1692" s="10"/>
      <c r="S1692" s="16"/>
      <c r="T1692" s="0" t="str">
        <f aca="false">IF(OR($D1692="",单元查询!$B$3=""),"",IF($D1692&lt;&gt;单元查询!$B$3,"",IF(OR(单元查询!$D$3="",$E1692&amp;""=单元查询!$D$3&amp;""),IF(ISNUMBER($B1692),$B1692*10000,0)+ROW(),"")))</f>
        <v/>
      </c>
      <c r="U1692" s="0" t="str">
        <f aca="false">IF(OR($B1692="",$L1692="已完成"),"",IF(ISNUMBER($B1692),IF(设置!$B$6&lt;$B1692,"",(设置!$B$6-$B1692)*100000+ROW()),""))</f>
        <v/>
      </c>
      <c r="V1692" s="0" t="str">
        <f aca="false">IF(ISNUMBER($O1692),IF($O1692&gt;=2,IF(COUNTIFS($D1692:$D$2006,$D1692,$E1692:$E$2006,$E1692)=1,ROW(),""),""),"")</f>
        <v/>
      </c>
    </row>
    <row r="1693" customFormat="false" ht="15" hidden="false" customHeight="true" outlineLevel="0" collapsed="false">
      <c r="A1693" s="13" t="str">
        <f aca="false">IF(AND($B1693="",$D1693="",$E1693="",$F1693=""),"",IF(OR($B1693="",$D1693="",$E1693=""),"待补",IF($D1693="公共区域","公",IF($D1693="商铺","S",SUBSTITUTE($D1693,"栋","")))&amp;"-"&amp;$E1693&amp;"-"&amp;TEXT(MONTH($B1693),"00")&amp;TEXT(DAY($B1693),"00")&amp;IF(ISNUMBER($O1693),IF($O1693&gt;1,"-"&amp;TEXT($O1693,"00"),""),"")))</f>
        <v/>
      </c>
      <c r="B1693" s="14"/>
      <c r="C1693" s="10"/>
      <c r="D1693" s="10"/>
      <c r="E1693" s="10"/>
      <c r="F1693" s="16"/>
      <c r="G1693" s="10"/>
      <c r="H1693" s="10"/>
      <c r="I1693" s="10"/>
      <c r="J1693" s="10"/>
      <c r="K1693" s="10"/>
      <c r="L1693" s="10"/>
      <c r="M1693" s="14"/>
      <c r="N1693" s="17" t="str">
        <f aca="false">IF($B1693="","",IF($L1693="已完成",IF($M1693="","",$M1693-$B1693),IF(设置!$B$6&lt;$B1693,"",IF((设置!$B$6-$B1693)&gt;=设置!$B$5,"超期"&amp;(设置!$B$6-$B1693)&amp;"天","已等"&amp;(设置!$B$6-$B1693)&amp;"天"))))</f>
        <v/>
      </c>
      <c r="O1693" s="18" t="str">
        <f aca="false">IF(OR($D1693="",$E1693=""),"",COUNTIFS($D$7:$D1693,$D1693,$E$7:$E1693,$E1693))</f>
        <v/>
      </c>
      <c r="P1693" s="16"/>
      <c r="Q1693" s="19"/>
      <c r="R1693" s="10"/>
      <c r="S1693" s="16"/>
      <c r="T1693" s="0" t="str">
        <f aca="false">IF(OR($D1693="",单元查询!$B$3=""),"",IF($D1693&lt;&gt;单元查询!$B$3,"",IF(OR(单元查询!$D$3="",$E1693&amp;""=单元查询!$D$3&amp;""),IF(ISNUMBER($B1693),$B1693*10000,0)+ROW(),"")))</f>
        <v/>
      </c>
      <c r="U1693" s="0" t="str">
        <f aca="false">IF(OR($B1693="",$L1693="已完成"),"",IF(ISNUMBER($B1693),IF(设置!$B$6&lt;$B1693,"",(设置!$B$6-$B1693)*100000+ROW()),""))</f>
        <v/>
      </c>
      <c r="V1693" s="0" t="str">
        <f aca="false">IF(ISNUMBER($O1693),IF($O1693&gt;=2,IF(COUNTIFS($D1693:$D$2006,$D1693,$E1693:$E$2006,$E1693)=1,ROW(),""),""),"")</f>
        <v/>
      </c>
    </row>
    <row r="1694" customFormat="false" ht="15" hidden="false" customHeight="true" outlineLevel="0" collapsed="false">
      <c r="A1694" s="13" t="str">
        <f aca="false">IF(AND($B1694="",$D1694="",$E1694="",$F1694=""),"",IF(OR($B1694="",$D1694="",$E1694=""),"待补",IF($D1694="公共区域","公",IF($D1694="商铺","S",SUBSTITUTE($D1694,"栋","")))&amp;"-"&amp;$E1694&amp;"-"&amp;TEXT(MONTH($B1694),"00")&amp;TEXT(DAY($B1694),"00")&amp;IF(ISNUMBER($O1694),IF($O1694&gt;1,"-"&amp;TEXT($O1694,"00"),""),"")))</f>
        <v/>
      </c>
      <c r="B1694" s="14"/>
      <c r="C1694" s="10"/>
      <c r="D1694" s="10"/>
      <c r="E1694" s="10"/>
      <c r="F1694" s="16"/>
      <c r="G1694" s="10"/>
      <c r="H1694" s="10"/>
      <c r="I1694" s="10"/>
      <c r="J1694" s="10"/>
      <c r="K1694" s="10"/>
      <c r="L1694" s="10"/>
      <c r="M1694" s="14"/>
      <c r="N1694" s="17" t="str">
        <f aca="false">IF($B1694="","",IF($L1694="已完成",IF($M1694="","",$M1694-$B1694),IF(设置!$B$6&lt;$B1694,"",IF((设置!$B$6-$B1694)&gt;=设置!$B$5,"超期"&amp;(设置!$B$6-$B1694)&amp;"天","已等"&amp;(设置!$B$6-$B1694)&amp;"天"))))</f>
        <v/>
      </c>
      <c r="O1694" s="18" t="str">
        <f aca="false">IF(OR($D1694="",$E1694=""),"",COUNTIFS($D$7:$D1694,$D1694,$E$7:$E1694,$E1694))</f>
        <v/>
      </c>
      <c r="P1694" s="16"/>
      <c r="Q1694" s="19"/>
      <c r="R1694" s="10"/>
      <c r="S1694" s="16"/>
      <c r="T1694" s="0" t="str">
        <f aca="false">IF(OR($D1694="",单元查询!$B$3=""),"",IF($D1694&lt;&gt;单元查询!$B$3,"",IF(OR(单元查询!$D$3="",$E1694&amp;""=单元查询!$D$3&amp;""),IF(ISNUMBER($B1694),$B1694*10000,0)+ROW(),"")))</f>
        <v/>
      </c>
      <c r="U1694" s="0" t="str">
        <f aca="false">IF(OR($B1694="",$L1694="已完成"),"",IF(ISNUMBER($B1694),IF(设置!$B$6&lt;$B1694,"",(设置!$B$6-$B1694)*100000+ROW()),""))</f>
        <v/>
      </c>
      <c r="V1694" s="0" t="str">
        <f aca="false">IF(ISNUMBER($O1694),IF($O1694&gt;=2,IF(COUNTIFS($D1694:$D$2006,$D1694,$E1694:$E$2006,$E1694)=1,ROW(),""),""),"")</f>
        <v/>
      </c>
    </row>
    <row r="1695" customFormat="false" ht="15" hidden="false" customHeight="true" outlineLevel="0" collapsed="false">
      <c r="A1695" s="13" t="str">
        <f aca="false">IF(AND($B1695="",$D1695="",$E1695="",$F1695=""),"",IF(OR($B1695="",$D1695="",$E1695=""),"待补",IF($D1695="公共区域","公",IF($D1695="商铺","S",SUBSTITUTE($D1695,"栋","")))&amp;"-"&amp;$E1695&amp;"-"&amp;TEXT(MONTH($B1695),"00")&amp;TEXT(DAY($B1695),"00")&amp;IF(ISNUMBER($O1695),IF($O1695&gt;1,"-"&amp;TEXT($O1695,"00"),""),"")))</f>
        <v/>
      </c>
      <c r="B1695" s="14"/>
      <c r="C1695" s="10"/>
      <c r="D1695" s="10"/>
      <c r="E1695" s="10"/>
      <c r="F1695" s="16"/>
      <c r="G1695" s="10"/>
      <c r="H1695" s="10"/>
      <c r="I1695" s="10"/>
      <c r="J1695" s="10"/>
      <c r="K1695" s="10"/>
      <c r="L1695" s="10"/>
      <c r="M1695" s="14"/>
      <c r="N1695" s="17" t="str">
        <f aca="false">IF($B1695="","",IF($L1695="已完成",IF($M1695="","",$M1695-$B1695),IF(设置!$B$6&lt;$B1695,"",IF((设置!$B$6-$B1695)&gt;=设置!$B$5,"超期"&amp;(设置!$B$6-$B1695)&amp;"天","已等"&amp;(设置!$B$6-$B1695)&amp;"天"))))</f>
        <v/>
      </c>
      <c r="O1695" s="18" t="str">
        <f aca="false">IF(OR($D1695="",$E1695=""),"",COUNTIFS($D$7:$D1695,$D1695,$E$7:$E1695,$E1695))</f>
        <v/>
      </c>
      <c r="P1695" s="16"/>
      <c r="Q1695" s="19"/>
      <c r="R1695" s="10"/>
      <c r="S1695" s="16"/>
      <c r="T1695" s="0" t="str">
        <f aca="false">IF(OR($D1695="",单元查询!$B$3=""),"",IF($D1695&lt;&gt;单元查询!$B$3,"",IF(OR(单元查询!$D$3="",$E1695&amp;""=单元查询!$D$3&amp;""),IF(ISNUMBER($B1695),$B1695*10000,0)+ROW(),"")))</f>
        <v/>
      </c>
      <c r="U1695" s="0" t="str">
        <f aca="false">IF(OR($B1695="",$L1695="已完成"),"",IF(ISNUMBER($B1695),IF(设置!$B$6&lt;$B1695,"",(设置!$B$6-$B1695)*100000+ROW()),""))</f>
        <v/>
      </c>
      <c r="V1695" s="0" t="str">
        <f aca="false">IF(ISNUMBER($O1695),IF($O1695&gt;=2,IF(COUNTIFS($D1695:$D$2006,$D1695,$E1695:$E$2006,$E1695)=1,ROW(),""),""),"")</f>
        <v/>
      </c>
    </row>
    <row r="1696" customFormat="false" ht="15" hidden="false" customHeight="true" outlineLevel="0" collapsed="false">
      <c r="A1696" s="13" t="str">
        <f aca="false">IF(AND($B1696="",$D1696="",$E1696="",$F1696=""),"",IF(OR($B1696="",$D1696="",$E1696=""),"待补",IF($D1696="公共区域","公",IF($D1696="商铺","S",SUBSTITUTE($D1696,"栋","")))&amp;"-"&amp;$E1696&amp;"-"&amp;TEXT(MONTH($B1696),"00")&amp;TEXT(DAY($B1696),"00")&amp;IF(ISNUMBER($O1696),IF($O1696&gt;1,"-"&amp;TEXT($O1696,"00"),""),"")))</f>
        <v/>
      </c>
      <c r="B1696" s="14"/>
      <c r="C1696" s="10"/>
      <c r="D1696" s="10"/>
      <c r="E1696" s="10"/>
      <c r="F1696" s="16"/>
      <c r="G1696" s="10"/>
      <c r="H1696" s="10"/>
      <c r="I1696" s="10"/>
      <c r="J1696" s="10"/>
      <c r="K1696" s="10"/>
      <c r="L1696" s="10"/>
      <c r="M1696" s="14"/>
      <c r="N1696" s="17" t="str">
        <f aca="false">IF($B1696="","",IF($L1696="已完成",IF($M1696="","",$M1696-$B1696),IF(设置!$B$6&lt;$B1696,"",IF((设置!$B$6-$B1696)&gt;=设置!$B$5,"超期"&amp;(设置!$B$6-$B1696)&amp;"天","已等"&amp;(设置!$B$6-$B1696)&amp;"天"))))</f>
        <v/>
      </c>
      <c r="O1696" s="18" t="str">
        <f aca="false">IF(OR($D1696="",$E1696=""),"",COUNTIFS($D$7:$D1696,$D1696,$E$7:$E1696,$E1696))</f>
        <v/>
      </c>
      <c r="P1696" s="16"/>
      <c r="Q1696" s="19"/>
      <c r="R1696" s="10"/>
      <c r="S1696" s="16"/>
      <c r="T1696" s="0" t="str">
        <f aca="false">IF(OR($D1696="",单元查询!$B$3=""),"",IF($D1696&lt;&gt;单元查询!$B$3,"",IF(OR(单元查询!$D$3="",$E1696&amp;""=单元查询!$D$3&amp;""),IF(ISNUMBER($B1696),$B1696*10000,0)+ROW(),"")))</f>
        <v/>
      </c>
      <c r="U1696" s="0" t="str">
        <f aca="false">IF(OR($B1696="",$L1696="已完成"),"",IF(ISNUMBER($B1696),IF(设置!$B$6&lt;$B1696,"",(设置!$B$6-$B1696)*100000+ROW()),""))</f>
        <v/>
      </c>
      <c r="V1696" s="0" t="str">
        <f aca="false">IF(ISNUMBER($O1696),IF($O1696&gt;=2,IF(COUNTIFS($D1696:$D$2006,$D1696,$E1696:$E$2006,$E1696)=1,ROW(),""),""),"")</f>
        <v/>
      </c>
    </row>
    <row r="1697" customFormat="false" ht="15" hidden="false" customHeight="true" outlineLevel="0" collapsed="false">
      <c r="A1697" s="13" t="str">
        <f aca="false">IF(AND($B1697="",$D1697="",$E1697="",$F1697=""),"",IF(OR($B1697="",$D1697="",$E1697=""),"待补",IF($D1697="公共区域","公",IF($D1697="商铺","S",SUBSTITUTE($D1697,"栋","")))&amp;"-"&amp;$E1697&amp;"-"&amp;TEXT(MONTH($B1697),"00")&amp;TEXT(DAY($B1697),"00")&amp;IF(ISNUMBER($O1697),IF($O1697&gt;1,"-"&amp;TEXT($O1697,"00"),""),"")))</f>
        <v/>
      </c>
      <c r="B1697" s="14"/>
      <c r="C1697" s="10"/>
      <c r="D1697" s="10"/>
      <c r="E1697" s="10"/>
      <c r="F1697" s="16"/>
      <c r="G1697" s="10"/>
      <c r="H1697" s="10"/>
      <c r="I1697" s="10"/>
      <c r="J1697" s="10"/>
      <c r="K1697" s="10"/>
      <c r="L1697" s="10"/>
      <c r="M1697" s="14"/>
      <c r="N1697" s="17" t="str">
        <f aca="false">IF($B1697="","",IF($L1697="已完成",IF($M1697="","",$M1697-$B1697),IF(设置!$B$6&lt;$B1697,"",IF((设置!$B$6-$B1697)&gt;=设置!$B$5,"超期"&amp;(设置!$B$6-$B1697)&amp;"天","已等"&amp;(设置!$B$6-$B1697)&amp;"天"))))</f>
        <v/>
      </c>
      <c r="O1697" s="18" t="str">
        <f aca="false">IF(OR($D1697="",$E1697=""),"",COUNTIFS($D$7:$D1697,$D1697,$E$7:$E1697,$E1697))</f>
        <v/>
      </c>
      <c r="P1697" s="16"/>
      <c r="Q1697" s="19"/>
      <c r="R1697" s="10"/>
      <c r="S1697" s="16"/>
      <c r="T1697" s="0" t="str">
        <f aca="false">IF(OR($D1697="",单元查询!$B$3=""),"",IF($D1697&lt;&gt;单元查询!$B$3,"",IF(OR(单元查询!$D$3="",$E1697&amp;""=单元查询!$D$3&amp;""),IF(ISNUMBER($B1697),$B1697*10000,0)+ROW(),"")))</f>
        <v/>
      </c>
      <c r="U1697" s="0" t="str">
        <f aca="false">IF(OR($B1697="",$L1697="已完成"),"",IF(ISNUMBER($B1697),IF(设置!$B$6&lt;$B1697,"",(设置!$B$6-$B1697)*100000+ROW()),""))</f>
        <v/>
      </c>
      <c r="V1697" s="0" t="str">
        <f aca="false">IF(ISNUMBER($O1697),IF($O1697&gt;=2,IF(COUNTIFS($D1697:$D$2006,$D1697,$E1697:$E$2006,$E1697)=1,ROW(),""),""),"")</f>
        <v/>
      </c>
    </row>
    <row r="1698" customFormat="false" ht="15" hidden="false" customHeight="true" outlineLevel="0" collapsed="false">
      <c r="A1698" s="13" t="str">
        <f aca="false">IF(AND($B1698="",$D1698="",$E1698="",$F1698=""),"",IF(OR($B1698="",$D1698="",$E1698=""),"待补",IF($D1698="公共区域","公",IF($D1698="商铺","S",SUBSTITUTE($D1698,"栋","")))&amp;"-"&amp;$E1698&amp;"-"&amp;TEXT(MONTH($B1698),"00")&amp;TEXT(DAY($B1698),"00")&amp;IF(ISNUMBER($O1698),IF($O1698&gt;1,"-"&amp;TEXT($O1698,"00"),""),"")))</f>
        <v/>
      </c>
      <c r="B1698" s="14"/>
      <c r="C1698" s="10"/>
      <c r="D1698" s="10"/>
      <c r="E1698" s="10"/>
      <c r="F1698" s="16"/>
      <c r="G1698" s="10"/>
      <c r="H1698" s="10"/>
      <c r="I1698" s="10"/>
      <c r="J1698" s="10"/>
      <c r="K1698" s="10"/>
      <c r="L1698" s="10"/>
      <c r="M1698" s="14"/>
      <c r="N1698" s="17" t="str">
        <f aca="false">IF($B1698="","",IF($L1698="已完成",IF($M1698="","",$M1698-$B1698),IF(设置!$B$6&lt;$B1698,"",IF((设置!$B$6-$B1698)&gt;=设置!$B$5,"超期"&amp;(设置!$B$6-$B1698)&amp;"天","已等"&amp;(设置!$B$6-$B1698)&amp;"天"))))</f>
        <v/>
      </c>
      <c r="O1698" s="18" t="str">
        <f aca="false">IF(OR($D1698="",$E1698=""),"",COUNTIFS($D$7:$D1698,$D1698,$E$7:$E1698,$E1698))</f>
        <v/>
      </c>
      <c r="P1698" s="16"/>
      <c r="Q1698" s="19"/>
      <c r="R1698" s="10"/>
      <c r="S1698" s="16"/>
      <c r="T1698" s="0" t="str">
        <f aca="false">IF(OR($D1698="",单元查询!$B$3=""),"",IF($D1698&lt;&gt;单元查询!$B$3,"",IF(OR(单元查询!$D$3="",$E1698&amp;""=单元查询!$D$3&amp;""),IF(ISNUMBER($B1698),$B1698*10000,0)+ROW(),"")))</f>
        <v/>
      </c>
      <c r="U1698" s="0" t="str">
        <f aca="false">IF(OR($B1698="",$L1698="已完成"),"",IF(ISNUMBER($B1698),IF(设置!$B$6&lt;$B1698,"",(设置!$B$6-$B1698)*100000+ROW()),""))</f>
        <v/>
      </c>
      <c r="V1698" s="0" t="str">
        <f aca="false">IF(ISNUMBER($O1698),IF($O1698&gt;=2,IF(COUNTIFS($D1698:$D$2006,$D1698,$E1698:$E$2006,$E1698)=1,ROW(),""),""),"")</f>
        <v/>
      </c>
    </row>
    <row r="1699" customFormat="false" ht="15" hidden="false" customHeight="true" outlineLevel="0" collapsed="false">
      <c r="A1699" s="13" t="str">
        <f aca="false">IF(AND($B1699="",$D1699="",$E1699="",$F1699=""),"",IF(OR($B1699="",$D1699="",$E1699=""),"待补",IF($D1699="公共区域","公",IF($D1699="商铺","S",SUBSTITUTE($D1699,"栋","")))&amp;"-"&amp;$E1699&amp;"-"&amp;TEXT(MONTH($B1699),"00")&amp;TEXT(DAY($B1699),"00")&amp;IF(ISNUMBER($O1699),IF($O1699&gt;1,"-"&amp;TEXT($O1699,"00"),""),"")))</f>
        <v/>
      </c>
      <c r="B1699" s="14"/>
      <c r="C1699" s="10"/>
      <c r="D1699" s="10"/>
      <c r="E1699" s="10"/>
      <c r="F1699" s="16"/>
      <c r="G1699" s="10"/>
      <c r="H1699" s="10"/>
      <c r="I1699" s="10"/>
      <c r="J1699" s="10"/>
      <c r="K1699" s="10"/>
      <c r="L1699" s="10"/>
      <c r="M1699" s="14"/>
      <c r="N1699" s="17" t="str">
        <f aca="false">IF($B1699="","",IF($L1699="已完成",IF($M1699="","",$M1699-$B1699),IF(设置!$B$6&lt;$B1699,"",IF((设置!$B$6-$B1699)&gt;=设置!$B$5,"超期"&amp;(设置!$B$6-$B1699)&amp;"天","已等"&amp;(设置!$B$6-$B1699)&amp;"天"))))</f>
        <v/>
      </c>
      <c r="O1699" s="18" t="str">
        <f aca="false">IF(OR($D1699="",$E1699=""),"",COUNTIFS($D$7:$D1699,$D1699,$E$7:$E1699,$E1699))</f>
        <v/>
      </c>
      <c r="P1699" s="16"/>
      <c r="Q1699" s="19"/>
      <c r="R1699" s="10"/>
      <c r="S1699" s="16"/>
      <c r="T1699" s="0" t="str">
        <f aca="false">IF(OR($D1699="",单元查询!$B$3=""),"",IF($D1699&lt;&gt;单元查询!$B$3,"",IF(OR(单元查询!$D$3="",$E1699&amp;""=单元查询!$D$3&amp;""),IF(ISNUMBER($B1699),$B1699*10000,0)+ROW(),"")))</f>
        <v/>
      </c>
      <c r="U1699" s="0" t="str">
        <f aca="false">IF(OR($B1699="",$L1699="已完成"),"",IF(ISNUMBER($B1699),IF(设置!$B$6&lt;$B1699,"",(设置!$B$6-$B1699)*100000+ROW()),""))</f>
        <v/>
      </c>
      <c r="V1699" s="0" t="str">
        <f aca="false">IF(ISNUMBER($O1699),IF($O1699&gt;=2,IF(COUNTIFS($D1699:$D$2006,$D1699,$E1699:$E$2006,$E1699)=1,ROW(),""),""),"")</f>
        <v/>
      </c>
    </row>
    <row r="1700" customFormat="false" ht="15" hidden="false" customHeight="true" outlineLevel="0" collapsed="false">
      <c r="A1700" s="13" t="str">
        <f aca="false">IF(AND($B1700="",$D1700="",$E1700="",$F1700=""),"",IF(OR($B1700="",$D1700="",$E1700=""),"待补",IF($D1700="公共区域","公",IF($D1700="商铺","S",SUBSTITUTE($D1700,"栋","")))&amp;"-"&amp;$E1700&amp;"-"&amp;TEXT(MONTH($B1700),"00")&amp;TEXT(DAY($B1700),"00")&amp;IF(ISNUMBER($O1700),IF($O1700&gt;1,"-"&amp;TEXT($O1700,"00"),""),"")))</f>
        <v/>
      </c>
      <c r="B1700" s="14"/>
      <c r="C1700" s="10"/>
      <c r="D1700" s="10"/>
      <c r="E1700" s="10"/>
      <c r="F1700" s="16"/>
      <c r="G1700" s="10"/>
      <c r="H1700" s="10"/>
      <c r="I1700" s="10"/>
      <c r="J1700" s="10"/>
      <c r="K1700" s="10"/>
      <c r="L1700" s="10"/>
      <c r="M1700" s="14"/>
      <c r="N1700" s="17" t="str">
        <f aca="false">IF($B1700="","",IF($L1700="已完成",IF($M1700="","",$M1700-$B1700),IF(设置!$B$6&lt;$B1700,"",IF((设置!$B$6-$B1700)&gt;=设置!$B$5,"超期"&amp;(设置!$B$6-$B1700)&amp;"天","已等"&amp;(设置!$B$6-$B1700)&amp;"天"))))</f>
        <v/>
      </c>
      <c r="O1700" s="18" t="str">
        <f aca="false">IF(OR($D1700="",$E1700=""),"",COUNTIFS($D$7:$D1700,$D1700,$E$7:$E1700,$E1700))</f>
        <v/>
      </c>
      <c r="P1700" s="16"/>
      <c r="Q1700" s="19"/>
      <c r="R1700" s="10"/>
      <c r="S1700" s="16"/>
      <c r="T1700" s="0" t="str">
        <f aca="false">IF(OR($D1700="",单元查询!$B$3=""),"",IF($D1700&lt;&gt;单元查询!$B$3,"",IF(OR(单元查询!$D$3="",$E1700&amp;""=单元查询!$D$3&amp;""),IF(ISNUMBER($B1700),$B1700*10000,0)+ROW(),"")))</f>
        <v/>
      </c>
      <c r="U1700" s="0" t="str">
        <f aca="false">IF(OR($B1700="",$L1700="已完成"),"",IF(ISNUMBER($B1700),IF(设置!$B$6&lt;$B1700,"",(设置!$B$6-$B1700)*100000+ROW()),""))</f>
        <v/>
      </c>
      <c r="V1700" s="0" t="str">
        <f aca="false">IF(ISNUMBER($O1700),IF($O1700&gt;=2,IF(COUNTIFS($D1700:$D$2006,$D1700,$E1700:$E$2006,$E1700)=1,ROW(),""),""),"")</f>
        <v/>
      </c>
    </row>
    <row r="1701" customFormat="false" ht="15" hidden="false" customHeight="true" outlineLevel="0" collapsed="false">
      <c r="A1701" s="13" t="str">
        <f aca="false">IF(AND($B1701="",$D1701="",$E1701="",$F1701=""),"",IF(OR($B1701="",$D1701="",$E1701=""),"待补",IF($D1701="公共区域","公",IF($D1701="商铺","S",SUBSTITUTE($D1701,"栋","")))&amp;"-"&amp;$E1701&amp;"-"&amp;TEXT(MONTH($B1701),"00")&amp;TEXT(DAY($B1701),"00")&amp;IF(ISNUMBER($O1701),IF($O1701&gt;1,"-"&amp;TEXT($O1701,"00"),""),"")))</f>
        <v/>
      </c>
      <c r="B1701" s="14"/>
      <c r="C1701" s="10"/>
      <c r="D1701" s="10"/>
      <c r="E1701" s="10"/>
      <c r="F1701" s="16"/>
      <c r="G1701" s="10"/>
      <c r="H1701" s="10"/>
      <c r="I1701" s="10"/>
      <c r="J1701" s="10"/>
      <c r="K1701" s="10"/>
      <c r="L1701" s="10"/>
      <c r="M1701" s="14"/>
      <c r="N1701" s="17" t="str">
        <f aca="false">IF($B1701="","",IF($L1701="已完成",IF($M1701="","",$M1701-$B1701),IF(设置!$B$6&lt;$B1701,"",IF((设置!$B$6-$B1701)&gt;=设置!$B$5,"超期"&amp;(设置!$B$6-$B1701)&amp;"天","已等"&amp;(设置!$B$6-$B1701)&amp;"天"))))</f>
        <v/>
      </c>
      <c r="O1701" s="18" t="str">
        <f aca="false">IF(OR($D1701="",$E1701=""),"",COUNTIFS($D$7:$D1701,$D1701,$E$7:$E1701,$E1701))</f>
        <v/>
      </c>
      <c r="P1701" s="16"/>
      <c r="Q1701" s="19"/>
      <c r="R1701" s="10"/>
      <c r="S1701" s="16"/>
      <c r="T1701" s="0" t="str">
        <f aca="false">IF(OR($D1701="",单元查询!$B$3=""),"",IF($D1701&lt;&gt;单元查询!$B$3,"",IF(OR(单元查询!$D$3="",$E1701&amp;""=单元查询!$D$3&amp;""),IF(ISNUMBER($B1701),$B1701*10000,0)+ROW(),"")))</f>
        <v/>
      </c>
      <c r="U1701" s="0" t="str">
        <f aca="false">IF(OR($B1701="",$L1701="已完成"),"",IF(ISNUMBER($B1701),IF(设置!$B$6&lt;$B1701,"",(设置!$B$6-$B1701)*100000+ROW()),""))</f>
        <v/>
      </c>
      <c r="V1701" s="0" t="str">
        <f aca="false">IF(ISNUMBER($O1701),IF($O1701&gt;=2,IF(COUNTIFS($D1701:$D$2006,$D1701,$E1701:$E$2006,$E1701)=1,ROW(),""),""),"")</f>
        <v/>
      </c>
    </row>
    <row r="1702" customFormat="false" ht="15" hidden="false" customHeight="true" outlineLevel="0" collapsed="false">
      <c r="A1702" s="13" t="str">
        <f aca="false">IF(AND($B1702="",$D1702="",$E1702="",$F1702=""),"",IF(OR($B1702="",$D1702="",$E1702=""),"待补",IF($D1702="公共区域","公",IF($D1702="商铺","S",SUBSTITUTE($D1702,"栋","")))&amp;"-"&amp;$E1702&amp;"-"&amp;TEXT(MONTH($B1702),"00")&amp;TEXT(DAY($B1702),"00")&amp;IF(ISNUMBER($O1702),IF($O1702&gt;1,"-"&amp;TEXT($O1702,"00"),""),"")))</f>
        <v/>
      </c>
      <c r="B1702" s="14"/>
      <c r="C1702" s="10"/>
      <c r="D1702" s="10"/>
      <c r="E1702" s="10"/>
      <c r="F1702" s="16"/>
      <c r="G1702" s="10"/>
      <c r="H1702" s="10"/>
      <c r="I1702" s="10"/>
      <c r="J1702" s="10"/>
      <c r="K1702" s="10"/>
      <c r="L1702" s="10"/>
      <c r="M1702" s="14"/>
      <c r="N1702" s="17" t="str">
        <f aca="false">IF($B1702="","",IF($L1702="已完成",IF($M1702="","",$M1702-$B1702),IF(设置!$B$6&lt;$B1702,"",IF((设置!$B$6-$B1702)&gt;=设置!$B$5,"超期"&amp;(设置!$B$6-$B1702)&amp;"天","已等"&amp;(设置!$B$6-$B1702)&amp;"天"))))</f>
        <v/>
      </c>
      <c r="O1702" s="18" t="str">
        <f aca="false">IF(OR($D1702="",$E1702=""),"",COUNTIFS($D$7:$D1702,$D1702,$E$7:$E1702,$E1702))</f>
        <v/>
      </c>
      <c r="P1702" s="16"/>
      <c r="Q1702" s="19"/>
      <c r="R1702" s="10"/>
      <c r="S1702" s="16"/>
      <c r="T1702" s="0" t="str">
        <f aca="false">IF(OR($D1702="",单元查询!$B$3=""),"",IF($D1702&lt;&gt;单元查询!$B$3,"",IF(OR(单元查询!$D$3="",$E1702&amp;""=单元查询!$D$3&amp;""),IF(ISNUMBER($B1702),$B1702*10000,0)+ROW(),"")))</f>
        <v/>
      </c>
      <c r="U1702" s="0" t="str">
        <f aca="false">IF(OR($B1702="",$L1702="已完成"),"",IF(ISNUMBER($B1702),IF(设置!$B$6&lt;$B1702,"",(设置!$B$6-$B1702)*100000+ROW()),""))</f>
        <v/>
      </c>
      <c r="V1702" s="0" t="str">
        <f aca="false">IF(ISNUMBER($O1702),IF($O1702&gt;=2,IF(COUNTIFS($D1702:$D$2006,$D1702,$E1702:$E$2006,$E1702)=1,ROW(),""),""),"")</f>
        <v/>
      </c>
    </row>
    <row r="1703" customFormat="false" ht="15" hidden="false" customHeight="true" outlineLevel="0" collapsed="false">
      <c r="A1703" s="13" t="str">
        <f aca="false">IF(AND($B1703="",$D1703="",$E1703="",$F1703=""),"",IF(OR($B1703="",$D1703="",$E1703=""),"待补",IF($D1703="公共区域","公",IF($D1703="商铺","S",SUBSTITUTE($D1703,"栋","")))&amp;"-"&amp;$E1703&amp;"-"&amp;TEXT(MONTH($B1703),"00")&amp;TEXT(DAY($B1703),"00")&amp;IF(ISNUMBER($O1703),IF($O1703&gt;1,"-"&amp;TEXT($O1703,"00"),""),"")))</f>
        <v/>
      </c>
      <c r="B1703" s="14"/>
      <c r="C1703" s="10"/>
      <c r="D1703" s="10"/>
      <c r="E1703" s="10"/>
      <c r="F1703" s="16"/>
      <c r="G1703" s="10"/>
      <c r="H1703" s="10"/>
      <c r="I1703" s="10"/>
      <c r="J1703" s="10"/>
      <c r="K1703" s="10"/>
      <c r="L1703" s="10"/>
      <c r="M1703" s="14"/>
      <c r="N1703" s="17" t="str">
        <f aca="false">IF($B1703="","",IF($L1703="已完成",IF($M1703="","",$M1703-$B1703),IF(设置!$B$6&lt;$B1703,"",IF((设置!$B$6-$B1703)&gt;=设置!$B$5,"超期"&amp;(设置!$B$6-$B1703)&amp;"天","已等"&amp;(设置!$B$6-$B1703)&amp;"天"))))</f>
        <v/>
      </c>
      <c r="O1703" s="18" t="str">
        <f aca="false">IF(OR($D1703="",$E1703=""),"",COUNTIFS($D$7:$D1703,$D1703,$E$7:$E1703,$E1703))</f>
        <v/>
      </c>
      <c r="P1703" s="16"/>
      <c r="Q1703" s="19"/>
      <c r="R1703" s="10"/>
      <c r="S1703" s="16"/>
      <c r="T1703" s="0" t="str">
        <f aca="false">IF(OR($D1703="",单元查询!$B$3=""),"",IF($D1703&lt;&gt;单元查询!$B$3,"",IF(OR(单元查询!$D$3="",$E1703&amp;""=单元查询!$D$3&amp;""),IF(ISNUMBER($B1703),$B1703*10000,0)+ROW(),"")))</f>
        <v/>
      </c>
      <c r="U1703" s="0" t="str">
        <f aca="false">IF(OR($B1703="",$L1703="已完成"),"",IF(ISNUMBER($B1703),IF(设置!$B$6&lt;$B1703,"",(设置!$B$6-$B1703)*100000+ROW()),""))</f>
        <v/>
      </c>
      <c r="V1703" s="0" t="str">
        <f aca="false">IF(ISNUMBER($O1703),IF($O1703&gt;=2,IF(COUNTIFS($D1703:$D$2006,$D1703,$E1703:$E$2006,$E1703)=1,ROW(),""),""),"")</f>
        <v/>
      </c>
    </row>
    <row r="1704" customFormat="false" ht="15" hidden="false" customHeight="true" outlineLevel="0" collapsed="false">
      <c r="A1704" s="13" t="str">
        <f aca="false">IF(AND($B1704="",$D1704="",$E1704="",$F1704=""),"",IF(OR($B1704="",$D1704="",$E1704=""),"待补",IF($D1704="公共区域","公",IF($D1704="商铺","S",SUBSTITUTE($D1704,"栋","")))&amp;"-"&amp;$E1704&amp;"-"&amp;TEXT(MONTH($B1704),"00")&amp;TEXT(DAY($B1704),"00")&amp;IF(ISNUMBER($O1704),IF($O1704&gt;1,"-"&amp;TEXT($O1704,"00"),""),"")))</f>
        <v/>
      </c>
      <c r="B1704" s="14"/>
      <c r="C1704" s="10"/>
      <c r="D1704" s="10"/>
      <c r="E1704" s="10"/>
      <c r="F1704" s="16"/>
      <c r="G1704" s="10"/>
      <c r="H1704" s="10"/>
      <c r="I1704" s="10"/>
      <c r="J1704" s="10"/>
      <c r="K1704" s="10"/>
      <c r="L1704" s="10"/>
      <c r="M1704" s="14"/>
      <c r="N1704" s="17" t="str">
        <f aca="false">IF($B1704="","",IF($L1704="已完成",IF($M1704="","",$M1704-$B1704),IF(设置!$B$6&lt;$B1704,"",IF((设置!$B$6-$B1704)&gt;=设置!$B$5,"超期"&amp;(设置!$B$6-$B1704)&amp;"天","已等"&amp;(设置!$B$6-$B1704)&amp;"天"))))</f>
        <v/>
      </c>
      <c r="O1704" s="18" t="str">
        <f aca="false">IF(OR($D1704="",$E1704=""),"",COUNTIFS($D$7:$D1704,$D1704,$E$7:$E1704,$E1704))</f>
        <v/>
      </c>
      <c r="P1704" s="16"/>
      <c r="Q1704" s="19"/>
      <c r="R1704" s="10"/>
      <c r="S1704" s="16"/>
      <c r="T1704" s="0" t="str">
        <f aca="false">IF(OR($D1704="",单元查询!$B$3=""),"",IF($D1704&lt;&gt;单元查询!$B$3,"",IF(OR(单元查询!$D$3="",$E1704&amp;""=单元查询!$D$3&amp;""),IF(ISNUMBER($B1704),$B1704*10000,0)+ROW(),"")))</f>
        <v/>
      </c>
      <c r="U1704" s="0" t="str">
        <f aca="false">IF(OR($B1704="",$L1704="已完成"),"",IF(ISNUMBER($B1704),IF(设置!$B$6&lt;$B1704,"",(设置!$B$6-$B1704)*100000+ROW()),""))</f>
        <v/>
      </c>
      <c r="V1704" s="0" t="str">
        <f aca="false">IF(ISNUMBER($O1704),IF($O1704&gt;=2,IF(COUNTIFS($D1704:$D$2006,$D1704,$E1704:$E$2006,$E1704)=1,ROW(),""),""),"")</f>
        <v/>
      </c>
    </row>
    <row r="1705" customFormat="false" ht="15" hidden="false" customHeight="true" outlineLevel="0" collapsed="false">
      <c r="A1705" s="13" t="str">
        <f aca="false">IF(AND($B1705="",$D1705="",$E1705="",$F1705=""),"",IF(OR($B1705="",$D1705="",$E1705=""),"待补",IF($D1705="公共区域","公",IF($D1705="商铺","S",SUBSTITUTE($D1705,"栋","")))&amp;"-"&amp;$E1705&amp;"-"&amp;TEXT(MONTH($B1705),"00")&amp;TEXT(DAY($B1705),"00")&amp;IF(ISNUMBER($O1705),IF($O1705&gt;1,"-"&amp;TEXT($O1705,"00"),""),"")))</f>
        <v/>
      </c>
      <c r="B1705" s="14"/>
      <c r="C1705" s="10"/>
      <c r="D1705" s="10"/>
      <c r="E1705" s="10"/>
      <c r="F1705" s="16"/>
      <c r="G1705" s="10"/>
      <c r="H1705" s="10"/>
      <c r="I1705" s="10"/>
      <c r="J1705" s="10"/>
      <c r="K1705" s="10"/>
      <c r="L1705" s="10"/>
      <c r="M1705" s="14"/>
      <c r="N1705" s="17" t="str">
        <f aca="false">IF($B1705="","",IF($L1705="已完成",IF($M1705="","",$M1705-$B1705),IF(设置!$B$6&lt;$B1705,"",IF((设置!$B$6-$B1705)&gt;=设置!$B$5,"超期"&amp;(设置!$B$6-$B1705)&amp;"天","已等"&amp;(设置!$B$6-$B1705)&amp;"天"))))</f>
        <v/>
      </c>
      <c r="O1705" s="18" t="str">
        <f aca="false">IF(OR($D1705="",$E1705=""),"",COUNTIFS($D$7:$D1705,$D1705,$E$7:$E1705,$E1705))</f>
        <v/>
      </c>
      <c r="P1705" s="16"/>
      <c r="Q1705" s="19"/>
      <c r="R1705" s="10"/>
      <c r="S1705" s="16"/>
      <c r="T1705" s="0" t="str">
        <f aca="false">IF(OR($D1705="",单元查询!$B$3=""),"",IF($D1705&lt;&gt;单元查询!$B$3,"",IF(OR(单元查询!$D$3="",$E1705&amp;""=单元查询!$D$3&amp;""),IF(ISNUMBER($B1705),$B1705*10000,0)+ROW(),"")))</f>
        <v/>
      </c>
      <c r="U1705" s="0" t="str">
        <f aca="false">IF(OR($B1705="",$L1705="已完成"),"",IF(ISNUMBER($B1705),IF(设置!$B$6&lt;$B1705,"",(设置!$B$6-$B1705)*100000+ROW()),""))</f>
        <v/>
      </c>
      <c r="V1705" s="0" t="str">
        <f aca="false">IF(ISNUMBER($O1705),IF($O1705&gt;=2,IF(COUNTIFS($D1705:$D$2006,$D1705,$E1705:$E$2006,$E1705)=1,ROW(),""),""),"")</f>
        <v/>
      </c>
    </row>
    <row r="1706" customFormat="false" ht="15" hidden="false" customHeight="true" outlineLevel="0" collapsed="false">
      <c r="A1706" s="13" t="str">
        <f aca="false">IF(AND($B1706="",$D1706="",$E1706="",$F1706=""),"",IF(OR($B1706="",$D1706="",$E1706=""),"待补",IF($D1706="公共区域","公",IF($D1706="商铺","S",SUBSTITUTE($D1706,"栋","")))&amp;"-"&amp;$E1706&amp;"-"&amp;TEXT(MONTH($B1706),"00")&amp;TEXT(DAY($B1706),"00")&amp;IF(ISNUMBER($O1706),IF($O1706&gt;1,"-"&amp;TEXT($O1706,"00"),""),"")))</f>
        <v/>
      </c>
      <c r="B1706" s="14"/>
      <c r="C1706" s="10"/>
      <c r="D1706" s="10"/>
      <c r="E1706" s="10"/>
      <c r="F1706" s="16"/>
      <c r="G1706" s="10"/>
      <c r="H1706" s="10"/>
      <c r="I1706" s="10"/>
      <c r="J1706" s="10"/>
      <c r="K1706" s="10"/>
      <c r="L1706" s="10"/>
      <c r="M1706" s="14"/>
      <c r="N1706" s="17" t="str">
        <f aca="false">IF($B1706="","",IF($L1706="已完成",IF($M1706="","",$M1706-$B1706),IF(设置!$B$6&lt;$B1706,"",IF((设置!$B$6-$B1706)&gt;=设置!$B$5,"超期"&amp;(设置!$B$6-$B1706)&amp;"天","已等"&amp;(设置!$B$6-$B1706)&amp;"天"))))</f>
        <v/>
      </c>
      <c r="O1706" s="18" t="str">
        <f aca="false">IF(OR($D1706="",$E1706=""),"",COUNTIFS($D$7:$D1706,$D1706,$E$7:$E1706,$E1706))</f>
        <v/>
      </c>
      <c r="P1706" s="16"/>
      <c r="Q1706" s="19"/>
      <c r="R1706" s="10"/>
      <c r="S1706" s="16"/>
      <c r="T1706" s="0" t="str">
        <f aca="false">IF(OR($D1706="",单元查询!$B$3=""),"",IF($D1706&lt;&gt;单元查询!$B$3,"",IF(OR(单元查询!$D$3="",$E1706&amp;""=单元查询!$D$3&amp;""),IF(ISNUMBER($B1706),$B1706*10000,0)+ROW(),"")))</f>
        <v/>
      </c>
      <c r="U1706" s="0" t="str">
        <f aca="false">IF(OR($B1706="",$L1706="已完成"),"",IF(ISNUMBER($B1706),IF(设置!$B$6&lt;$B1706,"",(设置!$B$6-$B1706)*100000+ROW()),""))</f>
        <v/>
      </c>
      <c r="V1706" s="0" t="str">
        <f aca="false">IF(ISNUMBER($O1706),IF($O1706&gt;=2,IF(COUNTIFS($D1706:$D$2006,$D1706,$E1706:$E$2006,$E1706)=1,ROW(),""),""),"")</f>
        <v/>
      </c>
    </row>
    <row r="1707" customFormat="false" ht="15" hidden="false" customHeight="true" outlineLevel="0" collapsed="false">
      <c r="A1707" s="13" t="str">
        <f aca="false">IF(AND($B1707="",$D1707="",$E1707="",$F1707=""),"",IF(OR($B1707="",$D1707="",$E1707=""),"待补",IF($D1707="公共区域","公",IF($D1707="商铺","S",SUBSTITUTE($D1707,"栋","")))&amp;"-"&amp;$E1707&amp;"-"&amp;TEXT(MONTH($B1707),"00")&amp;TEXT(DAY($B1707),"00")&amp;IF(ISNUMBER($O1707),IF($O1707&gt;1,"-"&amp;TEXT($O1707,"00"),""),"")))</f>
        <v/>
      </c>
      <c r="B1707" s="14"/>
      <c r="C1707" s="10"/>
      <c r="D1707" s="10"/>
      <c r="E1707" s="10"/>
      <c r="F1707" s="16"/>
      <c r="G1707" s="10"/>
      <c r="H1707" s="10"/>
      <c r="I1707" s="10"/>
      <c r="J1707" s="10"/>
      <c r="K1707" s="10"/>
      <c r="L1707" s="10"/>
      <c r="M1707" s="14"/>
      <c r="N1707" s="17" t="str">
        <f aca="false">IF($B1707="","",IF($L1707="已完成",IF($M1707="","",$M1707-$B1707),IF(设置!$B$6&lt;$B1707,"",IF((设置!$B$6-$B1707)&gt;=设置!$B$5,"超期"&amp;(设置!$B$6-$B1707)&amp;"天","已等"&amp;(设置!$B$6-$B1707)&amp;"天"))))</f>
        <v/>
      </c>
      <c r="O1707" s="18" t="str">
        <f aca="false">IF(OR($D1707="",$E1707=""),"",COUNTIFS($D$7:$D1707,$D1707,$E$7:$E1707,$E1707))</f>
        <v/>
      </c>
      <c r="P1707" s="16"/>
      <c r="Q1707" s="19"/>
      <c r="R1707" s="10"/>
      <c r="S1707" s="16"/>
      <c r="T1707" s="0" t="str">
        <f aca="false">IF(OR($D1707="",单元查询!$B$3=""),"",IF($D1707&lt;&gt;单元查询!$B$3,"",IF(OR(单元查询!$D$3="",$E1707&amp;""=单元查询!$D$3&amp;""),IF(ISNUMBER($B1707),$B1707*10000,0)+ROW(),"")))</f>
        <v/>
      </c>
      <c r="U1707" s="0" t="str">
        <f aca="false">IF(OR($B1707="",$L1707="已完成"),"",IF(ISNUMBER($B1707),IF(设置!$B$6&lt;$B1707,"",(设置!$B$6-$B1707)*100000+ROW()),""))</f>
        <v/>
      </c>
      <c r="V1707" s="0" t="str">
        <f aca="false">IF(ISNUMBER($O1707),IF($O1707&gt;=2,IF(COUNTIFS($D1707:$D$2006,$D1707,$E1707:$E$2006,$E1707)=1,ROW(),""),""),"")</f>
        <v/>
      </c>
    </row>
    <row r="1708" customFormat="false" ht="15" hidden="false" customHeight="true" outlineLevel="0" collapsed="false">
      <c r="A1708" s="13" t="str">
        <f aca="false">IF(AND($B1708="",$D1708="",$E1708="",$F1708=""),"",IF(OR($B1708="",$D1708="",$E1708=""),"待补",IF($D1708="公共区域","公",IF($D1708="商铺","S",SUBSTITUTE($D1708,"栋","")))&amp;"-"&amp;$E1708&amp;"-"&amp;TEXT(MONTH($B1708),"00")&amp;TEXT(DAY($B1708),"00")&amp;IF(ISNUMBER($O1708),IF($O1708&gt;1,"-"&amp;TEXT($O1708,"00"),""),"")))</f>
        <v/>
      </c>
      <c r="B1708" s="14"/>
      <c r="C1708" s="10"/>
      <c r="D1708" s="10"/>
      <c r="E1708" s="10"/>
      <c r="F1708" s="16"/>
      <c r="G1708" s="10"/>
      <c r="H1708" s="10"/>
      <c r="I1708" s="10"/>
      <c r="J1708" s="10"/>
      <c r="K1708" s="10"/>
      <c r="L1708" s="10"/>
      <c r="M1708" s="14"/>
      <c r="N1708" s="17" t="str">
        <f aca="false">IF($B1708="","",IF($L1708="已完成",IF($M1708="","",$M1708-$B1708),IF(设置!$B$6&lt;$B1708,"",IF((设置!$B$6-$B1708)&gt;=设置!$B$5,"超期"&amp;(设置!$B$6-$B1708)&amp;"天","已等"&amp;(设置!$B$6-$B1708)&amp;"天"))))</f>
        <v/>
      </c>
      <c r="O1708" s="18" t="str">
        <f aca="false">IF(OR($D1708="",$E1708=""),"",COUNTIFS($D$7:$D1708,$D1708,$E$7:$E1708,$E1708))</f>
        <v/>
      </c>
      <c r="P1708" s="16"/>
      <c r="Q1708" s="19"/>
      <c r="R1708" s="10"/>
      <c r="S1708" s="16"/>
      <c r="T1708" s="0" t="str">
        <f aca="false">IF(OR($D1708="",单元查询!$B$3=""),"",IF($D1708&lt;&gt;单元查询!$B$3,"",IF(OR(单元查询!$D$3="",$E1708&amp;""=单元查询!$D$3&amp;""),IF(ISNUMBER($B1708),$B1708*10000,0)+ROW(),"")))</f>
        <v/>
      </c>
      <c r="U1708" s="0" t="str">
        <f aca="false">IF(OR($B1708="",$L1708="已完成"),"",IF(ISNUMBER($B1708),IF(设置!$B$6&lt;$B1708,"",(设置!$B$6-$B1708)*100000+ROW()),""))</f>
        <v/>
      </c>
      <c r="V1708" s="0" t="str">
        <f aca="false">IF(ISNUMBER($O1708),IF($O1708&gt;=2,IF(COUNTIFS($D1708:$D$2006,$D1708,$E1708:$E$2006,$E1708)=1,ROW(),""),""),"")</f>
        <v/>
      </c>
    </row>
    <row r="1709" customFormat="false" ht="15" hidden="false" customHeight="true" outlineLevel="0" collapsed="false">
      <c r="A1709" s="13" t="str">
        <f aca="false">IF(AND($B1709="",$D1709="",$E1709="",$F1709=""),"",IF(OR($B1709="",$D1709="",$E1709=""),"待补",IF($D1709="公共区域","公",IF($D1709="商铺","S",SUBSTITUTE($D1709,"栋","")))&amp;"-"&amp;$E1709&amp;"-"&amp;TEXT(MONTH($B1709),"00")&amp;TEXT(DAY($B1709),"00")&amp;IF(ISNUMBER($O1709),IF($O1709&gt;1,"-"&amp;TEXT($O1709,"00"),""),"")))</f>
        <v/>
      </c>
      <c r="B1709" s="14"/>
      <c r="C1709" s="10"/>
      <c r="D1709" s="10"/>
      <c r="E1709" s="10"/>
      <c r="F1709" s="16"/>
      <c r="G1709" s="10"/>
      <c r="H1709" s="10"/>
      <c r="I1709" s="10"/>
      <c r="J1709" s="10"/>
      <c r="K1709" s="10"/>
      <c r="L1709" s="10"/>
      <c r="M1709" s="14"/>
      <c r="N1709" s="17" t="str">
        <f aca="false">IF($B1709="","",IF($L1709="已完成",IF($M1709="","",$M1709-$B1709),IF(设置!$B$6&lt;$B1709,"",IF((设置!$B$6-$B1709)&gt;=设置!$B$5,"超期"&amp;(设置!$B$6-$B1709)&amp;"天","已等"&amp;(设置!$B$6-$B1709)&amp;"天"))))</f>
        <v/>
      </c>
      <c r="O1709" s="18" t="str">
        <f aca="false">IF(OR($D1709="",$E1709=""),"",COUNTIFS($D$7:$D1709,$D1709,$E$7:$E1709,$E1709))</f>
        <v/>
      </c>
      <c r="P1709" s="16"/>
      <c r="Q1709" s="19"/>
      <c r="R1709" s="10"/>
      <c r="S1709" s="16"/>
      <c r="T1709" s="0" t="str">
        <f aca="false">IF(OR($D1709="",单元查询!$B$3=""),"",IF($D1709&lt;&gt;单元查询!$B$3,"",IF(OR(单元查询!$D$3="",$E1709&amp;""=单元查询!$D$3&amp;""),IF(ISNUMBER($B1709),$B1709*10000,0)+ROW(),"")))</f>
        <v/>
      </c>
      <c r="U1709" s="0" t="str">
        <f aca="false">IF(OR($B1709="",$L1709="已完成"),"",IF(ISNUMBER($B1709),IF(设置!$B$6&lt;$B1709,"",(设置!$B$6-$B1709)*100000+ROW()),""))</f>
        <v/>
      </c>
      <c r="V1709" s="0" t="str">
        <f aca="false">IF(ISNUMBER($O1709),IF($O1709&gt;=2,IF(COUNTIFS($D1709:$D$2006,$D1709,$E1709:$E$2006,$E1709)=1,ROW(),""),""),"")</f>
        <v/>
      </c>
    </row>
    <row r="1710" customFormat="false" ht="15" hidden="false" customHeight="true" outlineLevel="0" collapsed="false">
      <c r="A1710" s="13" t="str">
        <f aca="false">IF(AND($B1710="",$D1710="",$E1710="",$F1710=""),"",IF(OR($B1710="",$D1710="",$E1710=""),"待补",IF($D1710="公共区域","公",IF($D1710="商铺","S",SUBSTITUTE($D1710,"栋","")))&amp;"-"&amp;$E1710&amp;"-"&amp;TEXT(MONTH($B1710),"00")&amp;TEXT(DAY($B1710),"00")&amp;IF(ISNUMBER($O1710),IF($O1710&gt;1,"-"&amp;TEXT($O1710,"00"),""),"")))</f>
        <v/>
      </c>
      <c r="B1710" s="14"/>
      <c r="C1710" s="10"/>
      <c r="D1710" s="10"/>
      <c r="E1710" s="10"/>
      <c r="F1710" s="16"/>
      <c r="G1710" s="10"/>
      <c r="H1710" s="10"/>
      <c r="I1710" s="10"/>
      <c r="J1710" s="10"/>
      <c r="K1710" s="10"/>
      <c r="L1710" s="10"/>
      <c r="M1710" s="14"/>
      <c r="N1710" s="17" t="str">
        <f aca="false">IF($B1710="","",IF($L1710="已完成",IF($M1710="","",$M1710-$B1710),IF(设置!$B$6&lt;$B1710,"",IF((设置!$B$6-$B1710)&gt;=设置!$B$5,"超期"&amp;(设置!$B$6-$B1710)&amp;"天","已等"&amp;(设置!$B$6-$B1710)&amp;"天"))))</f>
        <v/>
      </c>
      <c r="O1710" s="18" t="str">
        <f aca="false">IF(OR($D1710="",$E1710=""),"",COUNTIFS($D$7:$D1710,$D1710,$E$7:$E1710,$E1710))</f>
        <v/>
      </c>
      <c r="P1710" s="16"/>
      <c r="Q1710" s="19"/>
      <c r="R1710" s="10"/>
      <c r="S1710" s="16"/>
      <c r="T1710" s="0" t="str">
        <f aca="false">IF(OR($D1710="",单元查询!$B$3=""),"",IF($D1710&lt;&gt;单元查询!$B$3,"",IF(OR(单元查询!$D$3="",$E1710&amp;""=单元查询!$D$3&amp;""),IF(ISNUMBER($B1710),$B1710*10000,0)+ROW(),"")))</f>
        <v/>
      </c>
      <c r="U1710" s="0" t="str">
        <f aca="false">IF(OR($B1710="",$L1710="已完成"),"",IF(ISNUMBER($B1710),IF(设置!$B$6&lt;$B1710,"",(设置!$B$6-$B1710)*100000+ROW()),""))</f>
        <v/>
      </c>
      <c r="V1710" s="0" t="str">
        <f aca="false">IF(ISNUMBER($O1710),IF($O1710&gt;=2,IF(COUNTIFS($D1710:$D$2006,$D1710,$E1710:$E$2006,$E1710)=1,ROW(),""),""),"")</f>
        <v/>
      </c>
    </row>
    <row r="1711" customFormat="false" ht="15" hidden="false" customHeight="true" outlineLevel="0" collapsed="false">
      <c r="A1711" s="13" t="str">
        <f aca="false">IF(AND($B1711="",$D1711="",$E1711="",$F1711=""),"",IF(OR($B1711="",$D1711="",$E1711=""),"待补",IF($D1711="公共区域","公",IF($D1711="商铺","S",SUBSTITUTE($D1711,"栋","")))&amp;"-"&amp;$E1711&amp;"-"&amp;TEXT(MONTH($B1711),"00")&amp;TEXT(DAY($B1711),"00")&amp;IF(ISNUMBER($O1711),IF($O1711&gt;1,"-"&amp;TEXT($O1711,"00"),""),"")))</f>
        <v/>
      </c>
      <c r="B1711" s="14"/>
      <c r="C1711" s="10"/>
      <c r="D1711" s="10"/>
      <c r="E1711" s="10"/>
      <c r="F1711" s="16"/>
      <c r="G1711" s="10"/>
      <c r="H1711" s="10"/>
      <c r="I1711" s="10"/>
      <c r="J1711" s="10"/>
      <c r="K1711" s="10"/>
      <c r="L1711" s="10"/>
      <c r="M1711" s="14"/>
      <c r="N1711" s="17" t="str">
        <f aca="false">IF($B1711="","",IF($L1711="已完成",IF($M1711="","",$M1711-$B1711),IF(设置!$B$6&lt;$B1711,"",IF((设置!$B$6-$B1711)&gt;=设置!$B$5,"超期"&amp;(设置!$B$6-$B1711)&amp;"天","已等"&amp;(设置!$B$6-$B1711)&amp;"天"))))</f>
        <v/>
      </c>
      <c r="O1711" s="18" t="str">
        <f aca="false">IF(OR($D1711="",$E1711=""),"",COUNTIFS($D$7:$D1711,$D1711,$E$7:$E1711,$E1711))</f>
        <v/>
      </c>
      <c r="P1711" s="16"/>
      <c r="Q1711" s="19"/>
      <c r="R1711" s="10"/>
      <c r="S1711" s="16"/>
      <c r="T1711" s="0" t="str">
        <f aca="false">IF(OR($D1711="",单元查询!$B$3=""),"",IF($D1711&lt;&gt;单元查询!$B$3,"",IF(OR(单元查询!$D$3="",$E1711&amp;""=单元查询!$D$3&amp;""),IF(ISNUMBER($B1711),$B1711*10000,0)+ROW(),"")))</f>
        <v/>
      </c>
      <c r="U1711" s="0" t="str">
        <f aca="false">IF(OR($B1711="",$L1711="已完成"),"",IF(ISNUMBER($B1711),IF(设置!$B$6&lt;$B1711,"",(设置!$B$6-$B1711)*100000+ROW()),""))</f>
        <v/>
      </c>
      <c r="V1711" s="0" t="str">
        <f aca="false">IF(ISNUMBER($O1711),IF($O1711&gt;=2,IF(COUNTIFS($D1711:$D$2006,$D1711,$E1711:$E$2006,$E1711)=1,ROW(),""),""),"")</f>
        <v/>
      </c>
    </row>
    <row r="1712" customFormat="false" ht="15" hidden="false" customHeight="true" outlineLevel="0" collapsed="false">
      <c r="A1712" s="13" t="str">
        <f aca="false">IF(AND($B1712="",$D1712="",$E1712="",$F1712=""),"",IF(OR($B1712="",$D1712="",$E1712=""),"待补",IF($D1712="公共区域","公",IF($D1712="商铺","S",SUBSTITUTE($D1712,"栋","")))&amp;"-"&amp;$E1712&amp;"-"&amp;TEXT(MONTH($B1712),"00")&amp;TEXT(DAY($B1712),"00")&amp;IF(ISNUMBER($O1712),IF($O1712&gt;1,"-"&amp;TEXT($O1712,"00"),""),"")))</f>
        <v/>
      </c>
      <c r="B1712" s="14"/>
      <c r="C1712" s="10"/>
      <c r="D1712" s="10"/>
      <c r="E1712" s="10"/>
      <c r="F1712" s="16"/>
      <c r="G1712" s="10"/>
      <c r="H1712" s="10"/>
      <c r="I1712" s="10"/>
      <c r="J1712" s="10"/>
      <c r="K1712" s="10"/>
      <c r="L1712" s="10"/>
      <c r="M1712" s="14"/>
      <c r="N1712" s="17" t="str">
        <f aca="false">IF($B1712="","",IF($L1712="已完成",IF($M1712="","",$M1712-$B1712),IF(设置!$B$6&lt;$B1712,"",IF((设置!$B$6-$B1712)&gt;=设置!$B$5,"超期"&amp;(设置!$B$6-$B1712)&amp;"天","已等"&amp;(设置!$B$6-$B1712)&amp;"天"))))</f>
        <v/>
      </c>
      <c r="O1712" s="18" t="str">
        <f aca="false">IF(OR($D1712="",$E1712=""),"",COUNTIFS($D$7:$D1712,$D1712,$E$7:$E1712,$E1712))</f>
        <v/>
      </c>
      <c r="P1712" s="16"/>
      <c r="Q1712" s="19"/>
      <c r="R1712" s="10"/>
      <c r="S1712" s="16"/>
      <c r="T1712" s="0" t="str">
        <f aca="false">IF(OR($D1712="",单元查询!$B$3=""),"",IF($D1712&lt;&gt;单元查询!$B$3,"",IF(OR(单元查询!$D$3="",$E1712&amp;""=单元查询!$D$3&amp;""),IF(ISNUMBER($B1712),$B1712*10000,0)+ROW(),"")))</f>
        <v/>
      </c>
      <c r="U1712" s="0" t="str">
        <f aca="false">IF(OR($B1712="",$L1712="已完成"),"",IF(ISNUMBER($B1712),IF(设置!$B$6&lt;$B1712,"",(设置!$B$6-$B1712)*100000+ROW()),""))</f>
        <v/>
      </c>
      <c r="V1712" s="0" t="str">
        <f aca="false">IF(ISNUMBER($O1712),IF($O1712&gt;=2,IF(COUNTIFS($D1712:$D$2006,$D1712,$E1712:$E$2006,$E1712)=1,ROW(),""),""),"")</f>
        <v/>
      </c>
    </row>
    <row r="1713" customFormat="false" ht="15" hidden="false" customHeight="true" outlineLevel="0" collapsed="false">
      <c r="A1713" s="13" t="str">
        <f aca="false">IF(AND($B1713="",$D1713="",$E1713="",$F1713=""),"",IF(OR($B1713="",$D1713="",$E1713=""),"待补",IF($D1713="公共区域","公",IF($D1713="商铺","S",SUBSTITUTE($D1713,"栋","")))&amp;"-"&amp;$E1713&amp;"-"&amp;TEXT(MONTH($B1713),"00")&amp;TEXT(DAY($B1713),"00")&amp;IF(ISNUMBER($O1713),IF($O1713&gt;1,"-"&amp;TEXT($O1713,"00"),""),"")))</f>
        <v/>
      </c>
      <c r="B1713" s="14"/>
      <c r="C1713" s="10"/>
      <c r="D1713" s="10"/>
      <c r="E1713" s="10"/>
      <c r="F1713" s="16"/>
      <c r="G1713" s="10"/>
      <c r="H1713" s="10"/>
      <c r="I1713" s="10"/>
      <c r="J1713" s="10"/>
      <c r="K1713" s="10"/>
      <c r="L1713" s="10"/>
      <c r="M1713" s="14"/>
      <c r="N1713" s="17" t="str">
        <f aca="false">IF($B1713="","",IF($L1713="已完成",IF($M1713="","",$M1713-$B1713),IF(设置!$B$6&lt;$B1713,"",IF((设置!$B$6-$B1713)&gt;=设置!$B$5,"超期"&amp;(设置!$B$6-$B1713)&amp;"天","已等"&amp;(设置!$B$6-$B1713)&amp;"天"))))</f>
        <v/>
      </c>
      <c r="O1713" s="18" t="str">
        <f aca="false">IF(OR($D1713="",$E1713=""),"",COUNTIFS($D$7:$D1713,$D1713,$E$7:$E1713,$E1713))</f>
        <v/>
      </c>
      <c r="P1713" s="16"/>
      <c r="Q1713" s="19"/>
      <c r="R1713" s="10"/>
      <c r="S1713" s="16"/>
      <c r="T1713" s="0" t="str">
        <f aca="false">IF(OR($D1713="",单元查询!$B$3=""),"",IF($D1713&lt;&gt;单元查询!$B$3,"",IF(OR(单元查询!$D$3="",$E1713&amp;""=单元查询!$D$3&amp;""),IF(ISNUMBER($B1713),$B1713*10000,0)+ROW(),"")))</f>
        <v/>
      </c>
      <c r="U1713" s="0" t="str">
        <f aca="false">IF(OR($B1713="",$L1713="已完成"),"",IF(ISNUMBER($B1713),IF(设置!$B$6&lt;$B1713,"",(设置!$B$6-$B1713)*100000+ROW()),""))</f>
        <v/>
      </c>
      <c r="V1713" s="0" t="str">
        <f aca="false">IF(ISNUMBER($O1713),IF($O1713&gt;=2,IF(COUNTIFS($D1713:$D$2006,$D1713,$E1713:$E$2006,$E1713)=1,ROW(),""),""),"")</f>
        <v/>
      </c>
    </row>
    <row r="1714" customFormat="false" ht="15" hidden="false" customHeight="true" outlineLevel="0" collapsed="false">
      <c r="A1714" s="13" t="str">
        <f aca="false">IF(AND($B1714="",$D1714="",$E1714="",$F1714=""),"",IF(OR($B1714="",$D1714="",$E1714=""),"待补",IF($D1714="公共区域","公",IF($D1714="商铺","S",SUBSTITUTE($D1714,"栋","")))&amp;"-"&amp;$E1714&amp;"-"&amp;TEXT(MONTH($B1714),"00")&amp;TEXT(DAY($B1714),"00")&amp;IF(ISNUMBER($O1714),IF($O1714&gt;1,"-"&amp;TEXT($O1714,"00"),""),"")))</f>
        <v/>
      </c>
      <c r="B1714" s="14"/>
      <c r="C1714" s="10"/>
      <c r="D1714" s="10"/>
      <c r="E1714" s="10"/>
      <c r="F1714" s="16"/>
      <c r="G1714" s="10"/>
      <c r="H1714" s="10"/>
      <c r="I1714" s="10"/>
      <c r="J1714" s="10"/>
      <c r="K1714" s="10"/>
      <c r="L1714" s="10"/>
      <c r="M1714" s="14"/>
      <c r="N1714" s="17" t="str">
        <f aca="false">IF($B1714="","",IF($L1714="已完成",IF($M1714="","",$M1714-$B1714),IF(设置!$B$6&lt;$B1714,"",IF((设置!$B$6-$B1714)&gt;=设置!$B$5,"超期"&amp;(设置!$B$6-$B1714)&amp;"天","已等"&amp;(设置!$B$6-$B1714)&amp;"天"))))</f>
        <v/>
      </c>
      <c r="O1714" s="18" t="str">
        <f aca="false">IF(OR($D1714="",$E1714=""),"",COUNTIFS($D$7:$D1714,$D1714,$E$7:$E1714,$E1714))</f>
        <v/>
      </c>
      <c r="P1714" s="16"/>
      <c r="Q1714" s="19"/>
      <c r="R1714" s="10"/>
      <c r="S1714" s="16"/>
      <c r="T1714" s="0" t="str">
        <f aca="false">IF(OR($D1714="",单元查询!$B$3=""),"",IF($D1714&lt;&gt;单元查询!$B$3,"",IF(OR(单元查询!$D$3="",$E1714&amp;""=单元查询!$D$3&amp;""),IF(ISNUMBER($B1714),$B1714*10000,0)+ROW(),"")))</f>
        <v/>
      </c>
      <c r="U1714" s="0" t="str">
        <f aca="false">IF(OR($B1714="",$L1714="已完成"),"",IF(ISNUMBER($B1714),IF(设置!$B$6&lt;$B1714,"",(设置!$B$6-$B1714)*100000+ROW()),""))</f>
        <v/>
      </c>
      <c r="V1714" s="0" t="str">
        <f aca="false">IF(ISNUMBER($O1714),IF($O1714&gt;=2,IF(COUNTIFS($D1714:$D$2006,$D1714,$E1714:$E$2006,$E1714)=1,ROW(),""),""),"")</f>
        <v/>
      </c>
    </row>
    <row r="1715" customFormat="false" ht="15" hidden="false" customHeight="true" outlineLevel="0" collapsed="false">
      <c r="A1715" s="13" t="str">
        <f aca="false">IF(AND($B1715="",$D1715="",$E1715="",$F1715=""),"",IF(OR($B1715="",$D1715="",$E1715=""),"待补",IF($D1715="公共区域","公",IF($D1715="商铺","S",SUBSTITUTE($D1715,"栋","")))&amp;"-"&amp;$E1715&amp;"-"&amp;TEXT(MONTH($B1715),"00")&amp;TEXT(DAY($B1715),"00")&amp;IF(ISNUMBER($O1715),IF($O1715&gt;1,"-"&amp;TEXT($O1715,"00"),""),"")))</f>
        <v/>
      </c>
      <c r="B1715" s="14"/>
      <c r="C1715" s="10"/>
      <c r="D1715" s="10"/>
      <c r="E1715" s="10"/>
      <c r="F1715" s="16"/>
      <c r="G1715" s="10"/>
      <c r="H1715" s="10"/>
      <c r="I1715" s="10"/>
      <c r="J1715" s="10"/>
      <c r="K1715" s="10"/>
      <c r="L1715" s="10"/>
      <c r="M1715" s="14"/>
      <c r="N1715" s="17" t="str">
        <f aca="false">IF($B1715="","",IF($L1715="已完成",IF($M1715="","",$M1715-$B1715),IF(设置!$B$6&lt;$B1715,"",IF((设置!$B$6-$B1715)&gt;=设置!$B$5,"超期"&amp;(设置!$B$6-$B1715)&amp;"天","已等"&amp;(设置!$B$6-$B1715)&amp;"天"))))</f>
        <v/>
      </c>
      <c r="O1715" s="18" t="str">
        <f aca="false">IF(OR($D1715="",$E1715=""),"",COUNTIFS($D$7:$D1715,$D1715,$E$7:$E1715,$E1715))</f>
        <v/>
      </c>
      <c r="P1715" s="16"/>
      <c r="Q1715" s="19"/>
      <c r="R1715" s="10"/>
      <c r="S1715" s="16"/>
      <c r="T1715" s="0" t="str">
        <f aca="false">IF(OR($D1715="",单元查询!$B$3=""),"",IF($D1715&lt;&gt;单元查询!$B$3,"",IF(OR(单元查询!$D$3="",$E1715&amp;""=单元查询!$D$3&amp;""),IF(ISNUMBER($B1715),$B1715*10000,0)+ROW(),"")))</f>
        <v/>
      </c>
      <c r="U1715" s="0" t="str">
        <f aca="false">IF(OR($B1715="",$L1715="已完成"),"",IF(ISNUMBER($B1715),IF(设置!$B$6&lt;$B1715,"",(设置!$B$6-$B1715)*100000+ROW()),""))</f>
        <v/>
      </c>
      <c r="V1715" s="0" t="str">
        <f aca="false">IF(ISNUMBER($O1715),IF($O1715&gt;=2,IF(COUNTIFS($D1715:$D$2006,$D1715,$E1715:$E$2006,$E1715)=1,ROW(),""),""),"")</f>
        <v/>
      </c>
    </row>
    <row r="1716" customFormat="false" ht="15" hidden="false" customHeight="true" outlineLevel="0" collapsed="false">
      <c r="A1716" s="13" t="str">
        <f aca="false">IF(AND($B1716="",$D1716="",$E1716="",$F1716=""),"",IF(OR($B1716="",$D1716="",$E1716=""),"待补",IF($D1716="公共区域","公",IF($D1716="商铺","S",SUBSTITUTE($D1716,"栋","")))&amp;"-"&amp;$E1716&amp;"-"&amp;TEXT(MONTH($B1716),"00")&amp;TEXT(DAY($B1716),"00")&amp;IF(ISNUMBER($O1716),IF($O1716&gt;1,"-"&amp;TEXT($O1716,"00"),""),"")))</f>
        <v/>
      </c>
      <c r="B1716" s="14"/>
      <c r="C1716" s="10"/>
      <c r="D1716" s="10"/>
      <c r="E1716" s="10"/>
      <c r="F1716" s="16"/>
      <c r="G1716" s="10"/>
      <c r="H1716" s="10"/>
      <c r="I1716" s="10"/>
      <c r="J1716" s="10"/>
      <c r="K1716" s="10"/>
      <c r="L1716" s="10"/>
      <c r="M1716" s="14"/>
      <c r="N1716" s="17" t="str">
        <f aca="false">IF($B1716="","",IF($L1716="已完成",IF($M1716="","",$M1716-$B1716),IF(设置!$B$6&lt;$B1716,"",IF((设置!$B$6-$B1716)&gt;=设置!$B$5,"超期"&amp;(设置!$B$6-$B1716)&amp;"天","已等"&amp;(设置!$B$6-$B1716)&amp;"天"))))</f>
        <v/>
      </c>
      <c r="O1716" s="18" t="str">
        <f aca="false">IF(OR($D1716="",$E1716=""),"",COUNTIFS($D$7:$D1716,$D1716,$E$7:$E1716,$E1716))</f>
        <v/>
      </c>
      <c r="P1716" s="16"/>
      <c r="Q1716" s="19"/>
      <c r="R1716" s="10"/>
      <c r="S1716" s="16"/>
      <c r="T1716" s="0" t="str">
        <f aca="false">IF(OR($D1716="",单元查询!$B$3=""),"",IF($D1716&lt;&gt;单元查询!$B$3,"",IF(OR(单元查询!$D$3="",$E1716&amp;""=单元查询!$D$3&amp;""),IF(ISNUMBER($B1716),$B1716*10000,0)+ROW(),"")))</f>
        <v/>
      </c>
      <c r="U1716" s="0" t="str">
        <f aca="false">IF(OR($B1716="",$L1716="已完成"),"",IF(ISNUMBER($B1716),IF(设置!$B$6&lt;$B1716,"",(设置!$B$6-$B1716)*100000+ROW()),""))</f>
        <v/>
      </c>
      <c r="V1716" s="0" t="str">
        <f aca="false">IF(ISNUMBER($O1716),IF($O1716&gt;=2,IF(COUNTIFS($D1716:$D$2006,$D1716,$E1716:$E$2006,$E1716)=1,ROW(),""),""),"")</f>
        <v/>
      </c>
    </row>
    <row r="1717" customFormat="false" ht="15" hidden="false" customHeight="true" outlineLevel="0" collapsed="false">
      <c r="A1717" s="13" t="str">
        <f aca="false">IF(AND($B1717="",$D1717="",$E1717="",$F1717=""),"",IF(OR($B1717="",$D1717="",$E1717=""),"待补",IF($D1717="公共区域","公",IF($D1717="商铺","S",SUBSTITUTE($D1717,"栋","")))&amp;"-"&amp;$E1717&amp;"-"&amp;TEXT(MONTH($B1717),"00")&amp;TEXT(DAY($B1717),"00")&amp;IF(ISNUMBER($O1717),IF($O1717&gt;1,"-"&amp;TEXT($O1717,"00"),""),"")))</f>
        <v/>
      </c>
      <c r="B1717" s="14"/>
      <c r="C1717" s="10"/>
      <c r="D1717" s="10"/>
      <c r="E1717" s="10"/>
      <c r="F1717" s="16"/>
      <c r="G1717" s="10"/>
      <c r="H1717" s="10"/>
      <c r="I1717" s="10"/>
      <c r="J1717" s="10"/>
      <c r="K1717" s="10"/>
      <c r="L1717" s="10"/>
      <c r="M1717" s="14"/>
      <c r="N1717" s="17" t="str">
        <f aca="false">IF($B1717="","",IF($L1717="已完成",IF($M1717="","",$M1717-$B1717),IF(设置!$B$6&lt;$B1717,"",IF((设置!$B$6-$B1717)&gt;=设置!$B$5,"超期"&amp;(设置!$B$6-$B1717)&amp;"天","已等"&amp;(设置!$B$6-$B1717)&amp;"天"))))</f>
        <v/>
      </c>
      <c r="O1717" s="18" t="str">
        <f aca="false">IF(OR($D1717="",$E1717=""),"",COUNTIFS($D$7:$D1717,$D1717,$E$7:$E1717,$E1717))</f>
        <v/>
      </c>
      <c r="P1717" s="16"/>
      <c r="Q1717" s="19"/>
      <c r="R1717" s="10"/>
      <c r="S1717" s="16"/>
      <c r="T1717" s="0" t="str">
        <f aca="false">IF(OR($D1717="",单元查询!$B$3=""),"",IF($D1717&lt;&gt;单元查询!$B$3,"",IF(OR(单元查询!$D$3="",$E1717&amp;""=单元查询!$D$3&amp;""),IF(ISNUMBER($B1717),$B1717*10000,0)+ROW(),"")))</f>
        <v/>
      </c>
      <c r="U1717" s="0" t="str">
        <f aca="false">IF(OR($B1717="",$L1717="已完成"),"",IF(ISNUMBER($B1717),IF(设置!$B$6&lt;$B1717,"",(设置!$B$6-$B1717)*100000+ROW()),""))</f>
        <v/>
      </c>
      <c r="V1717" s="0" t="str">
        <f aca="false">IF(ISNUMBER($O1717),IF($O1717&gt;=2,IF(COUNTIFS($D1717:$D$2006,$D1717,$E1717:$E$2006,$E1717)=1,ROW(),""),""),"")</f>
        <v/>
      </c>
    </row>
    <row r="1718" customFormat="false" ht="15" hidden="false" customHeight="true" outlineLevel="0" collapsed="false">
      <c r="A1718" s="13" t="str">
        <f aca="false">IF(AND($B1718="",$D1718="",$E1718="",$F1718=""),"",IF(OR($B1718="",$D1718="",$E1718=""),"待补",IF($D1718="公共区域","公",IF($D1718="商铺","S",SUBSTITUTE($D1718,"栋","")))&amp;"-"&amp;$E1718&amp;"-"&amp;TEXT(MONTH($B1718),"00")&amp;TEXT(DAY($B1718),"00")&amp;IF(ISNUMBER($O1718),IF($O1718&gt;1,"-"&amp;TEXT($O1718,"00"),""),"")))</f>
        <v/>
      </c>
      <c r="B1718" s="14"/>
      <c r="C1718" s="10"/>
      <c r="D1718" s="10"/>
      <c r="E1718" s="10"/>
      <c r="F1718" s="16"/>
      <c r="G1718" s="10"/>
      <c r="H1718" s="10"/>
      <c r="I1718" s="10"/>
      <c r="J1718" s="10"/>
      <c r="K1718" s="10"/>
      <c r="L1718" s="10"/>
      <c r="M1718" s="14"/>
      <c r="N1718" s="17" t="str">
        <f aca="false">IF($B1718="","",IF($L1718="已完成",IF($M1718="","",$M1718-$B1718),IF(设置!$B$6&lt;$B1718,"",IF((设置!$B$6-$B1718)&gt;=设置!$B$5,"超期"&amp;(设置!$B$6-$B1718)&amp;"天","已等"&amp;(设置!$B$6-$B1718)&amp;"天"))))</f>
        <v/>
      </c>
      <c r="O1718" s="18" t="str">
        <f aca="false">IF(OR($D1718="",$E1718=""),"",COUNTIFS($D$7:$D1718,$D1718,$E$7:$E1718,$E1718))</f>
        <v/>
      </c>
      <c r="P1718" s="16"/>
      <c r="Q1718" s="19"/>
      <c r="R1718" s="10"/>
      <c r="S1718" s="16"/>
      <c r="T1718" s="0" t="str">
        <f aca="false">IF(OR($D1718="",单元查询!$B$3=""),"",IF($D1718&lt;&gt;单元查询!$B$3,"",IF(OR(单元查询!$D$3="",$E1718&amp;""=单元查询!$D$3&amp;""),IF(ISNUMBER($B1718),$B1718*10000,0)+ROW(),"")))</f>
        <v/>
      </c>
      <c r="U1718" s="0" t="str">
        <f aca="false">IF(OR($B1718="",$L1718="已完成"),"",IF(ISNUMBER($B1718),IF(设置!$B$6&lt;$B1718,"",(设置!$B$6-$B1718)*100000+ROW()),""))</f>
        <v/>
      </c>
      <c r="V1718" s="0" t="str">
        <f aca="false">IF(ISNUMBER($O1718),IF($O1718&gt;=2,IF(COUNTIFS($D1718:$D$2006,$D1718,$E1718:$E$2006,$E1718)=1,ROW(),""),""),"")</f>
        <v/>
      </c>
    </row>
    <row r="1719" customFormat="false" ht="15" hidden="false" customHeight="true" outlineLevel="0" collapsed="false">
      <c r="A1719" s="13" t="str">
        <f aca="false">IF(AND($B1719="",$D1719="",$E1719="",$F1719=""),"",IF(OR($B1719="",$D1719="",$E1719=""),"待补",IF($D1719="公共区域","公",IF($D1719="商铺","S",SUBSTITUTE($D1719,"栋","")))&amp;"-"&amp;$E1719&amp;"-"&amp;TEXT(MONTH($B1719),"00")&amp;TEXT(DAY($B1719),"00")&amp;IF(ISNUMBER($O1719),IF($O1719&gt;1,"-"&amp;TEXT($O1719,"00"),""),"")))</f>
        <v/>
      </c>
      <c r="B1719" s="14"/>
      <c r="C1719" s="10"/>
      <c r="D1719" s="10"/>
      <c r="E1719" s="10"/>
      <c r="F1719" s="16"/>
      <c r="G1719" s="10"/>
      <c r="H1719" s="10"/>
      <c r="I1719" s="10"/>
      <c r="J1719" s="10"/>
      <c r="K1719" s="10"/>
      <c r="L1719" s="10"/>
      <c r="M1719" s="14"/>
      <c r="N1719" s="17" t="str">
        <f aca="false">IF($B1719="","",IF($L1719="已完成",IF($M1719="","",$M1719-$B1719),IF(设置!$B$6&lt;$B1719,"",IF((设置!$B$6-$B1719)&gt;=设置!$B$5,"超期"&amp;(设置!$B$6-$B1719)&amp;"天","已等"&amp;(设置!$B$6-$B1719)&amp;"天"))))</f>
        <v/>
      </c>
      <c r="O1719" s="18" t="str">
        <f aca="false">IF(OR($D1719="",$E1719=""),"",COUNTIFS($D$7:$D1719,$D1719,$E$7:$E1719,$E1719))</f>
        <v/>
      </c>
      <c r="P1719" s="16"/>
      <c r="Q1719" s="19"/>
      <c r="R1719" s="10"/>
      <c r="S1719" s="16"/>
      <c r="T1719" s="0" t="str">
        <f aca="false">IF(OR($D1719="",单元查询!$B$3=""),"",IF($D1719&lt;&gt;单元查询!$B$3,"",IF(OR(单元查询!$D$3="",$E1719&amp;""=单元查询!$D$3&amp;""),IF(ISNUMBER($B1719),$B1719*10000,0)+ROW(),"")))</f>
        <v/>
      </c>
      <c r="U1719" s="0" t="str">
        <f aca="false">IF(OR($B1719="",$L1719="已完成"),"",IF(ISNUMBER($B1719),IF(设置!$B$6&lt;$B1719,"",(设置!$B$6-$B1719)*100000+ROW()),""))</f>
        <v/>
      </c>
      <c r="V1719" s="0" t="str">
        <f aca="false">IF(ISNUMBER($O1719),IF($O1719&gt;=2,IF(COUNTIFS($D1719:$D$2006,$D1719,$E1719:$E$2006,$E1719)=1,ROW(),""),""),"")</f>
        <v/>
      </c>
    </row>
    <row r="1720" customFormat="false" ht="15" hidden="false" customHeight="true" outlineLevel="0" collapsed="false">
      <c r="A1720" s="13" t="str">
        <f aca="false">IF(AND($B1720="",$D1720="",$E1720="",$F1720=""),"",IF(OR($B1720="",$D1720="",$E1720=""),"待补",IF($D1720="公共区域","公",IF($D1720="商铺","S",SUBSTITUTE($D1720,"栋","")))&amp;"-"&amp;$E1720&amp;"-"&amp;TEXT(MONTH($B1720),"00")&amp;TEXT(DAY($B1720),"00")&amp;IF(ISNUMBER($O1720),IF($O1720&gt;1,"-"&amp;TEXT($O1720,"00"),""),"")))</f>
        <v/>
      </c>
      <c r="B1720" s="14"/>
      <c r="C1720" s="10"/>
      <c r="D1720" s="10"/>
      <c r="E1720" s="10"/>
      <c r="F1720" s="16"/>
      <c r="G1720" s="10"/>
      <c r="H1720" s="10"/>
      <c r="I1720" s="10"/>
      <c r="J1720" s="10"/>
      <c r="K1720" s="10"/>
      <c r="L1720" s="10"/>
      <c r="M1720" s="14"/>
      <c r="N1720" s="17" t="str">
        <f aca="false">IF($B1720="","",IF($L1720="已完成",IF($M1720="","",$M1720-$B1720),IF(设置!$B$6&lt;$B1720,"",IF((设置!$B$6-$B1720)&gt;=设置!$B$5,"超期"&amp;(设置!$B$6-$B1720)&amp;"天","已等"&amp;(设置!$B$6-$B1720)&amp;"天"))))</f>
        <v/>
      </c>
      <c r="O1720" s="18" t="str">
        <f aca="false">IF(OR($D1720="",$E1720=""),"",COUNTIFS($D$7:$D1720,$D1720,$E$7:$E1720,$E1720))</f>
        <v/>
      </c>
      <c r="P1720" s="16"/>
      <c r="Q1720" s="19"/>
      <c r="R1720" s="10"/>
      <c r="S1720" s="16"/>
      <c r="T1720" s="0" t="str">
        <f aca="false">IF(OR($D1720="",单元查询!$B$3=""),"",IF($D1720&lt;&gt;单元查询!$B$3,"",IF(OR(单元查询!$D$3="",$E1720&amp;""=单元查询!$D$3&amp;""),IF(ISNUMBER($B1720),$B1720*10000,0)+ROW(),"")))</f>
        <v/>
      </c>
      <c r="U1720" s="0" t="str">
        <f aca="false">IF(OR($B1720="",$L1720="已完成"),"",IF(ISNUMBER($B1720),IF(设置!$B$6&lt;$B1720,"",(设置!$B$6-$B1720)*100000+ROW()),""))</f>
        <v/>
      </c>
      <c r="V1720" s="0" t="str">
        <f aca="false">IF(ISNUMBER($O1720),IF($O1720&gt;=2,IF(COUNTIFS($D1720:$D$2006,$D1720,$E1720:$E$2006,$E1720)=1,ROW(),""),""),"")</f>
        <v/>
      </c>
    </row>
    <row r="1721" customFormat="false" ht="15" hidden="false" customHeight="true" outlineLevel="0" collapsed="false">
      <c r="A1721" s="13" t="str">
        <f aca="false">IF(AND($B1721="",$D1721="",$E1721="",$F1721=""),"",IF(OR($B1721="",$D1721="",$E1721=""),"待补",IF($D1721="公共区域","公",IF($D1721="商铺","S",SUBSTITUTE($D1721,"栋","")))&amp;"-"&amp;$E1721&amp;"-"&amp;TEXT(MONTH($B1721),"00")&amp;TEXT(DAY($B1721),"00")&amp;IF(ISNUMBER($O1721),IF($O1721&gt;1,"-"&amp;TEXT($O1721,"00"),""),"")))</f>
        <v/>
      </c>
      <c r="B1721" s="14"/>
      <c r="C1721" s="10"/>
      <c r="D1721" s="10"/>
      <c r="E1721" s="10"/>
      <c r="F1721" s="16"/>
      <c r="G1721" s="10"/>
      <c r="H1721" s="10"/>
      <c r="I1721" s="10"/>
      <c r="J1721" s="10"/>
      <c r="K1721" s="10"/>
      <c r="L1721" s="10"/>
      <c r="M1721" s="14"/>
      <c r="N1721" s="17" t="str">
        <f aca="false">IF($B1721="","",IF($L1721="已完成",IF($M1721="","",$M1721-$B1721),IF(设置!$B$6&lt;$B1721,"",IF((设置!$B$6-$B1721)&gt;=设置!$B$5,"超期"&amp;(设置!$B$6-$B1721)&amp;"天","已等"&amp;(设置!$B$6-$B1721)&amp;"天"))))</f>
        <v/>
      </c>
      <c r="O1721" s="18" t="str">
        <f aca="false">IF(OR($D1721="",$E1721=""),"",COUNTIFS($D$7:$D1721,$D1721,$E$7:$E1721,$E1721))</f>
        <v/>
      </c>
      <c r="P1721" s="16"/>
      <c r="Q1721" s="19"/>
      <c r="R1721" s="10"/>
      <c r="S1721" s="16"/>
      <c r="T1721" s="0" t="str">
        <f aca="false">IF(OR($D1721="",单元查询!$B$3=""),"",IF($D1721&lt;&gt;单元查询!$B$3,"",IF(OR(单元查询!$D$3="",$E1721&amp;""=单元查询!$D$3&amp;""),IF(ISNUMBER($B1721),$B1721*10000,0)+ROW(),"")))</f>
        <v/>
      </c>
      <c r="U1721" s="0" t="str">
        <f aca="false">IF(OR($B1721="",$L1721="已完成"),"",IF(ISNUMBER($B1721),IF(设置!$B$6&lt;$B1721,"",(设置!$B$6-$B1721)*100000+ROW()),""))</f>
        <v/>
      </c>
      <c r="V1721" s="0" t="str">
        <f aca="false">IF(ISNUMBER($O1721),IF($O1721&gt;=2,IF(COUNTIFS($D1721:$D$2006,$D1721,$E1721:$E$2006,$E1721)=1,ROW(),""),""),"")</f>
        <v/>
      </c>
    </row>
    <row r="1722" customFormat="false" ht="15" hidden="false" customHeight="true" outlineLevel="0" collapsed="false">
      <c r="A1722" s="13" t="str">
        <f aca="false">IF(AND($B1722="",$D1722="",$E1722="",$F1722=""),"",IF(OR($B1722="",$D1722="",$E1722=""),"待补",IF($D1722="公共区域","公",IF($D1722="商铺","S",SUBSTITUTE($D1722,"栋","")))&amp;"-"&amp;$E1722&amp;"-"&amp;TEXT(MONTH($B1722),"00")&amp;TEXT(DAY($B1722),"00")&amp;IF(ISNUMBER($O1722),IF($O1722&gt;1,"-"&amp;TEXT($O1722,"00"),""),"")))</f>
        <v/>
      </c>
      <c r="B1722" s="14"/>
      <c r="C1722" s="10"/>
      <c r="D1722" s="10"/>
      <c r="E1722" s="10"/>
      <c r="F1722" s="16"/>
      <c r="G1722" s="10"/>
      <c r="H1722" s="10"/>
      <c r="I1722" s="10"/>
      <c r="J1722" s="10"/>
      <c r="K1722" s="10"/>
      <c r="L1722" s="10"/>
      <c r="M1722" s="14"/>
      <c r="N1722" s="17" t="str">
        <f aca="false">IF($B1722="","",IF($L1722="已完成",IF($M1722="","",$M1722-$B1722),IF(设置!$B$6&lt;$B1722,"",IF((设置!$B$6-$B1722)&gt;=设置!$B$5,"超期"&amp;(设置!$B$6-$B1722)&amp;"天","已等"&amp;(设置!$B$6-$B1722)&amp;"天"))))</f>
        <v/>
      </c>
      <c r="O1722" s="18" t="str">
        <f aca="false">IF(OR($D1722="",$E1722=""),"",COUNTIFS($D$7:$D1722,$D1722,$E$7:$E1722,$E1722))</f>
        <v/>
      </c>
      <c r="P1722" s="16"/>
      <c r="Q1722" s="19"/>
      <c r="R1722" s="10"/>
      <c r="S1722" s="16"/>
      <c r="T1722" s="0" t="str">
        <f aca="false">IF(OR($D1722="",单元查询!$B$3=""),"",IF($D1722&lt;&gt;单元查询!$B$3,"",IF(OR(单元查询!$D$3="",$E1722&amp;""=单元查询!$D$3&amp;""),IF(ISNUMBER($B1722),$B1722*10000,0)+ROW(),"")))</f>
        <v/>
      </c>
      <c r="U1722" s="0" t="str">
        <f aca="false">IF(OR($B1722="",$L1722="已完成"),"",IF(ISNUMBER($B1722),IF(设置!$B$6&lt;$B1722,"",(设置!$B$6-$B1722)*100000+ROW()),""))</f>
        <v/>
      </c>
      <c r="V1722" s="0" t="str">
        <f aca="false">IF(ISNUMBER($O1722),IF($O1722&gt;=2,IF(COUNTIFS($D1722:$D$2006,$D1722,$E1722:$E$2006,$E1722)=1,ROW(),""),""),"")</f>
        <v/>
      </c>
    </row>
    <row r="1723" customFormat="false" ht="15" hidden="false" customHeight="true" outlineLevel="0" collapsed="false">
      <c r="A1723" s="13" t="str">
        <f aca="false">IF(AND($B1723="",$D1723="",$E1723="",$F1723=""),"",IF(OR($B1723="",$D1723="",$E1723=""),"待补",IF($D1723="公共区域","公",IF($D1723="商铺","S",SUBSTITUTE($D1723,"栋","")))&amp;"-"&amp;$E1723&amp;"-"&amp;TEXT(MONTH($B1723),"00")&amp;TEXT(DAY($B1723),"00")&amp;IF(ISNUMBER($O1723),IF($O1723&gt;1,"-"&amp;TEXT($O1723,"00"),""),"")))</f>
        <v/>
      </c>
      <c r="B1723" s="14"/>
      <c r="C1723" s="10"/>
      <c r="D1723" s="10"/>
      <c r="E1723" s="10"/>
      <c r="F1723" s="16"/>
      <c r="G1723" s="10"/>
      <c r="H1723" s="10"/>
      <c r="I1723" s="10"/>
      <c r="J1723" s="10"/>
      <c r="K1723" s="10"/>
      <c r="L1723" s="10"/>
      <c r="M1723" s="14"/>
      <c r="N1723" s="17" t="str">
        <f aca="false">IF($B1723="","",IF($L1723="已完成",IF($M1723="","",$M1723-$B1723),IF(设置!$B$6&lt;$B1723,"",IF((设置!$B$6-$B1723)&gt;=设置!$B$5,"超期"&amp;(设置!$B$6-$B1723)&amp;"天","已等"&amp;(设置!$B$6-$B1723)&amp;"天"))))</f>
        <v/>
      </c>
      <c r="O1723" s="18" t="str">
        <f aca="false">IF(OR($D1723="",$E1723=""),"",COUNTIFS($D$7:$D1723,$D1723,$E$7:$E1723,$E1723))</f>
        <v/>
      </c>
      <c r="P1723" s="16"/>
      <c r="Q1723" s="19"/>
      <c r="R1723" s="10"/>
      <c r="S1723" s="16"/>
      <c r="T1723" s="0" t="str">
        <f aca="false">IF(OR($D1723="",单元查询!$B$3=""),"",IF($D1723&lt;&gt;单元查询!$B$3,"",IF(OR(单元查询!$D$3="",$E1723&amp;""=单元查询!$D$3&amp;""),IF(ISNUMBER($B1723),$B1723*10000,0)+ROW(),"")))</f>
        <v/>
      </c>
      <c r="U1723" s="0" t="str">
        <f aca="false">IF(OR($B1723="",$L1723="已完成"),"",IF(ISNUMBER($B1723),IF(设置!$B$6&lt;$B1723,"",(设置!$B$6-$B1723)*100000+ROW()),""))</f>
        <v/>
      </c>
      <c r="V1723" s="0" t="str">
        <f aca="false">IF(ISNUMBER($O1723),IF($O1723&gt;=2,IF(COUNTIFS($D1723:$D$2006,$D1723,$E1723:$E$2006,$E1723)=1,ROW(),""),""),"")</f>
        <v/>
      </c>
    </row>
    <row r="1724" customFormat="false" ht="15" hidden="false" customHeight="true" outlineLevel="0" collapsed="false">
      <c r="A1724" s="13" t="str">
        <f aca="false">IF(AND($B1724="",$D1724="",$E1724="",$F1724=""),"",IF(OR($B1724="",$D1724="",$E1724=""),"待补",IF($D1724="公共区域","公",IF($D1724="商铺","S",SUBSTITUTE($D1724,"栋","")))&amp;"-"&amp;$E1724&amp;"-"&amp;TEXT(MONTH($B1724),"00")&amp;TEXT(DAY($B1724),"00")&amp;IF(ISNUMBER($O1724),IF($O1724&gt;1,"-"&amp;TEXT($O1724,"00"),""),"")))</f>
        <v/>
      </c>
      <c r="B1724" s="14"/>
      <c r="C1724" s="10"/>
      <c r="D1724" s="10"/>
      <c r="E1724" s="10"/>
      <c r="F1724" s="16"/>
      <c r="G1724" s="10"/>
      <c r="H1724" s="10"/>
      <c r="I1724" s="10"/>
      <c r="J1724" s="10"/>
      <c r="K1724" s="10"/>
      <c r="L1724" s="10"/>
      <c r="M1724" s="14"/>
      <c r="N1724" s="17" t="str">
        <f aca="false">IF($B1724="","",IF($L1724="已完成",IF($M1724="","",$M1724-$B1724),IF(设置!$B$6&lt;$B1724,"",IF((设置!$B$6-$B1724)&gt;=设置!$B$5,"超期"&amp;(设置!$B$6-$B1724)&amp;"天","已等"&amp;(设置!$B$6-$B1724)&amp;"天"))))</f>
        <v/>
      </c>
      <c r="O1724" s="18" t="str">
        <f aca="false">IF(OR($D1724="",$E1724=""),"",COUNTIFS($D$7:$D1724,$D1724,$E$7:$E1724,$E1724))</f>
        <v/>
      </c>
      <c r="P1724" s="16"/>
      <c r="Q1724" s="19"/>
      <c r="R1724" s="10"/>
      <c r="S1724" s="16"/>
      <c r="T1724" s="0" t="str">
        <f aca="false">IF(OR($D1724="",单元查询!$B$3=""),"",IF($D1724&lt;&gt;单元查询!$B$3,"",IF(OR(单元查询!$D$3="",$E1724&amp;""=单元查询!$D$3&amp;""),IF(ISNUMBER($B1724),$B1724*10000,0)+ROW(),"")))</f>
        <v/>
      </c>
      <c r="U1724" s="0" t="str">
        <f aca="false">IF(OR($B1724="",$L1724="已完成"),"",IF(ISNUMBER($B1724),IF(设置!$B$6&lt;$B1724,"",(设置!$B$6-$B1724)*100000+ROW()),""))</f>
        <v/>
      </c>
      <c r="V1724" s="0" t="str">
        <f aca="false">IF(ISNUMBER($O1724),IF($O1724&gt;=2,IF(COUNTIFS($D1724:$D$2006,$D1724,$E1724:$E$2006,$E1724)=1,ROW(),""),""),"")</f>
        <v/>
      </c>
    </row>
    <row r="1725" customFormat="false" ht="15" hidden="false" customHeight="true" outlineLevel="0" collapsed="false">
      <c r="A1725" s="13" t="str">
        <f aca="false">IF(AND($B1725="",$D1725="",$E1725="",$F1725=""),"",IF(OR($B1725="",$D1725="",$E1725=""),"待补",IF($D1725="公共区域","公",IF($D1725="商铺","S",SUBSTITUTE($D1725,"栋","")))&amp;"-"&amp;$E1725&amp;"-"&amp;TEXT(MONTH($B1725),"00")&amp;TEXT(DAY($B1725),"00")&amp;IF(ISNUMBER($O1725),IF($O1725&gt;1,"-"&amp;TEXT($O1725,"00"),""),"")))</f>
        <v/>
      </c>
      <c r="B1725" s="14"/>
      <c r="C1725" s="10"/>
      <c r="D1725" s="10"/>
      <c r="E1725" s="10"/>
      <c r="F1725" s="16"/>
      <c r="G1725" s="10"/>
      <c r="H1725" s="10"/>
      <c r="I1725" s="10"/>
      <c r="J1725" s="10"/>
      <c r="K1725" s="10"/>
      <c r="L1725" s="10"/>
      <c r="M1725" s="14"/>
      <c r="N1725" s="17" t="str">
        <f aca="false">IF($B1725="","",IF($L1725="已完成",IF($M1725="","",$M1725-$B1725),IF(设置!$B$6&lt;$B1725,"",IF((设置!$B$6-$B1725)&gt;=设置!$B$5,"超期"&amp;(设置!$B$6-$B1725)&amp;"天","已等"&amp;(设置!$B$6-$B1725)&amp;"天"))))</f>
        <v/>
      </c>
      <c r="O1725" s="18" t="str">
        <f aca="false">IF(OR($D1725="",$E1725=""),"",COUNTIFS($D$7:$D1725,$D1725,$E$7:$E1725,$E1725))</f>
        <v/>
      </c>
      <c r="P1725" s="16"/>
      <c r="Q1725" s="19"/>
      <c r="R1725" s="10"/>
      <c r="S1725" s="16"/>
      <c r="T1725" s="0" t="str">
        <f aca="false">IF(OR($D1725="",单元查询!$B$3=""),"",IF($D1725&lt;&gt;单元查询!$B$3,"",IF(OR(单元查询!$D$3="",$E1725&amp;""=单元查询!$D$3&amp;""),IF(ISNUMBER($B1725),$B1725*10000,0)+ROW(),"")))</f>
        <v/>
      </c>
      <c r="U1725" s="0" t="str">
        <f aca="false">IF(OR($B1725="",$L1725="已完成"),"",IF(ISNUMBER($B1725),IF(设置!$B$6&lt;$B1725,"",(设置!$B$6-$B1725)*100000+ROW()),""))</f>
        <v/>
      </c>
      <c r="V1725" s="0" t="str">
        <f aca="false">IF(ISNUMBER($O1725),IF($O1725&gt;=2,IF(COUNTIFS($D1725:$D$2006,$D1725,$E1725:$E$2006,$E1725)=1,ROW(),""),""),"")</f>
        <v/>
      </c>
    </row>
    <row r="1726" customFormat="false" ht="15" hidden="false" customHeight="true" outlineLevel="0" collapsed="false">
      <c r="A1726" s="13" t="str">
        <f aca="false">IF(AND($B1726="",$D1726="",$E1726="",$F1726=""),"",IF(OR($B1726="",$D1726="",$E1726=""),"待补",IF($D1726="公共区域","公",IF($D1726="商铺","S",SUBSTITUTE($D1726,"栋","")))&amp;"-"&amp;$E1726&amp;"-"&amp;TEXT(MONTH($B1726),"00")&amp;TEXT(DAY($B1726),"00")&amp;IF(ISNUMBER($O1726),IF($O1726&gt;1,"-"&amp;TEXT($O1726,"00"),""),"")))</f>
        <v/>
      </c>
      <c r="B1726" s="14"/>
      <c r="C1726" s="10"/>
      <c r="D1726" s="10"/>
      <c r="E1726" s="10"/>
      <c r="F1726" s="16"/>
      <c r="G1726" s="10"/>
      <c r="H1726" s="10"/>
      <c r="I1726" s="10"/>
      <c r="J1726" s="10"/>
      <c r="K1726" s="10"/>
      <c r="L1726" s="10"/>
      <c r="M1726" s="14"/>
      <c r="N1726" s="17" t="str">
        <f aca="false">IF($B1726="","",IF($L1726="已完成",IF($M1726="","",$M1726-$B1726),IF(设置!$B$6&lt;$B1726,"",IF((设置!$B$6-$B1726)&gt;=设置!$B$5,"超期"&amp;(设置!$B$6-$B1726)&amp;"天","已等"&amp;(设置!$B$6-$B1726)&amp;"天"))))</f>
        <v/>
      </c>
      <c r="O1726" s="18" t="str">
        <f aca="false">IF(OR($D1726="",$E1726=""),"",COUNTIFS($D$7:$D1726,$D1726,$E$7:$E1726,$E1726))</f>
        <v/>
      </c>
      <c r="P1726" s="16"/>
      <c r="Q1726" s="19"/>
      <c r="R1726" s="10"/>
      <c r="S1726" s="16"/>
      <c r="T1726" s="0" t="str">
        <f aca="false">IF(OR($D1726="",单元查询!$B$3=""),"",IF($D1726&lt;&gt;单元查询!$B$3,"",IF(OR(单元查询!$D$3="",$E1726&amp;""=单元查询!$D$3&amp;""),IF(ISNUMBER($B1726),$B1726*10000,0)+ROW(),"")))</f>
        <v/>
      </c>
      <c r="U1726" s="0" t="str">
        <f aca="false">IF(OR($B1726="",$L1726="已完成"),"",IF(ISNUMBER($B1726),IF(设置!$B$6&lt;$B1726,"",(设置!$B$6-$B1726)*100000+ROW()),""))</f>
        <v/>
      </c>
      <c r="V1726" s="0" t="str">
        <f aca="false">IF(ISNUMBER($O1726),IF($O1726&gt;=2,IF(COUNTIFS($D1726:$D$2006,$D1726,$E1726:$E$2006,$E1726)=1,ROW(),""),""),"")</f>
        <v/>
      </c>
    </row>
    <row r="1727" customFormat="false" ht="15" hidden="false" customHeight="true" outlineLevel="0" collapsed="false">
      <c r="A1727" s="13" t="str">
        <f aca="false">IF(AND($B1727="",$D1727="",$E1727="",$F1727=""),"",IF(OR($B1727="",$D1727="",$E1727=""),"待补",IF($D1727="公共区域","公",IF($D1727="商铺","S",SUBSTITUTE($D1727,"栋","")))&amp;"-"&amp;$E1727&amp;"-"&amp;TEXT(MONTH($B1727),"00")&amp;TEXT(DAY($B1727),"00")&amp;IF(ISNUMBER($O1727),IF($O1727&gt;1,"-"&amp;TEXT($O1727,"00"),""),"")))</f>
        <v/>
      </c>
      <c r="B1727" s="14"/>
      <c r="C1727" s="10"/>
      <c r="D1727" s="10"/>
      <c r="E1727" s="10"/>
      <c r="F1727" s="16"/>
      <c r="G1727" s="10"/>
      <c r="H1727" s="10"/>
      <c r="I1727" s="10"/>
      <c r="J1727" s="10"/>
      <c r="K1727" s="10"/>
      <c r="L1727" s="10"/>
      <c r="M1727" s="14"/>
      <c r="N1727" s="17" t="str">
        <f aca="false">IF($B1727="","",IF($L1727="已完成",IF($M1727="","",$M1727-$B1727),IF(设置!$B$6&lt;$B1727,"",IF((设置!$B$6-$B1727)&gt;=设置!$B$5,"超期"&amp;(设置!$B$6-$B1727)&amp;"天","已等"&amp;(设置!$B$6-$B1727)&amp;"天"))))</f>
        <v/>
      </c>
      <c r="O1727" s="18" t="str">
        <f aca="false">IF(OR($D1727="",$E1727=""),"",COUNTIFS($D$7:$D1727,$D1727,$E$7:$E1727,$E1727))</f>
        <v/>
      </c>
      <c r="P1727" s="16"/>
      <c r="Q1727" s="19"/>
      <c r="R1727" s="10"/>
      <c r="S1727" s="16"/>
      <c r="T1727" s="0" t="str">
        <f aca="false">IF(OR($D1727="",单元查询!$B$3=""),"",IF($D1727&lt;&gt;单元查询!$B$3,"",IF(OR(单元查询!$D$3="",$E1727&amp;""=单元查询!$D$3&amp;""),IF(ISNUMBER($B1727),$B1727*10000,0)+ROW(),"")))</f>
        <v/>
      </c>
      <c r="U1727" s="0" t="str">
        <f aca="false">IF(OR($B1727="",$L1727="已完成"),"",IF(ISNUMBER($B1727),IF(设置!$B$6&lt;$B1727,"",(设置!$B$6-$B1727)*100000+ROW()),""))</f>
        <v/>
      </c>
      <c r="V1727" s="0" t="str">
        <f aca="false">IF(ISNUMBER($O1727),IF($O1727&gt;=2,IF(COUNTIFS($D1727:$D$2006,$D1727,$E1727:$E$2006,$E1727)=1,ROW(),""),""),"")</f>
        <v/>
      </c>
    </row>
    <row r="1728" customFormat="false" ht="15" hidden="false" customHeight="true" outlineLevel="0" collapsed="false">
      <c r="A1728" s="13" t="str">
        <f aca="false">IF(AND($B1728="",$D1728="",$E1728="",$F1728=""),"",IF(OR($B1728="",$D1728="",$E1728=""),"待补",IF($D1728="公共区域","公",IF($D1728="商铺","S",SUBSTITUTE($D1728,"栋","")))&amp;"-"&amp;$E1728&amp;"-"&amp;TEXT(MONTH($B1728),"00")&amp;TEXT(DAY($B1728),"00")&amp;IF(ISNUMBER($O1728),IF($O1728&gt;1,"-"&amp;TEXT($O1728,"00"),""),"")))</f>
        <v/>
      </c>
      <c r="B1728" s="14"/>
      <c r="C1728" s="10"/>
      <c r="D1728" s="10"/>
      <c r="E1728" s="10"/>
      <c r="F1728" s="16"/>
      <c r="G1728" s="10"/>
      <c r="H1728" s="10"/>
      <c r="I1728" s="10"/>
      <c r="J1728" s="10"/>
      <c r="K1728" s="10"/>
      <c r="L1728" s="10"/>
      <c r="M1728" s="14"/>
      <c r="N1728" s="17" t="str">
        <f aca="false">IF($B1728="","",IF($L1728="已完成",IF($M1728="","",$M1728-$B1728),IF(设置!$B$6&lt;$B1728,"",IF((设置!$B$6-$B1728)&gt;=设置!$B$5,"超期"&amp;(设置!$B$6-$B1728)&amp;"天","已等"&amp;(设置!$B$6-$B1728)&amp;"天"))))</f>
        <v/>
      </c>
      <c r="O1728" s="18" t="str">
        <f aca="false">IF(OR($D1728="",$E1728=""),"",COUNTIFS($D$7:$D1728,$D1728,$E$7:$E1728,$E1728))</f>
        <v/>
      </c>
      <c r="P1728" s="16"/>
      <c r="Q1728" s="19"/>
      <c r="R1728" s="10"/>
      <c r="S1728" s="16"/>
      <c r="T1728" s="0" t="str">
        <f aca="false">IF(OR($D1728="",单元查询!$B$3=""),"",IF($D1728&lt;&gt;单元查询!$B$3,"",IF(OR(单元查询!$D$3="",$E1728&amp;""=单元查询!$D$3&amp;""),IF(ISNUMBER($B1728),$B1728*10000,0)+ROW(),"")))</f>
        <v/>
      </c>
      <c r="U1728" s="0" t="str">
        <f aca="false">IF(OR($B1728="",$L1728="已完成"),"",IF(ISNUMBER($B1728),IF(设置!$B$6&lt;$B1728,"",(设置!$B$6-$B1728)*100000+ROW()),""))</f>
        <v/>
      </c>
      <c r="V1728" s="0" t="str">
        <f aca="false">IF(ISNUMBER($O1728),IF($O1728&gt;=2,IF(COUNTIFS($D1728:$D$2006,$D1728,$E1728:$E$2006,$E1728)=1,ROW(),""),""),"")</f>
        <v/>
      </c>
    </row>
    <row r="1729" customFormat="false" ht="15" hidden="false" customHeight="true" outlineLevel="0" collapsed="false">
      <c r="A1729" s="13" t="str">
        <f aca="false">IF(AND($B1729="",$D1729="",$E1729="",$F1729=""),"",IF(OR($B1729="",$D1729="",$E1729=""),"待补",IF($D1729="公共区域","公",IF($D1729="商铺","S",SUBSTITUTE($D1729,"栋","")))&amp;"-"&amp;$E1729&amp;"-"&amp;TEXT(MONTH($B1729),"00")&amp;TEXT(DAY($B1729),"00")&amp;IF(ISNUMBER($O1729),IF($O1729&gt;1,"-"&amp;TEXT($O1729,"00"),""),"")))</f>
        <v/>
      </c>
      <c r="B1729" s="14"/>
      <c r="C1729" s="10"/>
      <c r="D1729" s="10"/>
      <c r="E1729" s="10"/>
      <c r="F1729" s="16"/>
      <c r="G1729" s="10"/>
      <c r="H1729" s="10"/>
      <c r="I1729" s="10"/>
      <c r="J1729" s="10"/>
      <c r="K1729" s="10"/>
      <c r="L1729" s="10"/>
      <c r="M1729" s="14"/>
      <c r="N1729" s="17" t="str">
        <f aca="false">IF($B1729="","",IF($L1729="已完成",IF($M1729="","",$M1729-$B1729),IF(设置!$B$6&lt;$B1729,"",IF((设置!$B$6-$B1729)&gt;=设置!$B$5,"超期"&amp;(设置!$B$6-$B1729)&amp;"天","已等"&amp;(设置!$B$6-$B1729)&amp;"天"))))</f>
        <v/>
      </c>
      <c r="O1729" s="18" t="str">
        <f aca="false">IF(OR($D1729="",$E1729=""),"",COUNTIFS($D$7:$D1729,$D1729,$E$7:$E1729,$E1729))</f>
        <v/>
      </c>
      <c r="P1729" s="16"/>
      <c r="Q1729" s="19"/>
      <c r="R1729" s="10"/>
      <c r="S1729" s="16"/>
      <c r="T1729" s="0" t="str">
        <f aca="false">IF(OR($D1729="",单元查询!$B$3=""),"",IF($D1729&lt;&gt;单元查询!$B$3,"",IF(OR(单元查询!$D$3="",$E1729&amp;""=单元查询!$D$3&amp;""),IF(ISNUMBER($B1729),$B1729*10000,0)+ROW(),"")))</f>
        <v/>
      </c>
      <c r="U1729" s="0" t="str">
        <f aca="false">IF(OR($B1729="",$L1729="已完成"),"",IF(ISNUMBER($B1729),IF(设置!$B$6&lt;$B1729,"",(设置!$B$6-$B1729)*100000+ROW()),""))</f>
        <v/>
      </c>
      <c r="V1729" s="0" t="str">
        <f aca="false">IF(ISNUMBER($O1729),IF($O1729&gt;=2,IF(COUNTIFS($D1729:$D$2006,$D1729,$E1729:$E$2006,$E1729)=1,ROW(),""),""),"")</f>
        <v/>
      </c>
    </row>
    <row r="1730" customFormat="false" ht="15" hidden="false" customHeight="true" outlineLevel="0" collapsed="false">
      <c r="A1730" s="13" t="str">
        <f aca="false">IF(AND($B1730="",$D1730="",$E1730="",$F1730=""),"",IF(OR($B1730="",$D1730="",$E1730=""),"待补",IF($D1730="公共区域","公",IF($D1730="商铺","S",SUBSTITUTE($D1730,"栋","")))&amp;"-"&amp;$E1730&amp;"-"&amp;TEXT(MONTH($B1730),"00")&amp;TEXT(DAY($B1730),"00")&amp;IF(ISNUMBER($O1730),IF($O1730&gt;1,"-"&amp;TEXT($O1730,"00"),""),"")))</f>
        <v/>
      </c>
      <c r="B1730" s="14"/>
      <c r="C1730" s="10"/>
      <c r="D1730" s="10"/>
      <c r="E1730" s="10"/>
      <c r="F1730" s="16"/>
      <c r="G1730" s="10"/>
      <c r="H1730" s="10"/>
      <c r="I1730" s="10"/>
      <c r="J1730" s="10"/>
      <c r="K1730" s="10"/>
      <c r="L1730" s="10"/>
      <c r="M1730" s="14"/>
      <c r="N1730" s="17" t="str">
        <f aca="false">IF($B1730="","",IF($L1730="已完成",IF($M1730="","",$M1730-$B1730),IF(设置!$B$6&lt;$B1730,"",IF((设置!$B$6-$B1730)&gt;=设置!$B$5,"超期"&amp;(设置!$B$6-$B1730)&amp;"天","已等"&amp;(设置!$B$6-$B1730)&amp;"天"))))</f>
        <v/>
      </c>
      <c r="O1730" s="18" t="str">
        <f aca="false">IF(OR($D1730="",$E1730=""),"",COUNTIFS($D$7:$D1730,$D1730,$E$7:$E1730,$E1730))</f>
        <v/>
      </c>
      <c r="P1730" s="16"/>
      <c r="Q1730" s="19"/>
      <c r="R1730" s="10"/>
      <c r="S1730" s="16"/>
      <c r="T1730" s="0" t="str">
        <f aca="false">IF(OR($D1730="",单元查询!$B$3=""),"",IF($D1730&lt;&gt;单元查询!$B$3,"",IF(OR(单元查询!$D$3="",$E1730&amp;""=单元查询!$D$3&amp;""),IF(ISNUMBER($B1730),$B1730*10000,0)+ROW(),"")))</f>
        <v/>
      </c>
      <c r="U1730" s="0" t="str">
        <f aca="false">IF(OR($B1730="",$L1730="已完成"),"",IF(ISNUMBER($B1730),IF(设置!$B$6&lt;$B1730,"",(设置!$B$6-$B1730)*100000+ROW()),""))</f>
        <v/>
      </c>
      <c r="V1730" s="0" t="str">
        <f aca="false">IF(ISNUMBER($O1730),IF($O1730&gt;=2,IF(COUNTIFS($D1730:$D$2006,$D1730,$E1730:$E$2006,$E1730)=1,ROW(),""),""),"")</f>
        <v/>
      </c>
    </row>
    <row r="1731" customFormat="false" ht="15" hidden="false" customHeight="true" outlineLevel="0" collapsed="false">
      <c r="A1731" s="13" t="str">
        <f aca="false">IF(AND($B1731="",$D1731="",$E1731="",$F1731=""),"",IF(OR($B1731="",$D1731="",$E1731=""),"待补",IF($D1731="公共区域","公",IF($D1731="商铺","S",SUBSTITUTE($D1731,"栋","")))&amp;"-"&amp;$E1731&amp;"-"&amp;TEXT(MONTH($B1731),"00")&amp;TEXT(DAY($B1731),"00")&amp;IF(ISNUMBER($O1731),IF($O1731&gt;1,"-"&amp;TEXT($O1731,"00"),""),"")))</f>
        <v/>
      </c>
      <c r="B1731" s="14"/>
      <c r="C1731" s="10"/>
      <c r="D1731" s="10"/>
      <c r="E1731" s="10"/>
      <c r="F1731" s="16"/>
      <c r="G1731" s="10"/>
      <c r="H1731" s="10"/>
      <c r="I1731" s="10"/>
      <c r="J1731" s="10"/>
      <c r="K1731" s="10"/>
      <c r="L1731" s="10"/>
      <c r="M1731" s="14"/>
      <c r="N1731" s="17" t="str">
        <f aca="false">IF($B1731="","",IF($L1731="已完成",IF($M1731="","",$M1731-$B1731),IF(设置!$B$6&lt;$B1731,"",IF((设置!$B$6-$B1731)&gt;=设置!$B$5,"超期"&amp;(设置!$B$6-$B1731)&amp;"天","已等"&amp;(设置!$B$6-$B1731)&amp;"天"))))</f>
        <v/>
      </c>
      <c r="O1731" s="18" t="str">
        <f aca="false">IF(OR($D1731="",$E1731=""),"",COUNTIFS($D$7:$D1731,$D1731,$E$7:$E1731,$E1731))</f>
        <v/>
      </c>
      <c r="P1731" s="16"/>
      <c r="Q1731" s="19"/>
      <c r="R1731" s="10"/>
      <c r="S1731" s="16"/>
      <c r="T1731" s="0" t="str">
        <f aca="false">IF(OR($D1731="",单元查询!$B$3=""),"",IF($D1731&lt;&gt;单元查询!$B$3,"",IF(OR(单元查询!$D$3="",$E1731&amp;""=单元查询!$D$3&amp;""),IF(ISNUMBER($B1731),$B1731*10000,0)+ROW(),"")))</f>
        <v/>
      </c>
      <c r="U1731" s="0" t="str">
        <f aca="false">IF(OR($B1731="",$L1731="已完成"),"",IF(ISNUMBER($B1731),IF(设置!$B$6&lt;$B1731,"",(设置!$B$6-$B1731)*100000+ROW()),""))</f>
        <v/>
      </c>
      <c r="V1731" s="0" t="str">
        <f aca="false">IF(ISNUMBER($O1731),IF($O1731&gt;=2,IF(COUNTIFS($D1731:$D$2006,$D1731,$E1731:$E$2006,$E1731)=1,ROW(),""),""),"")</f>
        <v/>
      </c>
    </row>
    <row r="1732" customFormat="false" ht="15" hidden="false" customHeight="true" outlineLevel="0" collapsed="false">
      <c r="A1732" s="13" t="str">
        <f aca="false">IF(AND($B1732="",$D1732="",$E1732="",$F1732=""),"",IF(OR($B1732="",$D1732="",$E1732=""),"待补",IF($D1732="公共区域","公",IF($D1732="商铺","S",SUBSTITUTE($D1732,"栋","")))&amp;"-"&amp;$E1732&amp;"-"&amp;TEXT(MONTH($B1732),"00")&amp;TEXT(DAY($B1732),"00")&amp;IF(ISNUMBER($O1732),IF($O1732&gt;1,"-"&amp;TEXT($O1732,"00"),""),"")))</f>
        <v/>
      </c>
      <c r="B1732" s="14"/>
      <c r="C1732" s="10"/>
      <c r="D1732" s="10"/>
      <c r="E1732" s="10"/>
      <c r="F1732" s="16"/>
      <c r="G1732" s="10"/>
      <c r="H1732" s="10"/>
      <c r="I1732" s="10"/>
      <c r="J1732" s="10"/>
      <c r="K1732" s="10"/>
      <c r="L1732" s="10"/>
      <c r="M1732" s="14"/>
      <c r="N1732" s="17" t="str">
        <f aca="false">IF($B1732="","",IF($L1732="已完成",IF($M1732="","",$M1732-$B1732),IF(设置!$B$6&lt;$B1732,"",IF((设置!$B$6-$B1732)&gt;=设置!$B$5,"超期"&amp;(设置!$B$6-$B1732)&amp;"天","已等"&amp;(设置!$B$6-$B1732)&amp;"天"))))</f>
        <v/>
      </c>
      <c r="O1732" s="18" t="str">
        <f aca="false">IF(OR($D1732="",$E1732=""),"",COUNTIFS($D$7:$D1732,$D1732,$E$7:$E1732,$E1732))</f>
        <v/>
      </c>
      <c r="P1732" s="16"/>
      <c r="Q1732" s="19"/>
      <c r="R1732" s="10"/>
      <c r="S1732" s="16"/>
      <c r="T1732" s="0" t="str">
        <f aca="false">IF(OR($D1732="",单元查询!$B$3=""),"",IF($D1732&lt;&gt;单元查询!$B$3,"",IF(OR(单元查询!$D$3="",$E1732&amp;""=单元查询!$D$3&amp;""),IF(ISNUMBER($B1732),$B1732*10000,0)+ROW(),"")))</f>
        <v/>
      </c>
      <c r="U1732" s="0" t="str">
        <f aca="false">IF(OR($B1732="",$L1732="已完成"),"",IF(ISNUMBER($B1732),IF(设置!$B$6&lt;$B1732,"",(设置!$B$6-$B1732)*100000+ROW()),""))</f>
        <v/>
      </c>
      <c r="V1732" s="0" t="str">
        <f aca="false">IF(ISNUMBER($O1732),IF($O1732&gt;=2,IF(COUNTIFS($D1732:$D$2006,$D1732,$E1732:$E$2006,$E1732)=1,ROW(),""),""),"")</f>
        <v/>
      </c>
    </row>
    <row r="1733" customFormat="false" ht="15" hidden="false" customHeight="true" outlineLevel="0" collapsed="false">
      <c r="A1733" s="13" t="str">
        <f aca="false">IF(AND($B1733="",$D1733="",$E1733="",$F1733=""),"",IF(OR($B1733="",$D1733="",$E1733=""),"待补",IF($D1733="公共区域","公",IF($D1733="商铺","S",SUBSTITUTE($D1733,"栋","")))&amp;"-"&amp;$E1733&amp;"-"&amp;TEXT(MONTH($B1733),"00")&amp;TEXT(DAY($B1733),"00")&amp;IF(ISNUMBER($O1733),IF($O1733&gt;1,"-"&amp;TEXT($O1733,"00"),""),"")))</f>
        <v/>
      </c>
      <c r="B1733" s="14"/>
      <c r="C1733" s="10"/>
      <c r="D1733" s="10"/>
      <c r="E1733" s="10"/>
      <c r="F1733" s="16"/>
      <c r="G1733" s="10"/>
      <c r="H1733" s="10"/>
      <c r="I1733" s="10"/>
      <c r="J1733" s="10"/>
      <c r="K1733" s="10"/>
      <c r="L1733" s="10"/>
      <c r="M1733" s="14"/>
      <c r="N1733" s="17" t="str">
        <f aca="false">IF($B1733="","",IF($L1733="已完成",IF($M1733="","",$M1733-$B1733),IF(设置!$B$6&lt;$B1733,"",IF((设置!$B$6-$B1733)&gt;=设置!$B$5,"超期"&amp;(设置!$B$6-$B1733)&amp;"天","已等"&amp;(设置!$B$6-$B1733)&amp;"天"))))</f>
        <v/>
      </c>
      <c r="O1733" s="18" t="str">
        <f aca="false">IF(OR($D1733="",$E1733=""),"",COUNTIFS($D$7:$D1733,$D1733,$E$7:$E1733,$E1733))</f>
        <v/>
      </c>
      <c r="P1733" s="16"/>
      <c r="Q1733" s="19"/>
      <c r="R1733" s="10"/>
      <c r="S1733" s="16"/>
      <c r="T1733" s="0" t="str">
        <f aca="false">IF(OR($D1733="",单元查询!$B$3=""),"",IF($D1733&lt;&gt;单元查询!$B$3,"",IF(OR(单元查询!$D$3="",$E1733&amp;""=单元查询!$D$3&amp;""),IF(ISNUMBER($B1733),$B1733*10000,0)+ROW(),"")))</f>
        <v/>
      </c>
      <c r="U1733" s="0" t="str">
        <f aca="false">IF(OR($B1733="",$L1733="已完成"),"",IF(ISNUMBER($B1733),IF(设置!$B$6&lt;$B1733,"",(设置!$B$6-$B1733)*100000+ROW()),""))</f>
        <v/>
      </c>
      <c r="V1733" s="0" t="str">
        <f aca="false">IF(ISNUMBER($O1733),IF($O1733&gt;=2,IF(COUNTIFS($D1733:$D$2006,$D1733,$E1733:$E$2006,$E1733)=1,ROW(),""),""),"")</f>
        <v/>
      </c>
    </row>
    <row r="1734" customFormat="false" ht="15" hidden="false" customHeight="true" outlineLevel="0" collapsed="false">
      <c r="A1734" s="13" t="str">
        <f aca="false">IF(AND($B1734="",$D1734="",$E1734="",$F1734=""),"",IF(OR($B1734="",$D1734="",$E1734=""),"待补",IF($D1734="公共区域","公",IF($D1734="商铺","S",SUBSTITUTE($D1734,"栋","")))&amp;"-"&amp;$E1734&amp;"-"&amp;TEXT(MONTH($B1734),"00")&amp;TEXT(DAY($B1734),"00")&amp;IF(ISNUMBER($O1734),IF($O1734&gt;1,"-"&amp;TEXT($O1734,"00"),""),"")))</f>
        <v/>
      </c>
      <c r="B1734" s="14"/>
      <c r="C1734" s="10"/>
      <c r="D1734" s="10"/>
      <c r="E1734" s="10"/>
      <c r="F1734" s="16"/>
      <c r="G1734" s="10"/>
      <c r="H1734" s="10"/>
      <c r="I1734" s="10"/>
      <c r="J1734" s="10"/>
      <c r="K1734" s="10"/>
      <c r="L1734" s="10"/>
      <c r="M1734" s="14"/>
      <c r="N1734" s="17" t="str">
        <f aca="false">IF($B1734="","",IF($L1734="已完成",IF($M1734="","",$M1734-$B1734),IF(设置!$B$6&lt;$B1734,"",IF((设置!$B$6-$B1734)&gt;=设置!$B$5,"超期"&amp;(设置!$B$6-$B1734)&amp;"天","已等"&amp;(设置!$B$6-$B1734)&amp;"天"))))</f>
        <v/>
      </c>
      <c r="O1734" s="18" t="str">
        <f aca="false">IF(OR($D1734="",$E1734=""),"",COUNTIFS($D$7:$D1734,$D1734,$E$7:$E1734,$E1734))</f>
        <v/>
      </c>
      <c r="P1734" s="16"/>
      <c r="Q1734" s="19"/>
      <c r="R1734" s="10"/>
      <c r="S1734" s="16"/>
      <c r="T1734" s="0" t="str">
        <f aca="false">IF(OR($D1734="",单元查询!$B$3=""),"",IF($D1734&lt;&gt;单元查询!$B$3,"",IF(OR(单元查询!$D$3="",$E1734&amp;""=单元查询!$D$3&amp;""),IF(ISNUMBER($B1734),$B1734*10000,0)+ROW(),"")))</f>
        <v/>
      </c>
      <c r="U1734" s="0" t="str">
        <f aca="false">IF(OR($B1734="",$L1734="已完成"),"",IF(ISNUMBER($B1734),IF(设置!$B$6&lt;$B1734,"",(设置!$B$6-$B1734)*100000+ROW()),""))</f>
        <v/>
      </c>
      <c r="V1734" s="0" t="str">
        <f aca="false">IF(ISNUMBER($O1734),IF($O1734&gt;=2,IF(COUNTIFS($D1734:$D$2006,$D1734,$E1734:$E$2006,$E1734)=1,ROW(),""),""),"")</f>
        <v/>
      </c>
    </row>
    <row r="1735" customFormat="false" ht="15" hidden="false" customHeight="true" outlineLevel="0" collapsed="false">
      <c r="A1735" s="13" t="str">
        <f aca="false">IF(AND($B1735="",$D1735="",$E1735="",$F1735=""),"",IF(OR($B1735="",$D1735="",$E1735=""),"待补",IF($D1735="公共区域","公",IF($D1735="商铺","S",SUBSTITUTE($D1735,"栋","")))&amp;"-"&amp;$E1735&amp;"-"&amp;TEXT(MONTH($B1735),"00")&amp;TEXT(DAY($B1735),"00")&amp;IF(ISNUMBER($O1735),IF($O1735&gt;1,"-"&amp;TEXT($O1735,"00"),""),"")))</f>
        <v/>
      </c>
      <c r="B1735" s="14"/>
      <c r="C1735" s="10"/>
      <c r="D1735" s="10"/>
      <c r="E1735" s="10"/>
      <c r="F1735" s="16"/>
      <c r="G1735" s="10"/>
      <c r="H1735" s="10"/>
      <c r="I1735" s="10"/>
      <c r="J1735" s="10"/>
      <c r="K1735" s="10"/>
      <c r="L1735" s="10"/>
      <c r="M1735" s="14"/>
      <c r="N1735" s="17" t="str">
        <f aca="false">IF($B1735="","",IF($L1735="已完成",IF($M1735="","",$M1735-$B1735),IF(设置!$B$6&lt;$B1735,"",IF((设置!$B$6-$B1735)&gt;=设置!$B$5,"超期"&amp;(设置!$B$6-$B1735)&amp;"天","已等"&amp;(设置!$B$6-$B1735)&amp;"天"))))</f>
        <v/>
      </c>
      <c r="O1735" s="18" t="str">
        <f aca="false">IF(OR($D1735="",$E1735=""),"",COUNTIFS($D$7:$D1735,$D1735,$E$7:$E1735,$E1735))</f>
        <v/>
      </c>
      <c r="P1735" s="16"/>
      <c r="Q1735" s="19"/>
      <c r="R1735" s="10"/>
      <c r="S1735" s="16"/>
      <c r="T1735" s="0" t="str">
        <f aca="false">IF(OR($D1735="",单元查询!$B$3=""),"",IF($D1735&lt;&gt;单元查询!$B$3,"",IF(OR(单元查询!$D$3="",$E1735&amp;""=单元查询!$D$3&amp;""),IF(ISNUMBER($B1735),$B1735*10000,0)+ROW(),"")))</f>
        <v/>
      </c>
      <c r="U1735" s="0" t="str">
        <f aca="false">IF(OR($B1735="",$L1735="已完成"),"",IF(ISNUMBER($B1735),IF(设置!$B$6&lt;$B1735,"",(设置!$B$6-$B1735)*100000+ROW()),""))</f>
        <v/>
      </c>
      <c r="V1735" s="0" t="str">
        <f aca="false">IF(ISNUMBER($O1735),IF($O1735&gt;=2,IF(COUNTIFS($D1735:$D$2006,$D1735,$E1735:$E$2006,$E1735)=1,ROW(),""),""),"")</f>
        <v/>
      </c>
    </row>
    <row r="1736" customFormat="false" ht="15" hidden="false" customHeight="true" outlineLevel="0" collapsed="false">
      <c r="A1736" s="13" t="str">
        <f aca="false">IF(AND($B1736="",$D1736="",$E1736="",$F1736=""),"",IF(OR($B1736="",$D1736="",$E1736=""),"待补",IF($D1736="公共区域","公",IF($D1736="商铺","S",SUBSTITUTE($D1736,"栋","")))&amp;"-"&amp;$E1736&amp;"-"&amp;TEXT(MONTH($B1736),"00")&amp;TEXT(DAY($B1736),"00")&amp;IF(ISNUMBER($O1736),IF($O1736&gt;1,"-"&amp;TEXT($O1736,"00"),""),"")))</f>
        <v/>
      </c>
      <c r="B1736" s="14"/>
      <c r="C1736" s="10"/>
      <c r="D1736" s="10"/>
      <c r="E1736" s="10"/>
      <c r="F1736" s="16"/>
      <c r="G1736" s="10"/>
      <c r="H1736" s="10"/>
      <c r="I1736" s="10"/>
      <c r="J1736" s="10"/>
      <c r="K1736" s="10"/>
      <c r="L1736" s="10"/>
      <c r="M1736" s="14"/>
      <c r="N1736" s="17" t="str">
        <f aca="false">IF($B1736="","",IF($L1736="已完成",IF($M1736="","",$M1736-$B1736),IF(设置!$B$6&lt;$B1736,"",IF((设置!$B$6-$B1736)&gt;=设置!$B$5,"超期"&amp;(设置!$B$6-$B1736)&amp;"天","已等"&amp;(设置!$B$6-$B1736)&amp;"天"))))</f>
        <v/>
      </c>
      <c r="O1736" s="18" t="str">
        <f aca="false">IF(OR($D1736="",$E1736=""),"",COUNTIFS($D$7:$D1736,$D1736,$E$7:$E1736,$E1736))</f>
        <v/>
      </c>
      <c r="P1736" s="16"/>
      <c r="Q1736" s="19"/>
      <c r="R1736" s="10"/>
      <c r="S1736" s="16"/>
      <c r="T1736" s="0" t="str">
        <f aca="false">IF(OR($D1736="",单元查询!$B$3=""),"",IF($D1736&lt;&gt;单元查询!$B$3,"",IF(OR(单元查询!$D$3="",$E1736&amp;""=单元查询!$D$3&amp;""),IF(ISNUMBER($B1736),$B1736*10000,0)+ROW(),"")))</f>
        <v/>
      </c>
      <c r="U1736" s="0" t="str">
        <f aca="false">IF(OR($B1736="",$L1736="已完成"),"",IF(ISNUMBER($B1736),IF(设置!$B$6&lt;$B1736,"",(设置!$B$6-$B1736)*100000+ROW()),""))</f>
        <v/>
      </c>
      <c r="V1736" s="0" t="str">
        <f aca="false">IF(ISNUMBER($O1736),IF($O1736&gt;=2,IF(COUNTIFS($D1736:$D$2006,$D1736,$E1736:$E$2006,$E1736)=1,ROW(),""),""),"")</f>
        <v/>
      </c>
    </row>
    <row r="1737" customFormat="false" ht="15" hidden="false" customHeight="true" outlineLevel="0" collapsed="false">
      <c r="A1737" s="13" t="str">
        <f aca="false">IF(AND($B1737="",$D1737="",$E1737="",$F1737=""),"",IF(OR($B1737="",$D1737="",$E1737=""),"待补",IF($D1737="公共区域","公",IF($D1737="商铺","S",SUBSTITUTE($D1737,"栋","")))&amp;"-"&amp;$E1737&amp;"-"&amp;TEXT(MONTH($B1737),"00")&amp;TEXT(DAY($B1737),"00")&amp;IF(ISNUMBER($O1737),IF($O1737&gt;1,"-"&amp;TEXT($O1737,"00"),""),"")))</f>
        <v/>
      </c>
      <c r="B1737" s="14"/>
      <c r="C1737" s="10"/>
      <c r="D1737" s="10"/>
      <c r="E1737" s="10"/>
      <c r="F1737" s="16"/>
      <c r="G1737" s="10"/>
      <c r="H1737" s="10"/>
      <c r="I1737" s="10"/>
      <c r="J1737" s="10"/>
      <c r="K1737" s="10"/>
      <c r="L1737" s="10"/>
      <c r="M1737" s="14"/>
      <c r="N1737" s="17" t="str">
        <f aca="false">IF($B1737="","",IF($L1737="已完成",IF($M1737="","",$M1737-$B1737),IF(设置!$B$6&lt;$B1737,"",IF((设置!$B$6-$B1737)&gt;=设置!$B$5,"超期"&amp;(设置!$B$6-$B1737)&amp;"天","已等"&amp;(设置!$B$6-$B1737)&amp;"天"))))</f>
        <v/>
      </c>
      <c r="O1737" s="18" t="str">
        <f aca="false">IF(OR($D1737="",$E1737=""),"",COUNTIFS($D$7:$D1737,$D1737,$E$7:$E1737,$E1737))</f>
        <v/>
      </c>
      <c r="P1737" s="16"/>
      <c r="Q1737" s="19"/>
      <c r="R1737" s="10"/>
      <c r="S1737" s="16"/>
      <c r="T1737" s="0" t="str">
        <f aca="false">IF(OR($D1737="",单元查询!$B$3=""),"",IF($D1737&lt;&gt;单元查询!$B$3,"",IF(OR(单元查询!$D$3="",$E1737&amp;""=单元查询!$D$3&amp;""),IF(ISNUMBER($B1737),$B1737*10000,0)+ROW(),"")))</f>
        <v/>
      </c>
      <c r="U1737" s="0" t="str">
        <f aca="false">IF(OR($B1737="",$L1737="已完成"),"",IF(ISNUMBER($B1737),IF(设置!$B$6&lt;$B1737,"",(设置!$B$6-$B1737)*100000+ROW()),""))</f>
        <v/>
      </c>
      <c r="V1737" s="0" t="str">
        <f aca="false">IF(ISNUMBER($O1737),IF($O1737&gt;=2,IF(COUNTIFS($D1737:$D$2006,$D1737,$E1737:$E$2006,$E1737)=1,ROW(),""),""),"")</f>
        <v/>
      </c>
    </row>
    <row r="1738" customFormat="false" ht="15" hidden="false" customHeight="true" outlineLevel="0" collapsed="false">
      <c r="A1738" s="13" t="str">
        <f aca="false">IF(AND($B1738="",$D1738="",$E1738="",$F1738=""),"",IF(OR($B1738="",$D1738="",$E1738=""),"待补",IF($D1738="公共区域","公",IF($D1738="商铺","S",SUBSTITUTE($D1738,"栋","")))&amp;"-"&amp;$E1738&amp;"-"&amp;TEXT(MONTH($B1738),"00")&amp;TEXT(DAY($B1738),"00")&amp;IF(ISNUMBER($O1738),IF($O1738&gt;1,"-"&amp;TEXT($O1738,"00"),""),"")))</f>
        <v/>
      </c>
      <c r="B1738" s="14"/>
      <c r="C1738" s="10"/>
      <c r="D1738" s="10"/>
      <c r="E1738" s="10"/>
      <c r="F1738" s="16"/>
      <c r="G1738" s="10"/>
      <c r="H1738" s="10"/>
      <c r="I1738" s="10"/>
      <c r="J1738" s="10"/>
      <c r="K1738" s="10"/>
      <c r="L1738" s="10"/>
      <c r="M1738" s="14"/>
      <c r="N1738" s="17" t="str">
        <f aca="false">IF($B1738="","",IF($L1738="已完成",IF($M1738="","",$M1738-$B1738),IF(设置!$B$6&lt;$B1738,"",IF((设置!$B$6-$B1738)&gt;=设置!$B$5,"超期"&amp;(设置!$B$6-$B1738)&amp;"天","已等"&amp;(设置!$B$6-$B1738)&amp;"天"))))</f>
        <v/>
      </c>
      <c r="O1738" s="18" t="str">
        <f aca="false">IF(OR($D1738="",$E1738=""),"",COUNTIFS($D$7:$D1738,$D1738,$E$7:$E1738,$E1738))</f>
        <v/>
      </c>
      <c r="P1738" s="16"/>
      <c r="Q1738" s="19"/>
      <c r="R1738" s="10"/>
      <c r="S1738" s="16"/>
      <c r="T1738" s="0" t="str">
        <f aca="false">IF(OR($D1738="",单元查询!$B$3=""),"",IF($D1738&lt;&gt;单元查询!$B$3,"",IF(OR(单元查询!$D$3="",$E1738&amp;""=单元查询!$D$3&amp;""),IF(ISNUMBER($B1738),$B1738*10000,0)+ROW(),"")))</f>
        <v/>
      </c>
      <c r="U1738" s="0" t="str">
        <f aca="false">IF(OR($B1738="",$L1738="已完成"),"",IF(ISNUMBER($B1738),IF(设置!$B$6&lt;$B1738,"",(设置!$B$6-$B1738)*100000+ROW()),""))</f>
        <v/>
      </c>
      <c r="V1738" s="0" t="str">
        <f aca="false">IF(ISNUMBER($O1738),IF($O1738&gt;=2,IF(COUNTIFS($D1738:$D$2006,$D1738,$E1738:$E$2006,$E1738)=1,ROW(),""),""),"")</f>
        <v/>
      </c>
    </row>
    <row r="1739" customFormat="false" ht="15" hidden="false" customHeight="true" outlineLevel="0" collapsed="false">
      <c r="A1739" s="13" t="str">
        <f aca="false">IF(AND($B1739="",$D1739="",$E1739="",$F1739=""),"",IF(OR($B1739="",$D1739="",$E1739=""),"待补",IF($D1739="公共区域","公",IF($D1739="商铺","S",SUBSTITUTE($D1739,"栋","")))&amp;"-"&amp;$E1739&amp;"-"&amp;TEXT(MONTH($B1739),"00")&amp;TEXT(DAY($B1739),"00")&amp;IF(ISNUMBER($O1739),IF($O1739&gt;1,"-"&amp;TEXT($O1739,"00"),""),"")))</f>
        <v/>
      </c>
      <c r="B1739" s="14"/>
      <c r="C1739" s="10"/>
      <c r="D1739" s="10"/>
      <c r="E1739" s="10"/>
      <c r="F1739" s="16"/>
      <c r="G1739" s="10"/>
      <c r="H1739" s="10"/>
      <c r="I1739" s="10"/>
      <c r="J1739" s="10"/>
      <c r="K1739" s="10"/>
      <c r="L1739" s="10"/>
      <c r="M1739" s="14"/>
      <c r="N1739" s="17" t="str">
        <f aca="false">IF($B1739="","",IF($L1739="已完成",IF($M1739="","",$M1739-$B1739),IF(设置!$B$6&lt;$B1739,"",IF((设置!$B$6-$B1739)&gt;=设置!$B$5,"超期"&amp;(设置!$B$6-$B1739)&amp;"天","已等"&amp;(设置!$B$6-$B1739)&amp;"天"))))</f>
        <v/>
      </c>
      <c r="O1739" s="18" t="str">
        <f aca="false">IF(OR($D1739="",$E1739=""),"",COUNTIFS($D$7:$D1739,$D1739,$E$7:$E1739,$E1739))</f>
        <v/>
      </c>
      <c r="P1739" s="16"/>
      <c r="Q1739" s="19"/>
      <c r="R1739" s="10"/>
      <c r="S1739" s="16"/>
      <c r="T1739" s="0" t="str">
        <f aca="false">IF(OR($D1739="",单元查询!$B$3=""),"",IF($D1739&lt;&gt;单元查询!$B$3,"",IF(OR(单元查询!$D$3="",$E1739&amp;""=单元查询!$D$3&amp;""),IF(ISNUMBER($B1739),$B1739*10000,0)+ROW(),"")))</f>
        <v/>
      </c>
      <c r="U1739" s="0" t="str">
        <f aca="false">IF(OR($B1739="",$L1739="已完成"),"",IF(ISNUMBER($B1739),IF(设置!$B$6&lt;$B1739,"",(设置!$B$6-$B1739)*100000+ROW()),""))</f>
        <v/>
      </c>
      <c r="V1739" s="0" t="str">
        <f aca="false">IF(ISNUMBER($O1739),IF($O1739&gt;=2,IF(COUNTIFS($D1739:$D$2006,$D1739,$E1739:$E$2006,$E1739)=1,ROW(),""),""),"")</f>
        <v/>
      </c>
    </row>
    <row r="1740" customFormat="false" ht="15" hidden="false" customHeight="true" outlineLevel="0" collapsed="false">
      <c r="A1740" s="13" t="str">
        <f aca="false">IF(AND($B1740="",$D1740="",$E1740="",$F1740=""),"",IF(OR($B1740="",$D1740="",$E1740=""),"待补",IF($D1740="公共区域","公",IF($D1740="商铺","S",SUBSTITUTE($D1740,"栋","")))&amp;"-"&amp;$E1740&amp;"-"&amp;TEXT(MONTH($B1740),"00")&amp;TEXT(DAY($B1740),"00")&amp;IF(ISNUMBER($O1740),IF($O1740&gt;1,"-"&amp;TEXT($O1740,"00"),""),"")))</f>
        <v/>
      </c>
      <c r="B1740" s="14"/>
      <c r="C1740" s="10"/>
      <c r="D1740" s="10"/>
      <c r="E1740" s="10"/>
      <c r="F1740" s="16"/>
      <c r="G1740" s="10"/>
      <c r="H1740" s="10"/>
      <c r="I1740" s="10"/>
      <c r="J1740" s="10"/>
      <c r="K1740" s="10"/>
      <c r="L1740" s="10"/>
      <c r="M1740" s="14"/>
      <c r="N1740" s="17" t="str">
        <f aca="false">IF($B1740="","",IF($L1740="已完成",IF($M1740="","",$M1740-$B1740),IF(设置!$B$6&lt;$B1740,"",IF((设置!$B$6-$B1740)&gt;=设置!$B$5,"超期"&amp;(设置!$B$6-$B1740)&amp;"天","已等"&amp;(设置!$B$6-$B1740)&amp;"天"))))</f>
        <v/>
      </c>
      <c r="O1740" s="18" t="str">
        <f aca="false">IF(OR($D1740="",$E1740=""),"",COUNTIFS($D$7:$D1740,$D1740,$E$7:$E1740,$E1740))</f>
        <v/>
      </c>
      <c r="P1740" s="16"/>
      <c r="Q1740" s="19"/>
      <c r="R1740" s="10"/>
      <c r="S1740" s="16"/>
      <c r="T1740" s="0" t="str">
        <f aca="false">IF(OR($D1740="",单元查询!$B$3=""),"",IF($D1740&lt;&gt;单元查询!$B$3,"",IF(OR(单元查询!$D$3="",$E1740&amp;""=单元查询!$D$3&amp;""),IF(ISNUMBER($B1740),$B1740*10000,0)+ROW(),"")))</f>
        <v/>
      </c>
      <c r="U1740" s="0" t="str">
        <f aca="false">IF(OR($B1740="",$L1740="已完成"),"",IF(ISNUMBER($B1740),IF(设置!$B$6&lt;$B1740,"",(设置!$B$6-$B1740)*100000+ROW()),""))</f>
        <v/>
      </c>
      <c r="V1740" s="0" t="str">
        <f aca="false">IF(ISNUMBER($O1740),IF($O1740&gt;=2,IF(COUNTIFS($D1740:$D$2006,$D1740,$E1740:$E$2006,$E1740)=1,ROW(),""),""),"")</f>
        <v/>
      </c>
    </row>
    <row r="1741" customFormat="false" ht="15" hidden="false" customHeight="true" outlineLevel="0" collapsed="false">
      <c r="A1741" s="13" t="str">
        <f aca="false">IF(AND($B1741="",$D1741="",$E1741="",$F1741=""),"",IF(OR($B1741="",$D1741="",$E1741=""),"待补",IF($D1741="公共区域","公",IF($D1741="商铺","S",SUBSTITUTE($D1741,"栋","")))&amp;"-"&amp;$E1741&amp;"-"&amp;TEXT(MONTH($B1741),"00")&amp;TEXT(DAY($B1741),"00")&amp;IF(ISNUMBER($O1741),IF($O1741&gt;1,"-"&amp;TEXT($O1741,"00"),""),"")))</f>
        <v/>
      </c>
      <c r="B1741" s="14"/>
      <c r="C1741" s="10"/>
      <c r="D1741" s="10"/>
      <c r="E1741" s="10"/>
      <c r="F1741" s="16"/>
      <c r="G1741" s="10"/>
      <c r="H1741" s="10"/>
      <c r="I1741" s="10"/>
      <c r="J1741" s="10"/>
      <c r="K1741" s="10"/>
      <c r="L1741" s="10"/>
      <c r="M1741" s="14"/>
      <c r="N1741" s="17" t="str">
        <f aca="false">IF($B1741="","",IF($L1741="已完成",IF($M1741="","",$M1741-$B1741),IF(设置!$B$6&lt;$B1741,"",IF((设置!$B$6-$B1741)&gt;=设置!$B$5,"超期"&amp;(设置!$B$6-$B1741)&amp;"天","已等"&amp;(设置!$B$6-$B1741)&amp;"天"))))</f>
        <v/>
      </c>
      <c r="O1741" s="18" t="str">
        <f aca="false">IF(OR($D1741="",$E1741=""),"",COUNTIFS($D$7:$D1741,$D1741,$E$7:$E1741,$E1741))</f>
        <v/>
      </c>
      <c r="P1741" s="16"/>
      <c r="Q1741" s="19"/>
      <c r="R1741" s="10"/>
      <c r="S1741" s="16"/>
      <c r="T1741" s="0" t="str">
        <f aca="false">IF(OR($D1741="",单元查询!$B$3=""),"",IF($D1741&lt;&gt;单元查询!$B$3,"",IF(OR(单元查询!$D$3="",$E1741&amp;""=单元查询!$D$3&amp;""),IF(ISNUMBER($B1741),$B1741*10000,0)+ROW(),"")))</f>
        <v/>
      </c>
      <c r="U1741" s="0" t="str">
        <f aca="false">IF(OR($B1741="",$L1741="已完成"),"",IF(ISNUMBER($B1741),IF(设置!$B$6&lt;$B1741,"",(设置!$B$6-$B1741)*100000+ROW()),""))</f>
        <v/>
      </c>
      <c r="V1741" s="0" t="str">
        <f aca="false">IF(ISNUMBER($O1741),IF($O1741&gt;=2,IF(COUNTIFS($D1741:$D$2006,$D1741,$E1741:$E$2006,$E1741)=1,ROW(),""),""),"")</f>
        <v/>
      </c>
    </row>
    <row r="1742" customFormat="false" ht="15" hidden="false" customHeight="true" outlineLevel="0" collapsed="false">
      <c r="A1742" s="13" t="str">
        <f aca="false">IF(AND($B1742="",$D1742="",$E1742="",$F1742=""),"",IF(OR($B1742="",$D1742="",$E1742=""),"待补",IF($D1742="公共区域","公",IF($D1742="商铺","S",SUBSTITUTE($D1742,"栋","")))&amp;"-"&amp;$E1742&amp;"-"&amp;TEXT(MONTH($B1742),"00")&amp;TEXT(DAY($B1742),"00")&amp;IF(ISNUMBER($O1742),IF($O1742&gt;1,"-"&amp;TEXT($O1742,"00"),""),"")))</f>
        <v/>
      </c>
      <c r="B1742" s="14"/>
      <c r="C1742" s="10"/>
      <c r="D1742" s="10"/>
      <c r="E1742" s="10"/>
      <c r="F1742" s="16"/>
      <c r="G1742" s="10"/>
      <c r="H1742" s="10"/>
      <c r="I1742" s="10"/>
      <c r="J1742" s="10"/>
      <c r="K1742" s="10"/>
      <c r="L1742" s="10"/>
      <c r="M1742" s="14"/>
      <c r="N1742" s="17" t="str">
        <f aca="false">IF($B1742="","",IF($L1742="已完成",IF($M1742="","",$M1742-$B1742),IF(设置!$B$6&lt;$B1742,"",IF((设置!$B$6-$B1742)&gt;=设置!$B$5,"超期"&amp;(设置!$B$6-$B1742)&amp;"天","已等"&amp;(设置!$B$6-$B1742)&amp;"天"))))</f>
        <v/>
      </c>
      <c r="O1742" s="18" t="str">
        <f aca="false">IF(OR($D1742="",$E1742=""),"",COUNTIFS($D$7:$D1742,$D1742,$E$7:$E1742,$E1742))</f>
        <v/>
      </c>
      <c r="P1742" s="16"/>
      <c r="Q1742" s="19"/>
      <c r="R1742" s="10"/>
      <c r="S1742" s="16"/>
      <c r="T1742" s="0" t="str">
        <f aca="false">IF(OR($D1742="",单元查询!$B$3=""),"",IF($D1742&lt;&gt;单元查询!$B$3,"",IF(OR(单元查询!$D$3="",$E1742&amp;""=单元查询!$D$3&amp;""),IF(ISNUMBER($B1742),$B1742*10000,0)+ROW(),"")))</f>
        <v/>
      </c>
      <c r="U1742" s="0" t="str">
        <f aca="false">IF(OR($B1742="",$L1742="已完成"),"",IF(ISNUMBER($B1742),IF(设置!$B$6&lt;$B1742,"",(设置!$B$6-$B1742)*100000+ROW()),""))</f>
        <v/>
      </c>
      <c r="V1742" s="0" t="str">
        <f aca="false">IF(ISNUMBER($O1742),IF($O1742&gt;=2,IF(COUNTIFS($D1742:$D$2006,$D1742,$E1742:$E$2006,$E1742)=1,ROW(),""),""),"")</f>
        <v/>
      </c>
    </row>
    <row r="1743" customFormat="false" ht="15" hidden="false" customHeight="true" outlineLevel="0" collapsed="false">
      <c r="A1743" s="13" t="str">
        <f aca="false">IF(AND($B1743="",$D1743="",$E1743="",$F1743=""),"",IF(OR($B1743="",$D1743="",$E1743=""),"待补",IF($D1743="公共区域","公",IF($D1743="商铺","S",SUBSTITUTE($D1743,"栋","")))&amp;"-"&amp;$E1743&amp;"-"&amp;TEXT(MONTH($B1743),"00")&amp;TEXT(DAY($B1743),"00")&amp;IF(ISNUMBER($O1743),IF($O1743&gt;1,"-"&amp;TEXT($O1743,"00"),""),"")))</f>
        <v/>
      </c>
      <c r="B1743" s="14"/>
      <c r="C1743" s="10"/>
      <c r="D1743" s="10"/>
      <c r="E1743" s="10"/>
      <c r="F1743" s="16"/>
      <c r="G1743" s="10"/>
      <c r="H1743" s="10"/>
      <c r="I1743" s="10"/>
      <c r="J1743" s="10"/>
      <c r="K1743" s="10"/>
      <c r="L1743" s="10"/>
      <c r="M1743" s="14"/>
      <c r="N1743" s="17" t="str">
        <f aca="false">IF($B1743="","",IF($L1743="已完成",IF($M1743="","",$M1743-$B1743),IF(设置!$B$6&lt;$B1743,"",IF((设置!$B$6-$B1743)&gt;=设置!$B$5,"超期"&amp;(设置!$B$6-$B1743)&amp;"天","已等"&amp;(设置!$B$6-$B1743)&amp;"天"))))</f>
        <v/>
      </c>
      <c r="O1743" s="18" t="str">
        <f aca="false">IF(OR($D1743="",$E1743=""),"",COUNTIFS($D$7:$D1743,$D1743,$E$7:$E1743,$E1743))</f>
        <v/>
      </c>
      <c r="P1743" s="16"/>
      <c r="Q1743" s="19"/>
      <c r="R1743" s="10"/>
      <c r="S1743" s="16"/>
      <c r="T1743" s="0" t="str">
        <f aca="false">IF(OR($D1743="",单元查询!$B$3=""),"",IF($D1743&lt;&gt;单元查询!$B$3,"",IF(OR(单元查询!$D$3="",$E1743&amp;""=单元查询!$D$3&amp;""),IF(ISNUMBER($B1743),$B1743*10000,0)+ROW(),"")))</f>
        <v/>
      </c>
      <c r="U1743" s="0" t="str">
        <f aca="false">IF(OR($B1743="",$L1743="已完成"),"",IF(ISNUMBER($B1743),IF(设置!$B$6&lt;$B1743,"",(设置!$B$6-$B1743)*100000+ROW()),""))</f>
        <v/>
      </c>
      <c r="V1743" s="0" t="str">
        <f aca="false">IF(ISNUMBER($O1743),IF($O1743&gt;=2,IF(COUNTIFS($D1743:$D$2006,$D1743,$E1743:$E$2006,$E1743)=1,ROW(),""),""),"")</f>
        <v/>
      </c>
    </row>
    <row r="1744" customFormat="false" ht="15" hidden="false" customHeight="true" outlineLevel="0" collapsed="false">
      <c r="A1744" s="13" t="str">
        <f aca="false">IF(AND($B1744="",$D1744="",$E1744="",$F1744=""),"",IF(OR($B1744="",$D1744="",$E1744=""),"待补",IF($D1744="公共区域","公",IF($D1744="商铺","S",SUBSTITUTE($D1744,"栋","")))&amp;"-"&amp;$E1744&amp;"-"&amp;TEXT(MONTH($B1744),"00")&amp;TEXT(DAY($B1744),"00")&amp;IF(ISNUMBER($O1744),IF($O1744&gt;1,"-"&amp;TEXT($O1744,"00"),""),"")))</f>
        <v/>
      </c>
      <c r="B1744" s="14"/>
      <c r="C1744" s="10"/>
      <c r="D1744" s="10"/>
      <c r="E1744" s="10"/>
      <c r="F1744" s="16"/>
      <c r="G1744" s="10"/>
      <c r="H1744" s="10"/>
      <c r="I1744" s="10"/>
      <c r="J1744" s="10"/>
      <c r="K1744" s="10"/>
      <c r="L1744" s="10"/>
      <c r="M1744" s="14"/>
      <c r="N1744" s="17" t="str">
        <f aca="false">IF($B1744="","",IF($L1744="已完成",IF($M1744="","",$M1744-$B1744),IF(设置!$B$6&lt;$B1744,"",IF((设置!$B$6-$B1744)&gt;=设置!$B$5,"超期"&amp;(设置!$B$6-$B1744)&amp;"天","已等"&amp;(设置!$B$6-$B1744)&amp;"天"))))</f>
        <v/>
      </c>
      <c r="O1744" s="18" t="str">
        <f aca="false">IF(OR($D1744="",$E1744=""),"",COUNTIFS($D$7:$D1744,$D1744,$E$7:$E1744,$E1744))</f>
        <v/>
      </c>
      <c r="P1744" s="16"/>
      <c r="Q1744" s="19"/>
      <c r="R1744" s="10"/>
      <c r="S1744" s="16"/>
      <c r="T1744" s="0" t="str">
        <f aca="false">IF(OR($D1744="",单元查询!$B$3=""),"",IF($D1744&lt;&gt;单元查询!$B$3,"",IF(OR(单元查询!$D$3="",$E1744&amp;""=单元查询!$D$3&amp;""),IF(ISNUMBER($B1744),$B1744*10000,0)+ROW(),"")))</f>
        <v/>
      </c>
      <c r="U1744" s="0" t="str">
        <f aca="false">IF(OR($B1744="",$L1744="已完成"),"",IF(ISNUMBER($B1744),IF(设置!$B$6&lt;$B1744,"",(设置!$B$6-$B1744)*100000+ROW()),""))</f>
        <v/>
      </c>
      <c r="V1744" s="0" t="str">
        <f aca="false">IF(ISNUMBER($O1744),IF($O1744&gt;=2,IF(COUNTIFS($D1744:$D$2006,$D1744,$E1744:$E$2006,$E1744)=1,ROW(),""),""),"")</f>
        <v/>
      </c>
    </row>
    <row r="1745" customFormat="false" ht="15" hidden="false" customHeight="true" outlineLevel="0" collapsed="false">
      <c r="A1745" s="13" t="str">
        <f aca="false">IF(AND($B1745="",$D1745="",$E1745="",$F1745=""),"",IF(OR($B1745="",$D1745="",$E1745=""),"待补",IF($D1745="公共区域","公",IF($D1745="商铺","S",SUBSTITUTE($D1745,"栋","")))&amp;"-"&amp;$E1745&amp;"-"&amp;TEXT(MONTH($B1745),"00")&amp;TEXT(DAY($B1745),"00")&amp;IF(ISNUMBER($O1745),IF($O1745&gt;1,"-"&amp;TEXT($O1745,"00"),""),"")))</f>
        <v/>
      </c>
      <c r="B1745" s="14"/>
      <c r="C1745" s="10"/>
      <c r="D1745" s="10"/>
      <c r="E1745" s="10"/>
      <c r="F1745" s="16"/>
      <c r="G1745" s="10"/>
      <c r="H1745" s="10"/>
      <c r="I1745" s="10"/>
      <c r="J1745" s="10"/>
      <c r="K1745" s="10"/>
      <c r="L1745" s="10"/>
      <c r="M1745" s="14"/>
      <c r="N1745" s="17" t="str">
        <f aca="false">IF($B1745="","",IF($L1745="已完成",IF($M1745="","",$M1745-$B1745),IF(设置!$B$6&lt;$B1745,"",IF((设置!$B$6-$B1745)&gt;=设置!$B$5,"超期"&amp;(设置!$B$6-$B1745)&amp;"天","已等"&amp;(设置!$B$6-$B1745)&amp;"天"))))</f>
        <v/>
      </c>
      <c r="O1745" s="18" t="str">
        <f aca="false">IF(OR($D1745="",$E1745=""),"",COUNTIFS($D$7:$D1745,$D1745,$E$7:$E1745,$E1745))</f>
        <v/>
      </c>
      <c r="P1745" s="16"/>
      <c r="Q1745" s="19"/>
      <c r="R1745" s="10"/>
      <c r="S1745" s="16"/>
      <c r="T1745" s="0" t="str">
        <f aca="false">IF(OR($D1745="",单元查询!$B$3=""),"",IF($D1745&lt;&gt;单元查询!$B$3,"",IF(OR(单元查询!$D$3="",$E1745&amp;""=单元查询!$D$3&amp;""),IF(ISNUMBER($B1745),$B1745*10000,0)+ROW(),"")))</f>
        <v/>
      </c>
      <c r="U1745" s="0" t="str">
        <f aca="false">IF(OR($B1745="",$L1745="已完成"),"",IF(ISNUMBER($B1745),IF(设置!$B$6&lt;$B1745,"",(设置!$B$6-$B1745)*100000+ROW()),""))</f>
        <v/>
      </c>
      <c r="V1745" s="0" t="str">
        <f aca="false">IF(ISNUMBER($O1745),IF($O1745&gt;=2,IF(COUNTIFS($D1745:$D$2006,$D1745,$E1745:$E$2006,$E1745)=1,ROW(),""),""),"")</f>
        <v/>
      </c>
    </row>
    <row r="1746" customFormat="false" ht="15" hidden="false" customHeight="true" outlineLevel="0" collapsed="false">
      <c r="A1746" s="13" t="str">
        <f aca="false">IF(AND($B1746="",$D1746="",$E1746="",$F1746=""),"",IF(OR($B1746="",$D1746="",$E1746=""),"待补",IF($D1746="公共区域","公",IF($D1746="商铺","S",SUBSTITUTE($D1746,"栋","")))&amp;"-"&amp;$E1746&amp;"-"&amp;TEXT(MONTH($B1746),"00")&amp;TEXT(DAY($B1746),"00")&amp;IF(ISNUMBER($O1746),IF($O1746&gt;1,"-"&amp;TEXT($O1746,"00"),""),"")))</f>
        <v/>
      </c>
      <c r="B1746" s="14"/>
      <c r="C1746" s="10"/>
      <c r="D1746" s="10"/>
      <c r="E1746" s="10"/>
      <c r="F1746" s="16"/>
      <c r="G1746" s="10"/>
      <c r="H1746" s="10"/>
      <c r="I1746" s="10"/>
      <c r="J1746" s="10"/>
      <c r="K1746" s="10"/>
      <c r="L1746" s="10"/>
      <c r="M1746" s="14"/>
      <c r="N1746" s="17" t="str">
        <f aca="false">IF($B1746="","",IF($L1746="已完成",IF($M1746="","",$M1746-$B1746),IF(设置!$B$6&lt;$B1746,"",IF((设置!$B$6-$B1746)&gt;=设置!$B$5,"超期"&amp;(设置!$B$6-$B1746)&amp;"天","已等"&amp;(设置!$B$6-$B1746)&amp;"天"))))</f>
        <v/>
      </c>
      <c r="O1746" s="18" t="str">
        <f aca="false">IF(OR($D1746="",$E1746=""),"",COUNTIFS($D$7:$D1746,$D1746,$E$7:$E1746,$E1746))</f>
        <v/>
      </c>
      <c r="P1746" s="16"/>
      <c r="Q1746" s="19"/>
      <c r="R1746" s="10"/>
      <c r="S1746" s="16"/>
      <c r="T1746" s="0" t="str">
        <f aca="false">IF(OR($D1746="",单元查询!$B$3=""),"",IF($D1746&lt;&gt;单元查询!$B$3,"",IF(OR(单元查询!$D$3="",$E1746&amp;""=单元查询!$D$3&amp;""),IF(ISNUMBER($B1746),$B1746*10000,0)+ROW(),"")))</f>
        <v/>
      </c>
      <c r="U1746" s="0" t="str">
        <f aca="false">IF(OR($B1746="",$L1746="已完成"),"",IF(ISNUMBER($B1746),IF(设置!$B$6&lt;$B1746,"",(设置!$B$6-$B1746)*100000+ROW()),""))</f>
        <v/>
      </c>
      <c r="V1746" s="0" t="str">
        <f aca="false">IF(ISNUMBER($O1746),IF($O1746&gt;=2,IF(COUNTIFS($D1746:$D$2006,$D1746,$E1746:$E$2006,$E1746)=1,ROW(),""),""),"")</f>
        <v/>
      </c>
    </row>
    <row r="1747" customFormat="false" ht="15" hidden="false" customHeight="true" outlineLevel="0" collapsed="false">
      <c r="A1747" s="13" t="str">
        <f aca="false">IF(AND($B1747="",$D1747="",$E1747="",$F1747=""),"",IF(OR($B1747="",$D1747="",$E1747=""),"待补",IF($D1747="公共区域","公",IF($D1747="商铺","S",SUBSTITUTE($D1747,"栋","")))&amp;"-"&amp;$E1747&amp;"-"&amp;TEXT(MONTH($B1747),"00")&amp;TEXT(DAY($B1747),"00")&amp;IF(ISNUMBER($O1747),IF($O1747&gt;1,"-"&amp;TEXT($O1747,"00"),""),"")))</f>
        <v/>
      </c>
      <c r="B1747" s="14"/>
      <c r="C1747" s="10"/>
      <c r="D1747" s="10"/>
      <c r="E1747" s="10"/>
      <c r="F1747" s="16"/>
      <c r="G1747" s="10"/>
      <c r="H1747" s="10"/>
      <c r="I1747" s="10"/>
      <c r="J1747" s="10"/>
      <c r="K1747" s="10"/>
      <c r="L1747" s="10"/>
      <c r="M1747" s="14"/>
      <c r="N1747" s="17" t="str">
        <f aca="false">IF($B1747="","",IF($L1747="已完成",IF($M1747="","",$M1747-$B1747),IF(设置!$B$6&lt;$B1747,"",IF((设置!$B$6-$B1747)&gt;=设置!$B$5,"超期"&amp;(设置!$B$6-$B1747)&amp;"天","已等"&amp;(设置!$B$6-$B1747)&amp;"天"))))</f>
        <v/>
      </c>
      <c r="O1747" s="18" t="str">
        <f aca="false">IF(OR($D1747="",$E1747=""),"",COUNTIFS($D$7:$D1747,$D1747,$E$7:$E1747,$E1747))</f>
        <v/>
      </c>
      <c r="P1747" s="16"/>
      <c r="Q1747" s="19"/>
      <c r="R1747" s="10"/>
      <c r="S1747" s="16"/>
      <c r="T1747" s="0" t="str">
        <f aca="false">IF(OR($D1747="",单元查询!$B$3=""),"",IF($D1747&lt;&gt;单元查询!$B$3,"",IF(OR(单元查询!$D$3="",$E1747&amp;""=单元查询!$D$3&amp;""),IF(ISNUMBER($B1747),$B1747*10000,0)+ROW(),"")))</f>
        <v/>
      </c>
      <c r="U1747" s="0" t="str">
        <f aca="false">IF(OR($B1747="",$L1747="已完成"),"",IF(ISNUMBER($B1747),IF(设置!$B$6&lt;$B1747,"",(设置!$B$6-$B1747)*100000+ROW()),""))</f>
        <v/>
      </c>
      <c r="V1747" s="0" t="str">
        <f aca="false">IF(ISNUMBER($O1747),IF($O1747&gt;=2,IF(COUNTIFS($D1747:$D$2006,$D1747,$E1747:$E$2006,$E1747)=1,ROW(),""),""),"")</f>
        <v/>
      </c>
    </row>
    <row r="1748" customFormat="false" ht="15" hidden="false" customHeight="true" outlineLevel="0" collapsed="false">
      <c r="A1748" s="13" t="str">
        <f aca="false">IF(AND($B1748="",$D1748="",$E1748="",$F1748=""),"",IF(OR($B1748="",$D1748="",$E1748=""),"待补",IF($D1748="公共区域","公",IF($D1748="商铺","S",SUBSTITUTE($D1748,"栋","")))&amp;"-"&amp;$E1748&amp;"-"&amp;TEXT(MONTH($B1748),"00")&amp;TEXT(DAY($B1748),"00")&amp;IF(ISNUMBER($O1748),IF($O1748&gt;1,"-"&amp;TEXT($O1748,"00"),""),"")))</f>
        <v/>
      </c>
      <c r="B1748" s="14"/>
      <c r="C1748" s="10"/>
      <c r="D1748" s="10"/>
      <c r="E1748" s="10"/>
      <c r="F1748" s="16"/>
      <c r="G1748" s="10"/>
      <c r="H1748" s="10"/>
      <c r="I1748" s="10"/>
      <c r="J1748" s="10"/>
      <c r="K1748" s="10"/>
      <c r="L1748" s="10"/>
      <c r="M1748" s="14"/>
      <c r="N1748" s="17" t="str">
        <f aca="false">IF($B1748="","",IF($L1748="已完成",IF($M1748="","",$M1748-$B1748),IF(设置!$B$6&lt;$B1748,"",IF((设置!$B$6-$B1748)&gt;=设置!$B$5,"超期"&amp;(设置!$B$6-$B1748)&amp;"天","已等"&amp;(设置!$B$6-$B1748)&amp;"天"))))</f>
        <v/>
      </c>
      <c r="O1748" s="18" t="str">
        <f aca="false">IF(OR($D1748="",$E1748=""),"",COUNTIFS($D$7:$D1748,$D1748,$E$7:$E1748,$E1748))</f>
        <v/>
      </c>
      <c r="P1748" s="16"/>
      <c r="Q1748" s="19"/>
      <c r="R1748" s="10"/>
      <c r="S1748" s="16"/>
      <c r="T1748" s="0" t="str">
        <f aca="false">IF(OR($D1748="",单元查询!$B$3=""),"",IF($D1748&lt;&gt;单元查询!$B$3,"",IF(OR(单元查询!$D$3="",$E1748&amp;""=单元查询!$D$3&amp;""),IF(ISNUMBER($B1748),$B1748*10000,0)+ROW(),"")))</f>
        <v/>
      </c>
      <c r="U1748" s="0" t="str">
        <f aca="false">IF(OR($B1748="",$L1748="已完成"),"",IF(ISNUMBER($B1748),IF(设置!$B$6&lt;$B1748,"",(设置!$B$6-$B1748)*100000+ROW()),""))</f>
        <v/>
      </c>
      <c r="V1748" s="0" t="str">
        <f aca="false">IF(ISNUMBER($O1748),IF($O1748&gt;=2,IF(COUNTIFS($D1748:$D$2006,$D1748,$E1748:$E$2006,$E1748)=1,ROW(),""),""),"")</f>
        <v/>
      </c>
    </row>
    <row r="1749" customFormat="false" ht="15" hidden="false" customHeight="true" outlineLevel="0" collapsed="false">
      <c r="A1749" s="13" t="str">
        <f aca="false">IF(AND($B1749="",$D1749="",$E1749="",$F1749=""),"",IF(OR($B1749="",$D1749="",$E1749=""),"待补",IF($D1749="公共区域","公",IF($D1749="商铺","S",SUBSTITUTE($D1749,"栋","")))&amp;"-"&amp;$E1749&amp;"-"&amp;TEXT(MONTH($B1749),"00")&amp;TEXT(DAY($B1749),"00")&amp;IF(ISNUMBER($O1749),IF($O1749&gt;1,"-"&amp;TEXT($O1749,"00"),""),"")))</f>
        <v/>
      </c>
      <c r="B1749" s="14"/>
      <c r="C1749" s="10"/>
      <c r="D1749" s="10"/>
      <c r="E1749" s="10"/>
      <c r="F1749" s="16"/>
      <c r="G1749" s="10"/>
      <c r="H1749" s="10"/>
      <c r="I1749" s="10"/>
      <c r="J1749" s="10"/>
      <c r="K1749" s="10"/>
      <c r="L1749" s="10"/>
      <c r="M1749" s="14"/>
      <c r="N1749" s="17" t="str">
        <f aca="false">IF($B1749="","",IF($L1749="已完成",IF($M1749="","",$M1749-$B1749),IF(设置!$B$6&lt;$B1749,"",IF((设置!$B$6-$B1749)&gt;=设置!$B$5,"超期"&amp;(设置!$B$6-$B1749)&amp;"天","已等"&amp;(设置!$B$6-$B1749)&amp;"天"))))</f>
        <v/>
      </c>
      <c r="O1749" s="18" t="str">
        <f aca="false">IF(OR($D1749="",$E1749=""),"",COUNTIFS($D$7:$D1749,$D1749,$E$7:$E1749,$E1749))</f>
        <v/>
      </c>
      <c r="P1749" s="16"/>
      <c r="Q1749" s="19"/>
      <c r="R1749" s="10"/>
      <c r="S1749" s="16"/>
      <c r="T1749" s="0" t="str">
        <f aca="false">IF(OR($D1749="",单元查询!$B$3=""),"",IF($D1749&lt;&gt;单元查询!$B$3,"",IF(OR(单元查询!$D$3="",$E1749&amp;""=单元查询!$D$3&amp;""),IF(ISNUMBER($B1749),$B1749*10000,0)+ROW(),"")))</f>
        <v/>
      </c>
      <c r="U1749" s="0" t="str">
        <f aca="false">IF(OR($B1749="",$L1749="已完成"),"",IF(ISNUMBER($B1749),IF(设置!$B$6&lt;$B1749,"",(设置!$B$6-$B1749)*100000+ROW()),""))</f>
        <v/>
      </c>
      <c r="V1749" s="0" t="str">
        <f aca="false">IF(ISNUMBER($O1749),IF($O1749&gt;=2,IF(COUNTIFS($D1749:$D$2006,$D1749,$E1749:$E$2006,$E1749)=1,ROW(),""),""),"")</f>
        <v/>
      </c>
    </row>
    <row r="1750" customFormat="false" ht="15" hidden="false" customHeight="true" outlineLevel="0" collapsed="false">
      <c r="A1750" s="13" t="str">
        <f aca="false">IF(AND($B1750="",$D1750="",$E1750="",$F1750=""),"",IF(OR($B1750="",$D1750="",$E1750=""),"待补",IF($D1750="公共区域","公",IF($D1750="商铺","S",SUBSTITUTE($D1750,"栋","")))&amp;"-"&amp;$E1750&amp;"-"&amp;TEXT(MONTH($B1750),"00")&amp;TEXT(DAY($B1750),"00")&amp;IF(ISNUMBER($O1750),IF($O1750&gt;1,"-"&amp;TEXT($O1750,"00"),""),"")))</f>
        <v/>
      </c>
      <c r="B1750" s="14"/>
      <c r="C1750" s="10"/>
      <c r="D1750" s="10"/>
      <c r="E1750" s="10"/>
      <c r="F1750" s="16"/>
      <c r="G1750" s="10"/>
      <c r="H1750" s="10"/>
      <c r="I1750" s="10"/>
      <c r="J1750" s="10"/>
      <c r="K1750" s="10"/>
      <c r="L1750" s="10"/>
      <c r="M1750" s="14"/>
      <c r="N1750" s="17" t="str">
        <f aca="false">IF($B1750="","",IF($L1750="已完成",IF($M1750="","",$M1750-$B1750),IF(设置!$B$6&lt;$B1750,"",IF((设置!$B$6-$B1750)&gt;=设置!$B$5,"超期"&amp;(设置!$B$6-$B1750)&amp;"天","已等"&amp;(设置!$B$6-$B1750)&amp;"天"))))</f>
        <v/>
      </c>
      <c r="O1750" s="18" t="str">
        <f aca="false">IF(OR($D1750="",$E1750=""),"",COUNTIFS($D$7:$D1750,$D1750,$E$7:$E1750,$E1750))</f>
        <v/>
      </c>
      <c r="P1750" s="16"/>
      <c r="Q1750" s="19"/>
      <c r="R1750" s="10"/>
      <c r="S1750" s="16"/>
      <c r="T1750" s="0" t="str">
        <f aca="false">IF(OR($D1750="",单元查询!$B$3=""),"",IF($D1750&lt;&gt;单元查询!$B$3,"",IF(OR(单元查询!$D$3="",$E1750&amp;""=单元查询!$D$3&amp;""),IF(ISNUMBER($B1750),$B1750*10000,0)+ROW(),"")))</f>
        <v/>
      </c>
      <c r="U1750" s="0" t="str">
        <f aca="false">IF(OR($B1750="",$L1750="已完成"),"",IF(ISNUMBER($B1750),IF(设置!$B$6&lt;$B1750,"",(设置!$B$6-$B1750)*100000+ROW()),""))</f>
        <v/>
      </c>
      <c r="V1750" s="0" t="str">
        <f aca="false">IF(ISNUMBER($O1750),IF($O1750&gt;=2,IF(COUNTIFS($D1750:$D$2006,$D1750,$E1750:$E$2006,$E1750)=1,ROW(),""),""),"")</f>
        <v/>
      </c>
    </row>
    <row r="1751" customFormat="false" ht="15" hidden="false" customHeight="true" outlineLevel="0" collapsed="false">
      <c r="A1751" s="13" t="str">
        <f aca="false">IF(AND($B1751="",$D1751="",$E1751="",$F1751=""),"",IF(OR($B1751="",$D1751="",$E1751=""),"待补",IF($D1751="公共区域","公",IF($D1751="商铺","S",SUBSTITUTE($D1751,"栋","")))&amp;"-"&amp;$E1751&amp;"-"&amp;TEXT(MONTH($B1751),"00")&amp;TEXT(DAY($B1751),"00")&amp;IF(ISNUMBER($O1751),IF($O1751&gt;1,"-"&amp;TEXT($O1751,"00"),""),"")))</f>
        <v/>
      </c>
      <c r="B1751" s="14"/>
      <c r="C1751" s="10"/>
      <c r="D1751" s="10"/>
      <c r="E1751" s="10"/>
      <c r="F1751" s="16"/>
      <c r="G1751" s="10"/>
      <c r="H1751" s="10"/>
      <c r="I1751" s="10"/>
      <c r="J1751" s="10"/>
      <c r="K1751" s="10"/>
      <c r="L1751" s="10"/>
      <c r="M1751" s="14"/>
      <c r="N1751" s="17" t="str">
        <f aca="false">IF($B1751="","",IF($L1751="已完成",IF($M1751="","",$M1751-$B1751),IF(设置!$B$6&lt;$B1751,"",IF((设置!$B$6-$B1751)&gt;=设置!$B$5,"超期"&amp;(设置!$B$6-$B1751)&amp;"天","已等"&amp;(设置!$B$6-$B1751)&amp;"天"))))</f>
        <v/>
      </c>
      <c r="O1751" s="18" t="str">
        <f aca="false">IF(OR($D1751="",$E1751=""),"",COUNTIFS($D$7:$D1751,$D1751,$E$7:$E1751,$E1751))</f>
        <v/>
      </c>
      <c r="P1751" s="16"/>
      <c r="Q1751" s="19"/>
      <c r="R1751" s="10"/>
      <c r="S1751" s="16"/>
      <c r="T1751" s="0" t="str">
        <f aca="false">IF(OR($D1751="",单元查询!$B$3=""),"",IF($D1751&lt;&gt;单元查询!$B$3,"",IF(OR(单元查询!$D$3="",$E1751&amp;""=单元查询!$D$3&amp;""),IF(ISNUMBER($B1751),$B1751*10000,0)+ROW(),"")))</f>
        <v/>
      </c>
      <c r="U1751" s="0" t="str">
        <f aca="false">IF(OR($B1751="",$L1751="已完成"),"",IF(ISNUMBER($B1751),IF(设置!$B$6&lt;$B1751,"",(设置!$B$6-$B1751)*100000+ROW()),""))</f>
        <v/>
      </c>
      <c r="V1751" s="0" t="str">
        <f aca="false">IF(ISNUMBER($O1751),IF($O1751&gt;=2,IF(COUNTIFS($D1751:$D$2006,$D1751,$E1751:$E$2006,$E1751)=1,ROW(),""),""),"")</f>
        <v/>
      </c>
    </row>
    <row r="1752" customFormat="false" ht="15" hidden="false" customHeight="true" outlineLevel="0" collapsed="false">
      <c r="A1752" s="13" t="str">
        <f aca="false">IF(AND($B1752="",$D1752="",$E1752="",$F1752=""),"",IF(OR($B1752="",$D1752="",$E1752=""),"待补",IF($D1752="公共区域","公",IF($D1752="商铺","S",SUBSTITUTE($D1752,"栋","")))&amp;"-"&amp;$E1752&amp;"-"&amp;TEXT(MONTH($B1752),"00")&amp;TEXT(DAY($B1752),"00")&amp;IF(ISNUMBER($O1752),IF($O1752&gt;1,"-"&amp;TEXT($O1752,"00"),""),"")))</f>
        <v/>
      </c>
      <c r="B1752" s="14"/>
      <c r="C1752" s="10"/>
      <c r="D1752" s="10"/>
      <c r="E1752" s="10"/>
      <c r="F1752" s="16"/>
      <c r="G1752" s="10"/>
      <c r="H1752" s="10"/>
      <c r="I1752" s="10"/>
      <c r="J1752" s="10"/>
      <c r="K1752" s="10"/>
      <c r="L1752" s="10"/>
      <c r="M1752" s="14"/>
      <c r="N1752" s="17" t="str">
        <f aca="false">IF($B1752="","",IF($L1752="已完成",IF($M1752="","",$M1752-$B1752),IF(设置!$B$6&lt;$B1752,"",IF((设置!$B$6-$B1752)&gt;=设置!$B$5,"超期"&amp;(设置!$B$6-$B1752)&amp;"天","已等"&amp;(设置!$B$6-$B1752)&amp;"天"))))</f>
        <v/>
      </c>
      <c r="O1752" s="18" t="str">
        <f aca="false">IF(OR($D1752="",$E1752=""),"",COUNTIFS($D$7:$D1752,$D1752,$E$7:$E1752,$E1752))</f>
        <v/>
      </c>
      <c r="P1752" s="16"/>
      <c r="Q1752" s="19"/>
      <c r="R1752" s="10"/>
      <c r="S1752" s="16"/>
      <c r="T1752" s="0" t="str">
        <f aca="false">IF(OR($D1752="",单元查询!$B$3=""),"",IF($D1752&lt;&gt;单元查询!$B$3,"",IF(OR(单元查询!$D$3="",$E1752&amp;""=单元查询!$D$3&amp;""),IF(ISNUMBER($B1752),$B1752*10000,0)+ROW(),"")))</f>
        <v/>
      </c>
      <c r="U1752" s="0" t="str">
        <f aca="false">IF(OR($B1752="",$L1752="已完成"),"",IF(ISNUMBER($B1752),IF(设置!$B$6&lt;$B1752,"",(设置!$B$6-$B1752)*100000+ROW()),""))</f>
        <v/>
      </c>
      <c r="V1752" s="0" t="str">
        <f aca="false">IF(ISNUMBER($O1752),IF($O1752&gt;=2,IF(COUNTIFS($D1752:$D$2006,$D1752,$E1752:$E$2006,$E1752)=1,ROW(),""),""),"")</f>
        <v/>
      </c>
    </row>
    <row r="1753" customFormat="false" ht="15" hidden="false" customHeight="true" outlineLevel="0" collapsed="false">
      <c r="A1753" s="13" t="str">
        <f aca="false">IF(AND($B1753="",$D1753="",$E1753="",$F1753=""),"",IF(OR($B1753="",$D1753="",$E1753=""),"待补",IF($D1753="公共区域","公",IF($D1753="商铺","S",SUBSTITUTE($D1753,"栋","")))&amp;"-"&amp;$E1753&amp;"-"&amp;TEXT(MONTH($B1753),"00")&amp;TEXT(DAY($B1753),"00")&amp;IF(ISNUMBER($O1753),IF($O1753&gt;1,"-"&amp;TEXT($O1753,"00"),""),"")))</f>
        <v/>
      </c>
      <c r="B1753" s="14"/>
      <c r="C1753" s="10"/>
      <c r="D1753" s="10"/>
      <c r="E1753" s="10"/>
      <c r="F1753" s="16"/>
      <c r="G1753" s="10"/>
      <c r="H1753" s="10"/>
      <c r="I1753" s="10"/>
      <c r="J1753" s="10"/>
      <c r="K1753" s="10"/>
      <c r="L1753" s="10"/>
      <c r="M1753" s="14"/>
      <c r="N1753" s="17" t="str">
        <f aca="false">IF($B1753="","",IF($L1753="已完成",IF($M1753="","",$M1753-$B1753),IF(设置!$B$6&lt;$B1753,"",IF((设置!$B$6-$B1753)&gt;=设置!$B$5,"超期"&amp;(设置!$B$6-$B1753)&amp;"天","已等"&amp;(设置!$B$6-$B1753)&amp;"天"))))</f>
        <v/>
      </c>
      <c r="O1753" s="18" t="str">
        <f aca="false">IF(OR($D1753="",$E1753=""),"",COUNTIFS($D$7:$D1753,$D1753,$E$7:$E1753,$E1753))</f>
        <v/>
      </c>
      <c r="P1753" s="16"/>
      <c r="Q1753" s="19"/>
      <c r="R1753" s="10"/>
      <c r="S1753" s="16"/>
      <c r="T1753" s="0" t="str">
        <f aca="false">IF(OR($D1753="",单元查询!$B$3=""),"",IF($D1753&lt;&gt;单元查询!$B$3,"",IF(OR(单元查询!$D$3="",$E1753&amp;""=单元查询!$D$3&amp;""),IF(ISNUMBER($B1753),$B1753*10000,0)+ROW(),"")))</f>
        <v/>
      </c>
      <c r="U1753" s="0" t="str">
        <f aca="false">IF(OR($B1753="",$L1753="已完成"),"",IF(ISNUMBER($B1753),IF(设置!$B$6&lt;$B1753,"",(设置!$B$6-$B1753)*100000+ROW()),""))</f>
        <v/>
      </c>
      <c r="V1753" s="0" t="str">
        <f aca="false">IF(ISNUMBER($O1753),IF($O1753&gt;=2,IF(COUNTIFS($D1753:$D$2006,$D1753,$E1753:$E$2006,$E1753)=1,ROW(),""),""),"")</f>
        <v/>
      </c>
    </row>
    <row r="1754" customFormat="false" ht="15" hidden="false" customHeight="true" outlineLevel="0" collapsed="false">
      <c r="A1754" s="13" t="str">
        <f aca="false">IF(AND($B1754="",$D1754="",$E1754="",$F1754=""),"",IF(OR($B1754="",$D1754="",$E1754=""),"待补",IF($D1754="公共区域","公",IF($D1754="商铺","S",SUBSTITUTE($D1754,"栋","")))&amp;"-"&amp;$E1754&amp;"-"&amp;TEXT(MONTH($B1754),"00")&amp;TEXT(DAY($B1754),"00")&amp;IF(ISNUMBER($O1754),IF($O1754&gt;1,"-"&amp;TEXT($O1754,"00"),""),"")))</f>
        <v/>
      </c>
      <c r="B1754" s="14"/>
      <c r="C1754" s="10"/>
      <c r="D1754" s="10"/>
      <c r="E1754" s="10"/>
      <c r="F1754" s="16"/>
      <c r="G1754" s="10"/>
      <c r="H1754" s="10"/>
      <c r="I1754" s="10"/>
      <c r="J1754" s="10"/>
      <c r="K1754" s="10"/>
      <c r="L1754" s="10"/>
      <c r="M1754" s="14"/>
      <c r="N1754" s="17" t="str">
        <f aca="false">IF($B1754="","",IF($L1754="已完成",IF($M1754="","",$M1754-$B1754),IF(设置!$B$6&lt;$B1754,"",IF((设置!$B$6-$B1754)&gt;=设置!$B$5,"超期"&amp;(设置!$B$6-$B1754)&amp;"天","已等"&amp;(设置!$B$6-$B1754)&amp;"天"))))</f>
        <v/>
      </c>
      <c r="O1754" s="18" t="str">
        <f aca="false">IF(OR($D1754="",$E1754=""),"",COUNTIFS($D$7:$D1754,$D1754,$E$7:$E1754,$E1754))</f>
        <v/>
      </c>
      <c r="P1754" s="16"/>
      <c r="Q1754" s="19"/>
      <c r="R1754" s="10"/>
      <c r="S1754" s="16"/>
      <c r="T1754" s="0" t="str">
        <f aca="false">IF(OR($D1754="",单元查询!$B$3=""),"",IF($D1754&lt;&gt;单元查询!$B$3,"",IF(OR(单元查询!$D$3="",$E1754&amp;""=单元查询!$D$3&amp;""),IF(ISNUMBER($B1754),$B1754*10000,0)+ROW(),"")))</f>
        <v/>
      </c>
      <c r="U1754" s="0" t="str">
        <f aca="false">IF(OR($B1754="",$L1754="已完成"),"",IF(ISNUMBER($B1754),IF(设置!$B$6&lt;$B1754,"",(设置!$B$6-$B1754)*100000+ROW()),""))</f>
        <v/>
      </c>
      <c r="V1754" s="0" t="str">
        <f aca="false">IF(ISNUMBER($O1754),IF($O1754&gt;=2,IF(COUNTIFS($D1754:$D$2006,$D1754,$E1754:$E$2006,$E1754)=1,ROW(),""),""),"")</f>
        <v/>
      </c>
    </row>
    <row r="1755" customFormat="false" ht="15" hidden="false" customHeight="true" outlineLevel="0" collapsed="false">
      <c r="A1755" s="13" t="str">
        <f aca="false">IF(AND($B1755="",$D1755="",$E1755="",$F1755=""),"",IF(OR($B1755="",$D1755="",$E1755=""),"待补",IF($D1755="公共区域","公",IF($D1755="商铺","S",SUBSTITUTE($D1755,"栋","")))&amp;"-"&amp;$E1755&amp;"-"&amp;TEXT(MONTH($B1755),"00")&amp;TEXT(DAY($B1755),"00")&amp;IF(ISNUMBER($O1755),IF($O1755&gt;1,"-"&amp;TEXT($O1755,"00"),""),"")))</f>
        <v/>
      </c>
      <c r="B1755" s="14"/>
      <c r="C1755" s="10"/>
      <c r="D1755" s="10"/>
      <c r="E1755" s="10"/>
      <c r="F1755" s="16"/>
      <c r="G1755" s="10"/>
      <c r="H1755" s="10"/>
      <c r="I1755" s="10"/>
      <c r="J1755" s="10"/>
      <c r="K1755" s="10"/>
      <c r="L1755" s="10"/>
      <c r="M1755" s="14"/>
      <c r="N1755" s="17" t="str">
        <f aca="false">IF($B1755="","",IF($L1755="已完成",IF($M1755="","",$M1755-$B1755),IF(设置!$B$6&lt;$B1755,"",IF((设置!$B$6-$B1755)&gt;=设置!$B$5,"超期"&amp;(设置!$B$6-$B1755)&amp;"天","已等"&amp;(设置!$B$6-$B1755)&amp;"天"))))</f>
        <v/>
      </c>
      <c r="O1755" s="18" t="str">
        <f aca="false">IF(OR($D1755="",$E1755=""),"",COUNTIFS($D$7:$D1755,$D1755,$E$7:$E1755,$E1755))</f>
        <v/>
      </c>
      <c r="P1755" s="16"/>
      <c r="Q1755" s="19"/>
      <c r="R1755" s="10"/>
      <c r="S1755" s="16"/>
      <c r="T1755" s="0" t="str">
        <f aca="false">IF(OR($D1755="",单元查询!$B$3=""),"",IF($D1755&lt;&gt;单元查询!$B$3,"",IF(OR(单元查询!$D$3="",$E1755&amp;""=单元查询!$D$3&amp;""),IF(ISNUMBER($B1755),$B1755*10000,0)+ROW(),"")))</f>
        <v/>
      </c>
      <c r="U1755" s="0" t="str">
        <f aca="false">IF(OR($B1755="",$L1755="已完成"),"",IF(ISNUMBER($B1755),IF(设置!$B$6&lt;$B1755,"",(设置!$B$6-$B1755)*100000+ROW()),""))</f>
        <v/>
      </c>
      <c r="V1755" s="0" t="str">
        <f aca="false">IF(ISNUMBER($O1755),IF($O1755&gt;=2,IF(COUNTIFS($D1755:$D$2006,$D1755,$E1755:$E$2006,$E1755)=1,ROW(),""),""),"")</f>
        <v/>
      </c>
    </row>
    <row r="1756" customFormat="false" ht="15" hidden="false" customHeight="true" outlineLevel="0" collapsed="false">
      <c r="A1756" s="13" t="str">
        <f aca="false">IF(AND($B1756="",$D1756="",$E1756="",$F1756=""),"",IF(OR($B1756="",$D1756="",$E1756=""),"待补",IF($D1756="公共区域","公",IF($D1756="商铺","S",SUBSTITUTE($D1756,"栋","")))&amp;"-"&amp;$E1756&amp;"-"&amp;TEXT(MONTH($B1756),"00")&amp;TEXT(DAY($B1756),"00")&amp;IF(ISNUMBER($O1756),IF($O1756&gt;1,"-"&amp;TEXT($O1756,"00"),""),"")))</f>
        <v/>
      </c>
      <c r="B1756" s="14"/>
      <c r="C1756" s="10"/>
      <c r="D1756" s="10"/>
      <c r="E1756" s="10"/>
      <c r="F1756" s="16"/>
      <c r="G1756" s="10"/>
      <c r="H1756" s="10"/>
      <c r="I1756" s="10"/>
      <c r="J1756" s="10"/>
      <c r="K1756" s="10"/>
      <c r="L1756" s="10"/>
      <c r="M1756" s="14"/>
      <c r="N1756" s="17" t="str">
        <f aca="false">IF($B1756="","",IF($L1756="已完成",IF($M1756="","",$M1756-$B1756),IF(设置!$B$6&lt;$B1756,"",IF((设置!$B$6-$B1756)&gt;=设置!$B$5,"超期"&amp;(设置!$B$6-$B1756)&amp;"天","已等"&amp;(设置!$B$6-$B1756)&amp;"天"))))</f>
        <v/>
      </c>
      <c r="O1756" s="18" t="str">
        <f aca="false">IF(OR($D1756="",$E1756=""),"",COUNTIFS($D$7:$D1756,$D1756,$E$7:$E1756,$E1756))</f>
        <v/>
      </c>
      <c r="P1756" s="16"/>
      <c r="Q1756" s="19"/>
      <c r="R1756" s="10"/>
      <c r="S1756" s="16"/>
      <c r="T1756" s="0" t="str">
        <f aca="false">IF(OR($D1756="",单元查询!$B$3=""),"",IF($D1756&lt;&gt;单元查询!$B$3,"",IF(OR(单元查询!$D$3="",$E1756&amp;""=单元查询!$D$3&amp;""),IF(ISNUMBER($B1756),$B1756*10000,0)+ROW(),"")))</f>
        <v/>
      </c>
      <c r="U1756" s="0" t="str">
        <f aca="false">IF(OR($B1756="",$L1756="已完成"),"",IF(ISNUMBER($B1756),IF(设置!$B$6&lt;$B1756,"",(设置!$B$6-$B1756)*100000+ROW()),""))</f>
        <v/>
      </c>
      <c r="V1756" s="0" t="str">
        <f aca="false">IF(ISNUMBER($O1756),IF($O1756&gt;=2,IF(COUNTIFS($D1756:$D$2006,$D1756,$E1756:$E$2006,$E1756)=1,ROW(),""),""),"")</f>
        <v/>
      </c>
    </row>
    <row r="1757" customFormat="false" ht="15" hidden="false" customHeight="true" outlineLevel="0" collapsed="false">
      <c r="A1757" s="13" t="str">
        <f aca="false">IF(AND($B1757="",$D1757="",$E1757="",$F1757=""),"",IF(OR($B1757="",$D1757="",$E1757=""),"待补",IF($D1757="公共区域","公",IF($D1757="商铺","S",SUBSTITUTE($D1757,"栋","")))&amp;"-"&amp;$E1757&amp;"-"&amp;TEXT(MONTH($B1757),"00")&amp;TEXT(DAY($B1757),"00")&amp;IF(ISNUMBER($O1757),IF($O1757&gt;1,"-"&amp;TEXT($O1757,"00"),""),"")))</f>
        <v/>
      </c>
      <c r="B1757" s="14"/>
      <c r="C1757" s="10"/>
      <c r="D1757" s="10"/>
      <c r="E1757" s="10"/>
      <c r="F1757" s="16"/>
      <c r="G1757" s="10"/>
      <c r="H1757" s="10"/>
      <c r="I1757" s="10"/>
      <c r="J1757" s="10"/>
      <c r="K1757" s="10"/>
      <c r="L1757" s="10"/>
      <c r="M1757" s="14"/>
      <c r="N1757" s="17" t="str">
        <f aca="false">IF($B1757="","",IF($L1757="已完成",IF($M1757="","",$M1757-$B1757),IF(设置!$B$6&lt;$B1757,"",IF((设置!$B$6-$B1757)&gt;=设置!$B$5,"超期"&amp;(设置!$B$6-$B1757)&amp;"天","已等"&amp;(设置!$B$6-$B1757)&amp;"天"))))</f>
        <v/>
      </c>
      <c r="O1757" s="18" t="str">
        <f aca="false">IF(OR($D1757="",$E1757=""),"",COUNTIFS($D$7:$D1757,$D1757,$E$7:$E1757,$E1757))</f>
        <v/>
      </c>
      <c r="P1757" s="16"/>
      <c r="Q1757" s="19"/>
      <c r="R1757" s="10"/>
      <c r="S1757" s="16"/>
      <c r="T1757" s="0" t="str">
        <f aca="false">IF(OR($D1757="",单元查询!$B$3=""),"",IF($D1757&lt;&gt;单元查询!$B$3,"",IF(OR(单元查询!$D$3="",$E1757&amp;""=单元查询!$D$3&amp;""),IF(ISNUMBER($B1757),$B1757*10000,0)+ROW(),"")))</f>
        <v/>
      </c>
      <c r="U1757" s="0" t="str">
        <f aca="false">IF(OR($B1757="",$L1757="已完成"),"",IF(ISNUMBER($B1757),IF(设置!$B$6&lt;$B1757,"",(设置!$B$6-$B1757)*100000+ROW()),""))</f>
        <v/>
      </c>
      <c r="V1757" s="0" t="str">
        <f aca="false">IF(ISNUMBER($O1757),IF($O1757&gt;=2,IF(COUNTIFS($D1757:$D$2006,$D1757,$E1757:$E$2006,$E1757)=1,ROW(),""),""),"")</f>
        <v/>
      </c>
    </row>
    <row r="1758" customFormat="false" ht="15" hidden="false" customHeight="true" outlineLevel="0" collapsed="false">
      <c r="A1758" s="13" t="str">
        <f aca="false">IF(AND($B1758="",$D1758="",$E1758="",$F1758=""),"",IF(OR($B1758="",$D1758="",$E1758=""),"待补",IF($D1758="公共区域","公",IF($D1758="商铺","S",SUBSTITUTE($D1758,"栋","")))&amp;"-"&amp;$E1758&amp;"-"&amp;TEXT(MONTH($B1758),"00")&amp;TEXT(DAY($B1758),"00")&amp;IF(ISNUMBER($O1758),IF($O1758&gt;1,"-"&amp;TEXT($O1758,"00"),""),"")))</f>
        <v/>
      </c>
      <c r="B1758" s="14"/>
      <c r="C1758" s="10"/>
      <c r="D1758" s="10"/>
      <c r="E1758" s="10"/>
      <c r="F1758" s="16"/>
      <c r="G1758" s="10"/>
      <c r="H1758" s="10"/>
      <c r="I1758" s="10"/>
      <c r="J1758" s="10"/>
      <c r="K1758" s="10"/>
      <c r="L1758" s="10"/>
      <c r="M1758" s="14"/>
      <c r="N1758" s="17" t="str">
        <f aca="false">IF($B1758="","",IF($L1758="已完成",IF($M1758="","",$M1758-$B1758),IF(设置!$B$6&lt;$B1758,"",IF((设置!$B$6-$B1758)&gt;=设置!$B$5,"超期"&amp;(设置!$B$6-$B1758)&amp;"天","已等"&amp;(设置!$B$6-$B1758)&amp;"天"))))</f>
        <v/>
      </c>
      <c r="O1758" s="18" t="str">
        <f aca="false">IF(OR($D1758="",$E1758=""),"",COUNTIFS($D$7:$D1758,$D1758,$E$7:$E1758,$E1758))</f>
        <v/>
      </c>
      <c r="P1758" s="16"/>
      <c r="Q1758" s="19"/>
      <c r="R1758" s="10"/>
      <c r="S1758" s="16"/>
      <c r="T1758" s="0" t="str">
        <f aca="false">IF(OR($D1758="",单元查询!$B$3=""),"",IF($D1758&lt;&gt;单元查询!$B$3,"",IF(OR(单元查询!$D$3="",$E1758&amp;""=单元查询!$D$3&amp;""),IF(ISNUMBER($B1758),$B1758*10000,0)+ROW(),"")))</f>
        <v/>
      </c>
      <c r="U1758" s="0" t="str">
        <f aca="false">IF(OR($B1758="",$L1758="已完成"),"",IF(ISNUMBER($B1758),IF(设置!$B$6&lt;$B1758,"",(设置!$B$6-$B1758)*100000+ROW()),""))</f>
        <v/>
      </c>
      <c r="V1758" s="0" t="str">
        <f aca="false">IF(ISNUMBER($O1758),IF($O1758&gt;=2,IF(COUNTIFS($D1758:$D$2006,$D1758,$E1758:$E$2006,$E1758)=1,ROW(),""),""),"")</f>
        <v/>
      </c>
    </row>
    <row r="1759" customFormat="false" ht="15" hidden="false" customHeight="true" outlineLevel="0" collapsed="false">
      <c r="A1759" s="13" t="str">
        <f aca="false">IF(AND($B1759="",$D1759="",$E1759="",$F1759=""),"",IF(OR($B1759="",$D1759="",$E1759=""),"待补",IF($D1759="公共区域","公",IF($D1759="商铺","S",SUBSTITUTE($D1759,"栋","")))&amp;"-"&amp;$E1759&amp;"-"&amp;TEXT(MONTH($B1759),"00")&amp;TEXT(DAY($B1759),"00")&amp;IF(ISNUMBER($O1759),IF($O1759&gt;1,"-"&amp;TEXT($O1759,"00"),""),"")))</f>
        <v/>
      </c>
      <c r="B1759" s="14"/>
      <c r="C1759" s="10"/>
      <c r="D1759" s="10"/>
      <c r="E1759" s="10"/>
      <c r="F1759" s="16"/>
      <c r="G1759" s="10"/>
      <c r="H1759" s="10"/>
      <c r="I1759" s="10"/>
      <c r="J1759" s="10"/>
      <c r="K1759" s="10"/>
      <c r="L1759" s="10"/>
      <c r="M1759" s="14"/>
      <c r="N1759" s="17" t="str">
        <f aca="false">IF($B1759="","",IF($L1759="已完成",IF($M1759="","",$M1759-$B1759),IF(设置!$B$6&lt;$B1759,"",IF((设置!$B$6-$B1759)&gt;=设置!$B$5,"超期"&amp;(设置!$B$6-$B1759)&amp;"天","已等"&amp;(设置!$B$6-$B1759)&amp;"天"))))</f>
        <v/>
      </c>
      <c r="O1759" s="18" t="str">
        <f aca="false">IF(OR($D1759="",$E1759=""),"",COUNTIFS($D$7:$D1759,$D1759,$E$7:$E1759,$E1759))</f>
        <v/>
      </c>
      <c r="P1759" s="16"/>
      <c r="Q1759" s="19"/>
      <c r="R1759" s="10"/>
      <c r="S1759" s="16"/>
      <c r="T1759" s="0" t="str">
        <f aca="false">IF(OR($D1759="",单元查询!$B$3=""),"",IF($D1759&lt;&gt;单元查询!$B$3,"",IF(OR(单元查询!$D$3="",$E1759&amp;""=单元查询!$D$3&amp;""),IF(ISNUMBER($B1759),$B1759*10000,0)+ROW(),"")))</f>
        <v/>
      </c>
      <c r="U1759" s="0" t="str">
        <f aca="false">IF(OR($B1759="",$L1759="已完成"),"",IF(ISNUMBER($B1759),IF(设置!$B$6&lt;$B1759,"",(设置!$B$6-$B1759)*100000+ROW()),""))</f>
        <v/>
      </c>
      <c r="V1759" s="0" t="str">
        <f aca="false">IF(ISNUMBER($O1759),IF($O1759&gt;=2,IF(COUNTIFS($D1759:$D$2006,$D1759,$E1759:$E$2006,$E1759)=1,ROW(),""),""),"")</f>
        <v/>
      </c>
    </row>
    <row r="1760" customFormat="false" ht="15" hidden="false" customHeight="true" outlineLevel="0" collapsed="false">
      <c r="A1760" s="13" t="str">
        <f aca="false">IF(AND($B1760="",$D1760="",$E1760="",$F1760=""),"",IF(OR($B1760="",$D1760="",$E1760=""),"待补",IF($D1760="公共区域","公",IF($D1760="商铺","S",SUBSTITUTE($D1760,"栋","")))&amp;"-"&amp;$E1760&amp;"-"&amp;TEXT(MONTH($B1760),"00")&amp;TEXT(DAY($B1760),"00")&amp;IF(ISNUMBER($O1760),IF($O1760&gt;1,"-"&amp;TEXT($O1760,"00"),""),"")))</f>
        <v/>
      </c>
      <c r="B1760" s="14"/>
      <c r="C1760" s="10"/>
      <c r="D1760" s="10"/>
      <c r="E1760" s="10"/>
      <c r="F1760" s="16"/>
      <c r="G1760" s="10"/>
      <c r="H1760" s="10"/>
      <c r="I1760" s="10"/>
      <c r="J1760" s="10"/>
      <c r="K1760" s="10"/>
      <c r="L1760" s="10"/>
      <c r="M1760" s="14"/>
      <c r="N1760" s="17" t="str">
        <f aca="false">IF($B1760="","",IF($L1760="已完成",IF($M1760="","",$M1760-$B1760),IF(设置!$B$6&lt;$B1760,"",IF((设置!$B$6-$B1760)&gt;=设置!$B$5,"超期"&amp;(设置!$B$6-$B1760)&amp;"天","已等"&amp;(设置!$B$6-$B1760)&amp;"天"))))</f>
        <v/>
      </c>
      <c r="O1760" s="18" t="str">
        <f aca="false">IF(OR($D1760="",$E1760=""),"",COUNTIFS($D$7:$D1760,$D1760,$E$7:$E1760,$E1760))</f>
        <v/>
      </c>
      <c r="P1760" s="16"/>
      <c r="Q1760" s="19"/>
      <c r="R1760" s="10"/>
      <c r="S1760" s="16"/>
      <c r="T1760" s="0" t="str">
        <f aca="false">IF(OR($D1760="",单元查询!$B$3=""),"",IF($D1760&lt;&gt;单元查询!$B$3,"",IF(OR(单元查询!$D$3="",$E1760&amp;""=单元查询!$D$3&amp;""),IF(ISNUMBER($B1760),$B1760*10000,0)+ROW(),"")))</f>
        <v/>
      </c>
      <c r="U1760" s="0" t="str">
        <f aca="false">IF(OR($B1760="",$L1760="已完成"),"",IF(ISNUMBER($B1760),IF(设置!$B$6&lt;$B1760,"",(设置!$B$6-$B1760)*100000+ROW()),""))</f>
        <v/>
      </c>
      <c r="V1760" s="0" t="str">
        <f aca="false">IF(ISNUMBER($O1760),IF($O1760&gt;=2,IF(COUNTIFS($D1760:$D$2006,$D1760,$E1760:$E$2006,$E1760)=1,ROW(),""),""),"")</f>
        <v/>
      </c>
    </row>
    <row r="1761" customFormat="false" ht="15" hidden="false" customHeight="true" outlineLevel="0" collapsed="false">
      <c r="A1761" s="13" t="str">
        <f aca="false">IF(AND($B1761="",$D1761="",$E1761="",$F1761=""),"",IF(OR($B1761="",$D1761="",$E1761=""),"待补",IF($D1761="公共区域","公",IF($D1761="商铺","S",SUBSTITUTE($D1761,"栋","")))&amp;"-"&amp;$E1761&amp;"-"&amp;TEXT(MONTH($B1761),"00")&amp;TEXT(DAY($B1761),"00")&amp;IF(ISNUMBER($O1761),IF($O1761&gt;1,"-"&amp;TEXT($O1761,"00"),""),"")))</f>
        <v/>
      </c>
      <c r="B1761" s="14"/>
      <c r="C1761" s="10"/>
      <c r="D1761" s="10"/>
      <c r="E1761" s="10"/>
      <c r="F1761" s="16"/>
      <c r="G1761" s="10"/>
      <c r="H1761" s="10"/>
      <c r="I1761" s="10"/>
      <c r="J1761" s="10"/>
      <c r="K1761" s="10"/>
      <c r="L1761" s="10"/>
      <c r="M1761" s="14"/>
      <c r="N1761" s="17" t="str">
        <f aca="false">IF($B1761="","",IF($L1761="已完成",IF($M1761="","",$M1761-$B1761),IF(设置!$B$6&lt;$B1761,"",IF((设置!$B$6-$B1761)&gt;=设置!$B$5,"超期"&amp;(设置!$B$6-$B1761)&amp;"天","已等"&amp;(设置!$B$6-$B1761)&amp;"天"))))</f>
        <v/>
      </c>
      <c r="O1761" s="18" t="str">
        <f aca="false">IF(OR($D1761="",$E1761=""),"",COUNTIFS($D$7:$D1761,$D1761,$E$7:$E1761,$E1761))</f>
        <v/>
      </c>
      <c r="P1761" s="16"/>
      <c r="Q1761" s="19"/>
      <c r="R1761" s="10"/>
      <c r="S1761" s="16"/>
      <c r="T1761" s="0" t="str">
        <f aca="false">IF(OR($D1761="",单元查询!$B$3=""),"",IF($D1761&lt;&gt;单元查询!$B$3,"",IF(OR(单元查询!$D$3="",$E1761&amp;""=单元查询!$D$3&amp;""),IF(ISNUMBER($B1761),$B1761*10000,0)+ROW(),"")))</f>
        <v/>
      </c>
      <c r="U1761" s="0" t="str">
        <f aca="false">IF(OR($B1761="",$L1761="已完成"),"",IF(ISNUMBER($B1761),IF(设置!$B$6&lt;$B1761,"",(设置!$B$6-$B1761)*100000+ROW()),""))</f>
        <v/>
      </c>
      <c r="V1761" s="0" t="str">
        <f aca="false">IF(ISNUMBER($O1761),IF($O1761&gt;=2,IF(COUNTIFS($D1761:$D$2006,$D1761,$E1761:$E$2006,$E1761)=1,ROW(),""),""),"")</f>
        <v/>
      </c>
    </row>
    <row r="1762" customFormat="false" ht="15" hidden="false" customHeight="true" outlineLevel="0" collapsed="false">
      <c r="A1762" s="13" t="str">
        <f aca="false">IF(AND($B1762="",$D1762="",$E1762="",$F1762=""),"",IF(OR($B1762="",$D1762="",$E1762=""),"待补",IF($D1762="公共区域","公",IF($D1762="商铺","S",SUBSTITUTE($D1762,"栋","")))&amp;"-"&amp;$E1762&amp;"-"&amp;TEXT(MONTH($B1762),"00")&amp;TEXT(DAY($B1762),"00")&amp;IF(ISNUMBER($O1762),IF($O1762&gt;1,"-"&amp;TEXT($O1762,"00"),""),"")))</f>
        <v/>
      </c>
      <c r="B1762" s="14"/>
      <c r="C1762" s="10"/>
      <c r="D1762" s="10"/>
      <c r="E1762" s="10"/>
      <c r="F1762" s="16"/>
      <c r="G1762" s="10"/>
      <c r="H1762" s="10"/>
      <c r="I1762" s="10"/>
      <c r="J1762" s="10"/>
      <c r="K1762" s="10"/>
      <c r="L1762" s="10"/>
      <c r="M1762" s="14"/>
      <c r="N1762" s="17" t="str">
        <f aca="false">IF($B1762="","",IF($L1762="已完成",IF($M1762="","",$M1762-$B1762),IF(设置!$B$6&lt;$B1762,"",IF((设置!$B$6-$B1762)&gt;=设置!$B$5,"超期"&amp;(设置!$B$6-$B1762)&amp;"天","已等"&amp;(设置!$B$6-$B1762)&amp;"天"))))</f>
        <v/>
      </c>
      <c r="O1762" s="18" t="str">
        <f aca="false">IF(OR($D1762="",$E1762=""),"",COUNTIFS($D$7:$D1762,$D1762,$E$7:$E1762,$E1762))</f>
        <v/>
      </c>
      <c r="P1762" s="16"/>
      <c r="Q1762" s="19"/>
      <c r="R1762" s="10"/>
      <c r="S1762" s="16"/>
      <c r="T1762" s="0" t="str">
        <f aca="false">IF(OR($D1762="",单元查询!$B$3=""),"",IF($D1762&lt;&gt;单元查询!$B$3,"",IF(OR(单元查询!$D$3="",$E1762&amp;""=单元查询!$D$3&amp;""),IF(ISNUMBER($B1762),$B1762*10000,0)+ROW(),"")))</f>
        <v/>
      </c>
      <c r="U1762" s="0" t="str">
        <f aca="false">IF(OR($B1762="",$L1762="已完成"),"",IF(ISNUMBER($B1762),IF(设置!$B$6&lt;$B1762,"",(设置!$B$6-$B1762)*100000+ROW()),""))</f>
        <v/>
      </c>
      <c r="V1762" s="0" t="str">
        <f aca="false">IF(ISNUMBER($O1762),IF($O1762&gt;=2,IF(COUNTIFS($D1762:$D$2006,$D1762,$E1762:$E$2006,$E1762)=1,ROW(),""),""),"")</f>
        <v/>
      </c>
    </row>
    <row r="1763" customFormat="false" ht="15" hidden="false" customHeight="true" outlineLevel="0" collapsed="false">
      <c r="A1763" s="13" t="str">
        <f aca="false">IF(AND($B1763="",$D1763="",$E1763="",$F1763=""),"",IF(OR($B1763="",$D1763="",$E1763=""),"待补",IF($D1763="公共区域","公",IF($D1763="商铺","S",SUBSTITUTE($D1763,"栋","")))&amp;"-"&amp;$E1763&amp;"-"&amp;TEXT(MONTH($B1763),"00")&amp;TEXT(DAY($B1763),"00")&amp;IF(ISNUMBER($O1763),IF($O1763&gt;1,"-"&amp;TEXT($O1763,"00"),""),"")))</f>
        <v/>
      </c>
      <c r="B1763" s="14"/>
      <c r="C1763" s="10"/>
      <c r="D1763" s="10"/>
      <c r="E1763" s="10"/>
      <c r="F1763" s="16"/>
      <c r="G1763" s="10"/>
      <c r="H1763" s="10"/>
      <c r="I1763" s="10"/>
      <c r="J1763" s="10"/>
      <c r="K1763" s="10"/>
      <c r="L1763" s="10"/>
      <c r="M1763" s="14"/>
      <c r="N1763" s="17" t="str">
        <f aca="false">IF($B1763="","",IF($L1763="已完成",IF($M1763="","",$M1763-$B1763),IF(设置!$B$6&lt;$B1763,"",IF((设置!$B$6-$B1763)&gt;=设置!$B$5,"超期"&amp;(设置!$B$6-$B1763)&amp;"天","已等"&amp;(设置!$B$6-$B1763)&amp;"天"))))</f>
        <v/>
      </c>
      <c r="O1763" s="18" t="str">
        <f aca="false">IF(OR($D1763="",$E1763=""),"",COUNTIFS($D$7:$D1763,$D1763,$E$7:$E1763,$E1763))</f>
        <v/>
      </c>
      <c r="P1763" s="16"/>
      <c r="Q1763" s="19"/>
      <c r="R1763" s="10"/>
      <c r="S1763" s="16"/>
      <c r="T1763" s="0" t="str">
        <f aca="false">IF(OR($D1763="",单元查询!$B$3=""),"",IF($D1763&lt;&gt;单元查询!$B$3,"",IF(OR(单元查询!$D$3="",$E1763&amp;""=单元查询!$D$3&amp;""),IF(ISNUMBER($B1763),$B1763*10000,0)+ROW(),"")))</f>
        <v/>
      </c>
      <c r="U1763" s="0" t="str">
        <f aca="false">IF(OR($B1763="",$L1763="已完成"),"",IF(ISNUMBER($B1763),IF(设置!$B$6&lt;$B1763,"",(设置!$B$6-$B1763)*100000+ROW()),""))</f>
        <v/>
      </c>
      <c r="V1763" s="0" t="str">
        <f aca="false">IF(ISNUMBER($O1763),IF($O1763&gt;=2,IF(COUNTIFS($D1763:$D$2006,$D1763,$E1763:$E$2006,$E1763)=1,ROW(),""),""),"")</f>
        <v/>
      </c>
    </row>
    <row r="1764" customFormat="false" ht="15" hidden="false" customHeight="true" outlineLevel="0" collapsed="false">
      <c r="A1764" s="13" t="str">
        <f aca="false">IF(AND($B1764="",$D1764="",$E1764="",$F1764=""),"",IF(OR($B1764="",$D1764="",$E1764=""),"待补",IF($D1764="公共区域","公",IF($D1764="商铺","S",SUBSTITUTE($D1764,"栋","")))&amp;"-"&amp;$E1764&amp;"-"&amp;TEXT(MONTH($B1764),"00")&amp;TEXT(DAY($B1764),"00")&amp;IF(ISNUMBER($O1764),IF($O1764&gt;1,"-"&amp;TEXT($O1764,"00"),""),"")))</f>
        <v/>
      </c>
      <c r="B1764" s="14"/>
      <c r="C1764" s="10"/>
      <c r="D1764" s="10"/>
      <c r="E1764" s="10"/>
      <c r="F1764" s="16"/>
      <c r="G1764" s="10"/>
      <c r="H1764" s="10"/>
      <c r="I1764" s="10"/>
      <c r="J1764" s="10"/>
      <c r="K1764" s="10"/>
      <c r="L1764" s="10"/>
      <c r="M1764" s="14"/>
      <c r="N1764" s="17" t="str">
        <f aca="false">IF($B1764="","",IF($L1764="已完成",IF($M1764="","",$M1764-$B1764),IF(设置!$B$6&lt;$B1764,"",IF((设置!$B$6-$B1764)&gt;=设置!$B$5,"超期"&amp;(设置!$B$6-$B1764)&amp;"天","已等"&amp;(设置!$B$6-$B1764)&amp;"天"))))</f>
        <v/>
      </c>
      <c r="O1764" s="18" t="str">
        <f aca="false">IF(OR($D1764="",$E1764=""),"",COUNTIFS($D$7:$D1764,$D1764,$E$7:$E1764,$E1764))</f>
        <v/>
      </c>
      <c r="P1764" s="16"/>
      <c r="Q1764" s="19"/>
      <c r="R1764" s="10"/>
      <c r="S1764" s="16"/>
      <c r="T1764" s="0" t="str">
        <f aca="false">IF(OR($D1764="",单元查询!$B$3=""),"",IF($D1764&lt;&gt;单元查询!$B$3,"",IF(OR(单元查询!$D$3="",$E1764&amp;""=单元查询!$D$3&amp;""),IF(ISNUMBER($B1764),$B1764*10000,0)+ROW(),"")))</f>
        <v/>
      </c>
      <c r="U1764" s="0" t="str">
        <f aca="false">IF(OR($B1764="",$L1764="已完成"),"",IF(ISNUMBER($B1764),IF(设置!$B$6&lt;$B1764,"",(设置!$B$6-$B1764)*100000+ROW()),""))</f>
        <v/>
      </c>
      <c r="V1764" s="0" t="str">
        <f aca="false">IF(ISNUMBER($O1764),IF($O1764&gt;=2,IF(COUNTIFS($D1764:$D$2006,$D1764,$E1764:$E$2006,$E1764)=1,ROW(),""),""),"")</f>
        <v/>
      </c>
    </row>
    <row r="1765" customFormat="false" ht="15" hidden="false" customHeight="true" outlineLevel="0" collapsed="false">
      <c r="A1765" s="13" t="str">
        <f aca="false">IF(AND($B1765="",$D1765="",$E1765="",$F1765=""),"",IF(OR($B1765="",$D1765="",$E1765=""),"待补",IF($D1765="公共区域","公",IF($D1765="商铺","S",SUBSTITUTE($D1765,"栋","")))&amp;"-"&amp;$E1765&amp;"-"&amp;TEXT(MONTH($B1765),"00")&amp;TEXT(DAY($B1765),"00")&amp;IF(ISNUMBER($O1765),IF($O1765&gt;1,"-"&amp;TEXT($O1765,"00"),""),"")))</f>
        <v/>
      </c>
      <c r="B1765" s="14"/>
      <c r="C1765" s="10"/>
      <c r="D1765" s="10"/>
      <c r="E1765" s="10"/>
      <c r="F1765" s="16"/>
      <c r="G1765" s="10"/>
      <c r="H1765" s="10"/>
      <c r="I1765" s="10"/>
      <c r="J1765" s="10"/>
      <c r="K1765" s="10"/>
      <c r="L1765" s="10"/>
      <c r="M1765" s="14"/>
      <c r="N1765" s="17" t="str">
        <f aca="false">IF($B1765="","",IF($L1765="已完成",IF($M1765="","",$M1765-$B1765),IF(设置!$B$6&lt;$B1765,"",IF((设置!$B$6-$B1765)&gt;=设置!$B$5,"超期"&amp;(设置!$B$6-$B1765)&amp;"天","已等"&amp;(设置!$B$6-$B1765)&amp;"天"))))</f>
        <v/>
      </c>
      <c r="O1765" s="18" t="str">
        <f aca="false">IF(OR($D1765="",$E1765=""),"",COUNTIFS($D$7:$D1765,$D1765,$E$7:$E1765,$E1765))</f>
        <v/>
      </c>
      <c r="P1765" s="16"/>
      <c r="Q1765" s="19"/>
      <c r="R1765" s="10"/>
      <c r="S1765" s="16"/>
      <c r="T1765" s="0" t="str">
        <f aca="false">IF(OR($D1765="",单元查询!$B$3=""),"",IF($D1765&lt;&gt;单元查询!$B$3,"",IF(OR(单元查询!$D$3="",$E1765&amp;""=单元查询!$D$3&amp;""),IF(ISNUMBER($B1765),$B1765*10000,0)+ROW(),"")))</f>
        <v/>
      </c>
      <c r="U1765" s="0" t="str">
        <f aca="false">IF(OR($B1765="",$L1765="已完成"),"",IF(ISNUMBER($B1765),IF(设置!$B$6&lt;$B1765,"",(设置!$B$6-$B1765)*100000+ROW()),""))</f>
        <v/>
      </c>
      <c r="V1765" s="0" t="str">
        <f aca="false">IF(ISNUMBER($O1765),IF($O1765&gt;=2,IF(COUNTIFS($D1765:$D$2006,$D1765,$E1765:$E$2006,$E1765)=1,ROW(),""),""),"")</f>
        <v/>
      </c>
    </row>
    <row r="1766" customFormat="false" ht="15" hidden="false" customHeight="true" outlineLevel="0" collapsed="false">
      <c r="A1766" s="13" t="str">
        <f aca="false">IF(AND($B1766="",$D1766="",$E1766="",$F1766=""),"",IF(OR($B1766="",$D1766="",$E1766=""),"待补",IF($D1766="公共区域","公",IF($D1766="商铺","S",SUBSTITUTE($D1766,"栋","")))&amp;"-"&amp;$E1766&amp;"-"&amp;TEXT(MONTH($B1766),"00")&amp;TEXT(DAY($B1766),"00")&amp;IF(ISNUMBER($O1766),IF($O1766&gt;1,"-"&amp;TEXT($O1766,"00"),""),"")))</f>
        <v/>
      </c>
      <c r="B1766" s="14"/>
      <c r="C1766" s="10"/>
      <c r="D1766" s="10"/>
      <c r="E1766" s="10"/>
      <c r="F1766" s="16"/>
      <c r="G1766" s="10"/>
      <c r="H1766" s="10"/>
      <c r="I1766" s="10"/>
      <c r="J1766" s="10"/>
      <c r="K1766" s="10"/>
      <c r="L1766" s="10"/>
      <c r="M1766" s="14"/>
      <c r="N1766" s="17" t="str">
        <f aca="false">IF($B1766="","",IF($L1766="已完成",IF($M1766="","",$M1766-$B1766),IF(设置!$B$6&lt;$B1766,"",IF((设置!$B$6-$B1766)&gt;=设置!$B$5,"超期"&amp;(设置!$B$6-$B1766)&amp;"天","已等"&amp;(设置!$B$6-$B1766)&amp;"天"))))</f>
        <v/>
      </c>
      <c r="O1766" s="18" t="str">
        <f aca="false">IF(OR($D1766="",$E1766=""),"",COUNTIFS($D$7:$D1766,$D1766,$E$7:$E1766,$E1766))</f>
        <v/>
      </c>
      <c r="P1766" s="16"/>
      <c r="Q1766" s="19"/>
      <c r="R1766" s="10"/>
      <c r="S1766" s="16"/>
      <c r="T1766" s="0" t="str">
        <f aca="false">IF(OR($D1766="",单元查询!$B$3=""),"",IF($D1766&lt;&gt;单元查询!$B$3,"",IF(OR(单元查询!$D$3="",$E1766&amp;""=单元查询!$D$3&amp;""),IF(ISNUMBER($B1766),$B1766*10000,0)+ROW(),"")))</f>
        <v/>
      </c>
      <c r="U1766" s="0" t="str">
        <f aca="false">IF(OR($B1766="",$L1766="已完成"),"",IF(ISNUMBER($B1766),IF(设置!$B$6&lt;$B1766,"",(设置!$B$6-$B1766)*100000+ROW()),""))</f>
        <v/>
      </c>
      <c r="V1766" s="0" t="str">
        <f aca="false">IF(ISNUMBER($O1766),IF($O1766&gt;=2,IF(COUNTIFS($D1766:$D$2006,$D1766,$E1766:$E$2006,$E1766)=1,ROW(),""),""),"")</f>
        <v/>
      </c>
    </row>
    <row r="1767" customFormat="false" ht="15" hidden="false" customHeight="true" outlineLevel="0" collapsed="false">
      <c r="A1767" s="13" t="str">
        <f aca="false">IF(AND($B1767="",$D1767="",$E1767="",$F1767=""),"",IF(OR($B1767="",$D1767="",$E1767=""),"待补",IF($D1767="公共区域","公",IF($D1767="商铺","S",SUBSTITUTE($D1767,"栋","")))&amp;"-"&amp;$E1767&amp;"-"&amp;TEXT(MONTH($B1767),"00")&amp;TEXT(DAY($B1767),"00")&amp;IF(ISNUMBER($O1767),IF($O1767&gt;1,"-"&amp;TEXT($O1767,"00"),""),"")))</f>
        <v/>
      </c>
      <c r="B1767" s="14"/>
      <c r="C1767" s="10"/>
      <c r="D1767" s="10"/>
      <c r="E1767" s="10"/>
      <c r="F1767" s="16"/>
      <c r="G1767" s="10"/>
      <c r="H1767" s="10"/>
      <c r="I1767" s="10"/>
      <c r="J1767" s="10"/>
      <c r="K1767" s="10"/>
      <c r="L1767" s="10"/>
      <c r="M1767" s="14"/>
      <c r="N1767" s="17" t="str">
        <f aca="false">IF($B1767="","",IF($L1767="已完成",IF($M1767="","",$M1767-$B1767),IF(设置!$B$6&lt;$B1767,"",IF((设置!$B$6-$B1767)&gt;=设置!$B$5,"超期"&amp;(设置!$B$6-$B1767)&amp;"天","已等"&amp;(设置!$B$6-$B1767)&amp;"天"))))</f>
        <v/>
      </c>
      <c r="O1767" s="18" t="str">
        <f aca="false">IF(OR($D1767="",$E1767=""),"",COUNTIFS($D$7:$D1767,$D1767,$E$7:$E1767,$E1767))</f>
        <v/>
      </c>
      <c r="P1767" s="16"/>
      <c r="Q1767" s="19"/>
      <c r="R1767" s="10"/>
      <c r="S1767" s="16"/>
      <c r="T1767" s="0" t="str">
        <f aca="false">IF(OR($D1767="",单元查询!$B$3=""),"",IF($D1767&lt;&gt;单元查询!$B$3,"",IF(OR(单元查询!$D$3="",$E1767&amp;""=单元查询!$D$3&amp;""),IF(ISNUMBER($B1767),$B1767*10000,0)+ROW(),"")))</f>
        <v/>
      </c>
      <c r="U1767" s="0" t="str">
        <f aca="false">IF(OR($B1767="",$L1767="已完成"),"",IF(ISNUMBER($B1767),IF(设置!$B$6&lt;$B1767,"",(设置!$B$6-$B1767)*100000+ROW()),""))</f>
        <v/>
      </c>
      <c r="V1767" s="0" t="str">
        <f aca="false">IF(ISNUMBER($O1767),IF($O1767&gt;=2,IF(COUNTIFS($D1767:$D$2006,$D1767,$E1767:$E$2006,$E1767)=1,ROW(),""),""),"")</f>
        <v/>
      </c>
    </row>
    <row r="1768" customFormat="false" ht="15" hidden="false" customHeight="true" outlineLevel="0" collapsed="false">
      <c r="A1768" s="13" t="str">
        <f aca="false">IF(AND($B1768="",$D1768="",$E1768="",$F1768=""),"",IF(OR($B1768="",$D1768="",$E1768=""),"待补",IF($D1768="公共区域","公",IF($D1768="商铺","S",SUBSTITUTE($D1768,"栋","")))&amp;"-"&amp;$E1768&amp;"-"&amp;TEXT(MONTH($B1768),"00")&amp;TEXT(DAY($B1768),"00")&amp;IF(ISNUMBER($O1768),IF($O1768&gt;1,"-"&amp;TEXT($O1768,"00"),""),"")))</f>
        <v/>
      </c>
      <c r="B1768" s="14"/>
      <c r="C1768" s="10"/>
      <c r="D1768" s="10"/>
      <c r="E1768" s="10"/>
      <c r="F1768" s="16"/>
      <c r="G1768" s="10"/>
      <c r="H1768" s="10"/>
      <c r="I1768" s="10"/>
      <c r="J1768" s="10"/>
      <c r="K1768" s="10"/>
      <c r="L1768" s="10"/>
      <c r="M1768" s="14"/>
      <c r="N1768" s="17" t="str">
        <f aca="false">IF($B1768="","",IF($L1768="已完成",IF($M1768="","",$M1768-$B1768),IF(设置!$B$6&lt;$B1768,"",IF((设置!$B$6-$B1768)&gt;=设置!$B$5,"超期"&amp;(设置!$B$6-$B1768)&amp;"天","已等"&amp;(设置!$B$6-$B1768)&amp;"天"))))</f>
        <v/>
      </c>
      <c r="O1768" s="18" t="str">
        <f aca="false">IF(OR($D1768="",$E1768=""),"",COUNTIFS($D$7:$D1768,$D1768,$E$7:$E1768,$E1768))</f>
        <v/>
      </c>
      <c r="P1768" s="16"/>
      <c r="Q1768" s="19"/>
      <c r="R1768" s="10"/>
      <c r="S1768" s="16"/>
      <c r="T1768" s="0" t="str">
        <f aca="false">IF(OR($D1768="",单元查询!$B$3=""),"",IF($D1768&lt;&gt;单元查询!$B$3,"",IF(OR(单元查询!$D$3="",$E1768&amp;""=单元查询!$D$3&amp;""),IF(ISNUMBER($B1768),$B1768*10000,0)+ROW(),"")))</f>
        <v/>
      </c>
      <c r="U1768" s="0" t="str">
        <f aca="false">IF(OR($B1768="",$L1768="已完成"),"",IF(ISNUMBER($B1768),IF(设置!$B$6&lt;$B1768,"",(设置!$B$6-$B1768)*100000+ROW()),""))</f>
        <v/>
      </c>
      <c r="V1768" s="0" t="str">
        <f aca="false">IF(ISNUMBER($O1768),IF($O1768&gt;=2,IF(COUNTIFS($D1768:$D$2006,$D1768,$E1768:$E$2006,$E1768)=1,ROW(),""),""),"")</f>
        <v/>
      </c>
    </row>
    <row r="1769" customFormat="false" ht="15" hidden="false" customHeight="true" outlineLevel="0" collapsed="false">
      <c r="A1769" s="13" t="str">
        <f aca="false">IF(AND($B1769="",$D1769="",$E1769="",$F1769=""),"",IF(OR($B1769="",$D1769="",$E1769=""),"待补",IF($D1769="公共区域","公",IF($D1769="商铺","S",SUBSTITUTE($D1769,"栋","")))&amp;"-"&amp;$E1769&amp;"-"&amp;TEXT(MONTH($B1769),"00")&amp;TEXT(DAY($B1769),"00")&amp;IF(ISNUMBER($O1769),IF($O1769&gt;1,"-"&amp;TEXT($O1769,"00"),""),"")))</f>
        <v/>
      </c>
      <c r="B1769" s="14"/>
      <c r="C1769" s="10"/>
      <c r="D1769" s="10"/>
      <c r="E1769" s="10"/>
      <c r="F1769" s="16"/>
      <c r="G1769" s="10"/>
      <c r="H1769" s="10"/>
      <c r="I1769" s="10"/>
      <c r="J1769" s="10"/>
      <c r="K1769" s="10"/>
      <c r="L1769" s="10"/>
      <c r="M1769" s="14"/>
      <c r="N1769" s="17" t="str">
        <f aca="false">IF($B1769="","",IF($L1769="已完成",IF($M1769="","",$M1769-$B1769),IF(设置!$B$6&lt;$B1769,"",IF((设置!$B$6-$B1769)&gt;=设置!$B$5,"超期"&amp;(设置!$B$6-$B1769)&amp;"天","已等"&amp;(设置!$B$6-$B1769)&amp;"天"))))</f>
        <v/>
      </c>
      <c r="O1769" s="18" t="str">
        <f aca="false">IF(OR($D1769="",$E1769=""),"",COUNTIFS($D$7:$D1769,$D1769,$E$7:$E1769,$E1769))</f>
        <v/>
      </c>
      <c r="P1769" s="16"/>
      <c r="Q1769" s="19"/>
      <c r="R1769" s="10"/>
      <c r="S1769" s="16"/>
      <c r="T1769" s="0" t="str">
        <f aca="false">IF(OR($D1769="",单元查询!$B$3=""),"",IF($D1769&lt;&gt;单元查询!$B$3,"",IF(OR(单元查询!$D$3="",$E1769&amp;""=单元查询!$D$3&amp;""),IF(ISNUMBER($B1769),$B1769*10000,0)+ROW(),"")))</f>
        <v/>
      </c>
      <c r="U1769" s="0" t="str">
        <f aca="false">IF(OR($B1769="",$L1769="已完成"),"",IF(ISNUMBER($B1769),IF(设置!$B$6&lt;$B1769,"",(设置!$B$6-$B1769)*100000+ROW()),""))</f>
        <v/>
      </c>
      <c r="V1769" s="0" t="str">
        <f aca="false">IF(ISNUMBER($O1769),IF($O1769&gt;=2,IF(COUNTIFS($D1769:$D$2006,$D1769,$E1769:$E$2006,$E1769)=1,ROW(),""),""),"")</f>
        <v/>
      </c>
    </row>
    <row r="1770" customFormat="false" ht="15" hidden="false" customHeight="true" outlineLevel="0" collapsed="false">
      <c r="A1770" s="13" t="str">
        <f aca="false">IF(AND($B1770="",$D1770="",$E1770="",$F1770=""),"",IF(OR($B1770="",$D1770="",$E1770=""),"待补",IF($D1770="公共区域","公",IF($D1770="商铺","S",SUBSTITUTE($D1770,"栋","")))&amp;"-"&amp;$E1770&amp;"-"&amp;TEXT(MONTH($B1770),"00")&amp;TEXT(DAY($B1770),"00")&amp;IF(ISNUMBER($O1770),IF($O1770&gt;1,"-"&amp;TEXT($O1770,"00"),""),"")))</f>
        <v/>
      </c>
      <c r="B1770" s="14"/>
      <c r="C1770" s="10"/>
      <c r="D1770" s="10"/>
      <c r="E1770" s="10"/>
      <c r="F1770" s="16"/>
      <c r="G1770" s="10"/>
      <c r="H1770" s="10"/>
      <c r="I1770" s="10"/>
      <c r="J1770" s="10"/>
      <c r="K1770" s="10"/>
      <c r="L1770" s="10"/>
      <c r="M1770" s="14"/>
      <c r="N1770" s="17" t="str">
        <f aca="false">IF($B1770="","",IF($L1770="已完成",IF($M1770="","",$M1770-$B1770),IF(设置!$B$6&lt;$B1770,"",IF((设置!$B$6-$B1770)&gt;=设置!$B$5,"超期"&amp;(设置!$B$6-$B1770)&amp;"天","已等"&amp;(设置!$B$6-$B1770)&amp;"天"))))</f>
        <v/>
      </c>
      <c r="O1770" s="18" t="str">
        <f aca="false">IF(OR($D1770="",$E1770=""),"",COUNTIFS($D$7:$D1770,$D1770,$E$7:$E1770,$E1770))</f>
        <v/>
      </c>
      <c r="P1770" s="16"/>
      <c r="Q1770" s="19"/>
      <c r="R1770" s="10"/>
      <c r="S1770" s="16"/>
      <c r="T1770" s="0" t="str">
        <f aca="false">IF(OR($D1770="",单元查询!$B$3=""),"",IF($D1770&lt;&gt;单元查询!$B$3,"",IF(OR(单元查询!$D$3="",$E1770&amp;""=单元查询!$D$3&amp;""),IF(ISNUMBER($B1770),$B1770*10000,0)+ROW(),"")))</f>
        <v/>
      </c>
      <c r="U1770" s="0" t="str">
        <f aca="false">IF(OR($B1770="",$L1770="已完成"),"",IF(ISNUMBER($B1770),IF(设置!$B$6&lt;$B1770,"",(设置!$B$6-$B1770)*100000+ROW()),""))</f>
        <v/>
      </c>
      <c r="V1770" s="0" t="str">
        <f aca="false">IF(ISNUMBER($O1770),IF($O1770&gt;=2,IF(COUNTIFS($D1770:$D$2006,$D1770,$E1770:$E$2006,$E1770)=1,ROW(),""),""),"")</f>
        <v/>
      </c>
    </row>
    <row r="1771" customFormat="false" ht="15" hidden="false" customHeight="true" outlineLevel="0" collapsed="false">
      <c r="A1771" s="13" t="str">
        <f aca="false">IF(AND($B1771="",$D1771="",$E1771="",$F1771=""),"",IF(OR($B1771="",$D1771="",$E1771=""),"待补",IF($D1771="公共区域","公",IF($D1771="商铺","S",SUBSTITUTE($D1771,"栋","")))&amp;"-"&amp;$E1771&amp;"-"&amp;TEXT(MONTH($B1771),"00")&amp;TEXT(DAY($B1771),"00")&amp;IF(ISNUMBER($O1771),IF($O1771&gt;1,"-"&amp;TEXT($O1771,"00"),""),"")))</f>
        <v/>
      </c>
      <c r="B1771" s="14"/>
      <c r="C1771" s="10"/>
      <c r="D1771" s="10"/>
      <c r="E1771" s="10"/>
      <c r="F1771" s="16"/>
      <c r="G1771" s="10"/>
      <c r="H1771" s="10"/>
      <c r="I1771" s="10"/>
      <c r="J1771" s="10"/>
      <c r="K1771" s="10"/>
      <c r="L1771" s="10"/>
      <c r="M1771" s="14"/>
      <c r="N1771" s="17" t="str">
        <f aca="false">IF($B1771="","",IF($L1771="已完成",IF($M1771="","",$M1771-$B1771),IF(设置!$B$6&lt;$B1771,"",IF((设置!$B$6-$B1771)&gt;=设置!$B$5,"超期"&amp;(设置!$B$6-$B1771)&amp;"天","已等"&amp;(设置!$B$6-$B1771)&amp;"天"))))</f>
        <v/>
      </c>
      <c r="O1771" s="18" t="str">
        <f aca="false">IF(OR($D1771="",$E1771=""),"",COUNTIFS($D$7:$D1771,$D1771,$E$7:$E1771,$E1771))</f>
        <v/>
      </c>
      <c r="P1771" s="16"/>
      <c r="Q1771" s="19"/>
      <c r="R1771" s="10"/>
      <c r="S1771" s="16"/>
      <c r="T1771" s="0" t="str">
        <f aca="false">IF(OR($D1771="",单元查询!$B$3=""),"",IF($D1771&lt;&gt;单元查询!$B$3,"",IF(OR(单元查询!$D$3="",$E1771&amp;""=单元查询!$D$3&amp;""),IF(ISNUMBER($B1771),$B1771*10000,0)+ROW(),"")))</f>
        <v/>
      </c>
      <c r="U1771" s="0" t="str">
        <f aca="false">IF(OR($B1771="",$L1771="已完成"),"",IF(ISNUMBER($B1771),IF(设置!$B$6&lt;$B1771,"",(设置!$B$6-$B1771)*100000+ROW()),""))</f>
        <v/>
      </c>
      <c r="V1771" s="0" t="str">
        <f aca="false">IF(ISNUMBER($O1771),IF($O1771&gt;=2,IF(COUNTIFS($D1771:$D$2006,$D1771,$E1771:$E$2006,$E1771)=1,ROW(),""),""),"")</f>
        <v/>
      </c>
    </row>
    <row r="1772" customFormat="false" ht="15" hidden="false" customHeight="true" outlineLevel="0" collapsed="false">
      <c r="A1772" s="13" t="str">
        <f aca="false">IF(AND($B1772="",$D1772="",$E1772="",$F1772=""),"",IF(OR($B1772="",$D1772="",$E1772=""),"待补",IF($D1772="公共区域","公",IF($D1772="商铺","S",SUBSTITUTE($D1772,"栋","")))&amp;"-"&amp;$E1772&amp;"-"&amp;TEXT(MONTH($B1772),"00")&amp;TEXT(DAY($B1772),"00")&amp;IF(ISNUMBER($O1772),IF($O1772&gt;1,"-"&amp;TEXT($O1772,"00"),""),"")))</f>
        <v/>
      </c>
      <c r="B1772" s="14"/>
      <c r="C1772" s="10"/>
      <c r="D1772" s="10"/>
      <c r="E1772" s="10"/>
      <c r="F1772" s="16"/>
      <c r="G1772" s="10"/>
      <c r="H1772" s="10"/>
      <c r="I1772" s="10"/>
      <c r="J1772" s="10"/>
      <c r="K1772" s="10"/>
      <c r="L1772" s="10"/>
      <c r="M1772" s="14"/>
      <c r="N1772" s="17" t="str">
        <f aca="false">IF($B1772="","",IF($L1772="已完成",IF($M1772="","",$M1772-$B1772),IF(设置!$B$6&lt;$B1772,"",IF((设置!$B$6-$B1772)&gt;=设置!$B$5,"超期"&amp;(设置!$B$6-$B1772)&amp;"天","已等"&amp;(设置!$B$6-$B1772)&amp;"天"))))</f>
        <v/>
      </c>
      <c r="O1772" s="18" t="str">
        <f aca="false">IF(OR($D1772="",$E1772=""),"",COUNTIFS($D$7:$D1772,$D1772,$E$7:$E1772,$E1772))</f>
        <v/>
      </c>
      <c r="P1772" s="16"/>
      <c r="Q1772" s="19"/>
      <c r="R1772" s="10"/>
      <c r="S1772" s="16"/>
      <c r="T1772" s="0" t="str">
        <f aca="false">IF(OR($D1772="",单元查询!$B$3=""),"",IF($D1772&lt;&gt;单元查询!$B$3,"",IF(OR(单元查询!$D$3="",$E1772&amp;""=单元查询!$D$3&amp;""),IF(ISNUMBER($B1772),$B1772*10000,0)+ROW(),"")))</f>
        <v/>
      </c>
      <c r="U1772" s="0" t="str">
        <f aca="false">IF(OR($B1772="",$L1772="已完成"),"",IF(ISNUMBER($B1772),IF(设置!$B$6&lt;$B1772,"",(设置!$B$6-$B1772)*100000+ROW()),""))</f>
        <v/>
      </c>
      <c r="V1772" s="0" t="str">
        <f aca="false">IF(ISNUMBER($O1772),IF($O1772&gt;=2,IF(COUNTIFS($D1772:$D$2006,$D1772,$E1772:$E$2006,$E1772)=1,ROW(),""),""),"")</f>
        <v/>
      </c>
    </row>
    <row r="1773" customFormat="false" ht="15" hidden="false" customHeight="true" outlineLevel="0" collapsed="false">
      <c r="A1773" s="13" t="str">
        <f aca="false">IF(AND($B1773="",$D1773="",$E1773="",$F1773=""),"",IF(OR($B1773="",$D1773="",$E1773=""),"待补",IF($D1773="公共区域","公",IF($D1773="商铺","S",SUBSTITUTE($D1773,"栋","")))&amp;"-"&amp;$E1773&amp;"-"&amp;TEXT(MONTH($B1773),"00")&amp;TEXT(DAY($B1773),"00")&amp;IF(ISNUMBER($O1773),IF($O1773&gt;1,"-"&amp;TEXT($O1773,"00"),""),"")))</f>
        <v/>
      </c>
      <c r="B1773" s="14"/>
      <c r="C1773" s="10"/>
      <c r="D1773" s="10"/>
      <c r="E1773" s="10"/>
      <c r="F1773" s="16"/>
      <c r="G1773" s="10"/>
      <c r="H1773" s="10"/>
      <c r="I1773" s="10"/>
      <c r="J1773" s="10"/>
      <c r="K1773" s="10"/>
      <c r="L1773" s="10"/>
      <c r="M1773" s="14"/>
      <c r="N1773" s="17" t="str">
        <f aca="false">IF($B1773="","",IF($L1773="已完成",IF($M1773="","",$M1773-$B1773),IF(设置!$B$6&lt;$B1773,"",IF((设置!$B$6-$B1773)&gt;=设置!$B$5,"超期"&amp;(设置!$B$6-$B1773)&amp;"天","已等"&amp;(设置!$B$6-$B1773)&amp;"天"))))</f>
        <v/>
      </c>
      <c r="O1773" s="18" t="str">
        <f aca="false">IF(OR($D1773="",$E1773=""),"",COUNTIFS($D$7:$D1773,$D1773,$E$7:$E1773,$E1773))</f>
        <v/>
      </c>
      <c r="P1773" s="16"/>
      <c r="Q1773" s="19"/>
      <c r="R1773" s="10"/>
      <c r="S1773" s="16"/>
      <c r="T1773" s="0" t="str">
        <f aca="false">IF(OR($D1773="",单元查询!$B$3=""),"",IF($D1773&lt;&gt;单元查询!$B$3,"",IF(OR(单元查询!$D$3="",$E1773&amp;""=单元查询!$D$3&amp;""),IF(ISNUMBER($B1773),$B1773*10000,0)+ROW(),"")))</f>
        <v/>
      </c>
      <c r="U1773" s="0" t="str">
        <f aca="false">IF(OR($B1773="",$L1773="已完成"),"",IF(ISNUMBER($B1773),IF(设置!$B$6&lt;$B1773,"",(设置!$B$6-$B1773)*100000+ROW()),""))</f>
        <v/>
      </c>
      <c r="V1773" s="0" t="str">
        <f aca="false">IF(ISNUMBER($O1773),IF($O1773&gt;=2,IF(COUNTIFS($D1773:$D$2006,$D1773,$E1773:$E$2006,$E1773)=1,ROW(),""),""),"")</f>
        <v/>
      </c>
    </row>
    <row r="1774" customFormat="false" ht="15" hidden="false" customHeight="true" outlineLevel="0" collapsed="false">
      <c r="A1774" s="13" t="str">
        <f aca="false">IF(AND($B1774="",$D1774="",$E1774="",$F1774=""),"",IF(OR($B1774="",$D1774="",$E1774=""),"待补",IF($D1774="公共区域","公",IF($D1774="商铺","S",SUBSTITUTE($D1774,"栋","")))&amp;"-"&amp;$E1774&amp;"-"&amp;TEXT(MONTH($B1774),"00")&amp;TEXT(DAY($B1774),"00")&amp;IF(ISNUMBER($O1774),IF($O1774&gt;1,"-"&amp;TEXT($O1774,"00"),""),"")))</f>
        <v/>
      </c>
      <c r="B1774" s="14"/>
      <c r="C1774" s="10"/>
      <c r="D1774" s="10"/>
      <c r="E1774" s="10"/>
      <c r="F1774" s="16"/>
      <c r="G1774" s="10"/>
      <c r="H1774" s="10"/>
      <c r="I1774" s="10"/>
      <c r="J1774" s="10"/>
      <c r="K1774" s="10"/>
      <c r="L1774" s="10"/>
      <c r="M1774" s="14"/>
      <c r="N1774" s="17" t="str">
        <f aca="false">IF($B1774="","",IF($L1774="已完成",IF($M1774="","",$M1774-$B1774),IF(设置!$B$6&lt;$B1774,"",IF((设置!$B$6-$B1774)&gt;=设置!$B$5,"超期"&amp;(设置!$B$6-$B1774)&amp;"天","已等"&amp;(设置!$B$6-$B1774)&amp;"天"))))</f>
        <v/>
      </c>
      <c r="O1774" s="18" t="str">
        <f aca="false">IF(OR($D1774="",$E1774=""),"",COUNTIFS($D$7:$D1774,$D1774,$E$7:$E1774,$E1774))</f>
        <v/>
      </c>
      <c r="P1774" s="16"/>
      <c r="Q1774" s="19"/>
      <c r="R1774" s="10"/>
      <c r="S1774" s="16"/>
      <c r="T1774" s="0" t="str">
        <f aca="false">IF(OR($D1774="",单元查询!$B$3=""),"",IF($D1774&lt;&gt;单元查询!$B$3,"",IF(OR(单元查询!$D$3="",$E1774&amp;""=单元查询!$D$3&amp;""),IF(ISNUMBER($B1774),$B1774*10000,0)+ROW(),"")))</f>
        <v/>
      </c>
      <c r="U1774" s="0" t="str">
        <f aca="false">IF(OR($B1774="",$L1774="已完成"),"",IF(ISNUMBER($B1774),IF(设置!$B$6&lt;$B1774,"",(设置!$B$6-$B1774)*100000+ROW()),""))</f>
        <v/>
      </c>
      <c r="V1774" s="0" t="str">
        <f aca="false">IF(ISNUMBER($O1774),IF($O1774&gt;=2,IF(COUNTIFS($D1774:$D$2006,$D1774,$E1774:$E$2006,$E1774)=1,ROW(),""),""),"")</f>
        <v/>
      </c>
    </row>
    <row r="1775" customFormat="false" ht="15" hidden="false" customHeight="true" outlineLevel="0" collapsed="false">
      <c r="A1775" s="13" t="str">
        <f aca="false">IF(AND($B1775="",$D1775="",$E1775="",$F1775=""),"",IF(OR($B1775="",$D1775="",$E1775=""),"待补",IF($D1775="公共区域","公",IF($D1775="商铺","S",SUBSTITUTE($D1775,"栋","")))&amp;"-"&amp;$E1775&amp;"-"&amp;TEXT(MONTH($B1775),"00")&amp;TEXT(DAY($B1775),"00")&amp;IF(ISNUMBER($O1775),IF($O1775&gt;1,"-"&amp;TEXT($O1775,"00"),""),"")))</f>
        <v/>
      </c>
      <c r="B1775" s="14"/>
      <c r="C1775" s="10"/>
      <c r="D1775" s="10"/>
      <c r="E1775" s="10"/>
      <c r="F1775" s="16"/>
      <c r="G1775" s="10"/>
      <c r="H1775" s="10"/>
      <c r="I1775" s="10"/>
      <c r="J1775" s="10"/>
      <c r="K1775" s="10"/>
      <c r="L1775" s="10"/>
      <c r="M1775" s="14"/>
      <c r="N1775" s="17" t="str">
        <f aca="false">IF($B1775="","",IF($L1775="已完成",IF($M1775="","",$M1775-$B1775),IF(设置!$B$6&lt;$B1775,"",IF((设置!$B$6-$B1775)&gt;=设置!$B$5,"超期"&amp;(设置!$B$6-$B1775)&amp;"天","已等"&amp;(设置!$B$6-$B1775)&amp;"天"))))</f>
        <v/>
      </c>
      <c r="O1775" s="18" t="str">
        <f aca="false">IF(OR($D1775="",$E1775=""),"",COUNTIFS($D$7:$D1775,$D1775,$E$7:$E1775,$E1775))</f>
        <v/>
      </c>
      <c r="P1775" s="16"/>
      <c r="Q1775" s="19"/>
      <c r="R1775" s="10"/>
      <c r="S1775" s="16"/>
      <c r="T1775" s="0" t="str">
        <f aca="false">IF(OR($D1775="",单元查询!$B$3=""),"",IF($D1775&lt;&gt;单元查询!$B$3,"",IF(OR(单元查询!$D$3="",$E1775&amp;""=单元查询!$D$3&amp;""),IF(ISNUMBER($B1775),$B1775*10000,0)+ROW(),"")))</f>
        <v/>
      </c>
      <c r="U1775" s="0" t="str">
        <f aca="false">IF(OR($B1775="",$L1775="已完成"),"",IF(ISNUMBER($B1775),IF(设置!$B$6&lt;$B1775,"",(设置!$B$6-$B1775)*100000+ROW()),""))</f>
        <v/>
      </c>
      <c r="V1775" s="0" t="str">
        <f aca="false">IF(ISNUMBER($O1775),IF($O1775&gt;=2,IF(COUNTIFS($D1775:$D$2006,$D1775,$E1775:$E$2006,$E1775)=1,ROW(),""),""),"")</f>
        <v/>
      </c>
    </row>
    <row r="1776" customFormat="false" ht="15" hidden="false" customHeight="true" outlineLevel="0" collapsed="false">
      <c r="A1776" s="13" t="str">
        <f aca="false">IF(AND($B1776="",$D1776="",$E1776="",$F1776=""),"",IF(OR($B1776="",$D1776="",$E1776=""),"待补",IF($D1776="公共区域","公",IF($D1776="商铺","S",SUBSTITUTE($D1776,"栋","")))&amp;"-"&amp;$E1776&amp;"-"&amp;TEXT(MONTH($B1776),"00")&amp;TEXT(DAY($B1776),"00")&amp;IF(ISNUMBER($O1776),IF($O1776&gt;1,"-"&amp;TEXT($O1776,"00"),""),"")))</f>
        <v/>
      </c>
      <c r="B1776" s="14"/>
      <c r="C1776" s="10"/>
      <c r="D1776" s="10"/>
      <c r="E1776" s="10"/>
      <c r="F1776" s="16"/>
      <c r="G1776" s="10"/>
      <c r="H1776" s="10"/>
      <c r="I1776" s="10"/>
      <c r="J1776" s="10"/>
      <c r="K1776" s="10"/>
      <c r="L1776" s="10"/>
      <c r="M1776" s="14"/>
      <c r="N1776" s="17" t="str">
        <f aca="false">IF($B1776="","",IF($L1776="已完成",IF($M1776="","",$M1776-$B1776),IF(设置!$B$6&lt;$B1776,"",IF((设置!$B$6-$B1776)&gt;=设置!$B$5,"超期"&amp;(设置!$B$6-$B1776)&amp;"天","已等"&amp;(设置!$B$6-$B1776)&amp;"天"))))</f>
        <v/>
      </c>
      <c r="O1776" s="18" t="str">
        <f aca="false">IF(OR($D1776="",$E1776=""),"",COUNTIFS($D$7:$D1776,$D1776,$E$7:$E1776,$E1776))</f>
        <v/>
      </c>
      <c r="P1776" s="16"/>
      <c r="Q1776" s="19"/>
      <c r="R1776" s="10"/>
      <c r="S1776" s="16"/>
      <c r="T1776" s="0" t="str">
        <f aca="false">IF(OR($D1776="",单元查询!$B$3=""),"",IF($D1776&lt;&gt;单元查询!$B$3,"",IF(OR(单元查询!$D$3="",$E1776&amp;""=单元查询!$D$3&amp;""),IF(ISNUMBER($B1776),$B1776*10000,0)+ROW(),"")))</f>
        <v/>
      </c>
      <c r="U1776" s="0" t="str">
        <f aca="false">IF(OR($B1776="",$L1776="已完成"),"",IF(ISNUMBER($B1776),IF(设置!$B$6&lt;$B1776,"",(设置!$B$6-$B1776)*100000+ROW()),""))</f>
        <v/>
      </c>
      <c r="V1776" s="0" t="str">
        <f aca="false">IF(ISNUMBER($O1776),IF($O1776&gt;=2,IF(COUNTIFS($D1776:$D$2006,$D1776,$E1776:$E$2006,$E1776)=1,ROW(),""),""),"")</f>
        <v/>
      </c>
    </row>
    <row r="1777" customFormat="false" ht="15" hidden="false" customHeight="true" outlineLevel="0" collapsed="false">
      <c r="A1777" s="13" t="str">
        <f aca="false">IF(AND($B1777="",$D1777="",$E1777="",$F1777=""),"",IF(OR($B1777="",$D1777="",$E1777=""),"待补",IF($D1777="公共区域","公",IF($D1777="商铺","S",SUBSTITUTE($D1777,"栋","")))&amp;"-"&amp;$E1777&amp;"-"&amp;TEXT(MONTH($B1777),"00")&amp;TEXT(DAY($B1777),"00")&amp;IF(ISNUMBER($O1777),IF($O1777&gt;1,"-"&amp;TEXT($O1777,"00"),""),"")))</f>
        <v/>
      </c>
      <c r="B1777" s="14"/>
      <c r="C1777" s="10"/>
      <c r="D1777" s="10"/>
      <c r="E1777" s="10"/>
      <c r="F1777" s="16"/>
      <c r="G1777" s="10"/>
      <c r="H1777" s="10"/>
      <c r="I1777" s="10"/>
      <c r="J1777" s="10"/>
      <c r="K1777" s="10"/>
      <c r="L1777" s="10"/>
      <c r="M1777" s="14"/>
      <c r="N1777" s="17" t="str">
        <f aca="false">IF($B1777="","",IF($L1777="已完成",IF($M1777="","",$M1777-$B1777),IF(设置!$B$6&lt;$B1777,"",IF((设置!$B$6-$B1777)&gt;=设置!$B$5,"超期"&amp;(设置!$B$6-$B1777)&amp;"天","已等"&amp;(设置!$B$6-$B1777)&amp;"天"))))</f>
        <v/>
      </c>
      <c r="O1777" s="18" t="str">
        <f aca="false">IF(OR($D1777="",$E1777=""),"",COUNTIFS($D$7:$D1777,$D1777,$E$7:$E1777,$E1777))</f>
        <v/>
      </c>
      <c r="P1777" s="16"/>
      <c r="Q1777" s="19"/>
      <c r="R1777" s="10"/>
      <c r="S1777" s="16"/>
      <c r="T1777" s="0" t="str">
        <f aca="false">IF(OR($D1777="",单元查询!$B$3=""),"",IF($D1777&lt;&gt;单元查询!$B$3,"",IF(OR(单元查询!$D$3="",$E1777&amp;""=单元查询!$D$3&amp;""),IF(ISNUMBER($B1777),$B1777*10000,0)+ROW(),"")))</f>
        <v/>
      </c>
      <c r="U1777" s="0" t="str">
        <f aca="false">IF(OR($B1777="",$L1777="已完成"),"",IF(ISNUMBER($B1777),IF(设置!$B$6&lt;$B1777,"",(设置!$B$6-$B1777)*100000+ROW()),""))</f>
        <v/>
      </c>
      <c r="V1777" s="0" t="str">
        <f aca="false">IF(ISNUMBER($O1777),IF($O1777&gt;=2,IF(COUNTIFS($D1777:$D$2006,$D1777,$E1777:$E$2006,$E1777)=1,ROW(),""),""),"")</f>
        <v/>
      </c>
    </row>
    <row r="1778" customFormat="false" ht="15" hidden="false" customHeight="true" outlineLevel="0" collapsed="false">
      <c r="A1778" s="13" t="str">
        <f aca="false">IF(AND($B1778="",$D1778="",$E1778="",$F1778=""),"",IF(OR($B1778="",$D1778="",$E1778=""),"待补",IF($D1778="公共区域","公",IF($D1778="商铺","S",SUBSTITUTE($D1778,"栋","")))&amp;"-"&amp;$E1778&amp;"-"&amp;TEXT(MONTH($B1778),"00")&amp;TEXT(DAY($B1778),"00")&amp;IF(ISNUMBER($O1778),IF($O1778&gt;1,"-"&amp;TEXT($O1778,"00"),""),"")))</f>
        <v/>
      </c>
      <c r="B1778" s="14"/>
      <c r="C1778" s="10"/>
      <c r="D1778" s="10"/>
      <c r="E1778" s="10"/>
      <c r="F1778" s="16"/>
      <c r="G1778" s="10"/>
      <c r="H1778" s="10"/>
      <c r="I1778" s="10"/>
      <c r="J1778" s="10"/>
      <c r="K1778" s="10"/>
      <c r="L1778" s="10"/>
      <c r="M1778" s="14"/>
      <c r="N1778" s="17" t="str">
        <f aca="false">IF($B1778="","",IF($L1778="已完成",IF($M1778="","",$M1778-$B1778),IF(设置!$B$6&lt;$B1778,"",IF((设置!$B$6-$B1778)&gt;=设置!$B$5,"超期"&amp;(设置!$B$6-$B1778)&amp;"天","已等"&amp;(设置!$B$6-$B1778)&amp;"天"))))</f>
        <v/>
      </c>
      <c r="O1778" s="18" t="str">
        <f aca="false">IF(OR($D1778="",$E1778=""),"",COUNTIFS($D$7:$D1778,$D1778,$E$7:$E1778,$E1778))</f>
        <v/>
      </c>
      <c r="P1778" s="16"/>
      <c r="Q1778" s="19"/>
      <c r="R1778" s="10"/>
      <c r="S1778" s="16"/>
      <c r="T1778" s="0" t="str">
        <f aca="false">IF(OR($D1778="",单元查询!$B$3=""),"",IF($D1778&lt;&gt;单元查询!$B$3,"",IF(OR(单元查询!$D$3="",$E1778&amp;""=单元查询!$D$3&amp;""),IF(ISNUMBER($B1778),$B1778*10000,0)+ROW(),"")))</f>
        <v/>
      </c>
      <c r="U1778" s="0" t="str">
        <f aca="false">IF(OR($B1778="",$L1778="已完成"),"",IF(ISNUMBER($B1778),IF(设置!$B$6&lt;$B1778,"",(设置!$B$6-$B1778)*100000+ROW()),""))</f>
        <v/>
      </c>
      <c r="V1778" s="0" t="str">
        <f aca="false">IF(ISNUMBER($O1778),IF($O1778&gt;=2,IF(COUNTIFS($D1778:$D$2006,$D1778,$E1778:$E$2006,$E1778)=1,ROW(),""),""),"")</f>
        <v/>
      </c>
    </row>
    <row r="1779" customFormat="false" ht="15" hidden="false" customHeight="true" outlineLevel="0" collapsed="false">
      <c r="A1779" s="13" t="str">
        <f aca="false">IF(AND($B1779="",$D1779="",$E1779="",$F1779=""),"",IF(OR($B1779="",$D1779="",$E1779=""),"待补",IF($D1779="公共区域","公",IF($D1779="商铺","S",SUBSTITUTE($D1779,"栋","")))&amp;"-"&amp;$E1779&amp;"-"&amp;TEXT(MONTH($B1779),"00")&amp;TEXT(DAY($B1779),"00")&amp;IF(ISNUMBER($O1779),IF($O1779&gt;1,"-"&amp;TEXT($O1779,"00"),""),"")))</f>
        <v/>
      </c>
      <c r="B1779" s="14"/>
      <c r="C1779" s="10"/>
      <c r="D1779" s="10"/>
      <c r="E1779" s="10"/>
      <c r="F1779" s="16"/>
      <c r="G1779" s="10"/>
      <c r="H1779" s="10"/>
      <c r="I1779" s="10"/>
      <c r="J1779" s="10"/>
      <c r="K1779" s="10"/>
      <c r="L1779" s="10"/>
      <c r="M1779" s="14"/>
      <c r="N1779" s="17" t="str">
        <f aca="false">IF($B1779="","",IF($L1779="已完成",IF($M1779="","",$M1779-$B1779),IF(设置!$B$6&lt;$B1779,"",IF((设置!$B$6-$B1779)&gt;=设置!$B$5,"超期"&amp;(设置!$B$6-$B1779)&amp;"天","已等"&amp;(设置!$B$6-$B1779)&amp;"天"))))</f>
        <v/>
      </c>
      <c r="O1779" s="18" t="str">
        <f aca="false">IF(OR($D1779="",$E1779=""),"",COUNTIFS($D$7:$D1779,$D1779,$E$7:$E1779,$E1779))</f>
        <v/>
      </c>
      <c r="P1779" s="16"/>
      <c r="Q1779" s="19"/>
      <c r="R1779" s="10"/>
      <c r="S1779" s="16"/>
      <c r="T1779" s="0" t="str">
        <f aca="false">IF(OR($D1779="",单元查询!$B$3=""),"",IF($D1779&lt;&gt;单元查询!$B$3,"",IF(OR(单元查询!$D$3="",$E1779&amp;""=单元查询!$D$3&amp;""),IF(ISNUMBER($B1779),$B1779*10000,0)+ROW(),"")))</f>
        <v/>
      </c>
      <c r="U1779" s="0" t="str">
        <f aca="false">IF(OR($B1779="",$L1779="已完成"),"",IF(ISNUMBER($B1779),IF(设置!$B$6&lt;$B1779,"",(设置!$B$6-$B1779)*100000+ROW()),""))</f>
        <v/>
      </c>
      <c r="V1779" s="0" t="str">
        <f aca="false">IF(ISNUMBER($O1779),IF($O1779&gt;=2,IF(COUNTIFS($D1779:$D$2006,$D1779,$E1779:$E$2006,$E1779)=1,ROW(),""),""),"")</f>
        <v/>
      </c>
    </row>
    <row r="1780" customFormat="false" ht="15" hidden="false" customHeight="true" outlineLevel="0" collapsed="false">
      <c r="A1780" s="13" t="str">
        <f aca="false">IF(AND($B1780="",$D1780="",$E1780="",$F1780=""),"",IF(OR($B1780="",$D1780="",$E1780=""),"待补",IF($D1780="公共区域","公",IF($D1780="商铺","S",SUBSTITUTE($D1780,"栋","")))&amp;"-"&amp;$E1780&amp;"-"&amp;TEXT(MONTH($B1780),"00")&amp;TEXT(DAY($B1780),"00")&amp;IF(ISNUMBER($O1780),IF($O1780&gt;1,"-"&amp;TEXT($O1780,"00"),""),"")))</f>
        <v/>
      </c>
      <c r="B1780" s="14"/>
      <c r="C1780" s="10"/>
      <c r="D1780" s="10"/>
      <c r="E1780" s="10"/>
      <c r="F1780" s="16"/>
      <c r="G1780" s="10"/>
      <c r="H1780" s="10"/>
      <c r="I1780" s="10"/>
      <c r="J1780" s="10"/>
      <c r="K1780" s="10"/>
      <c r="L1780" s="10"/>
      <c r="M1780" s="14"/>
      <c r="N1780" s="17" t="str">
        <f aca="false">IF($B1780="","",IF($L1780="已完成",IF($M1780="","",$M1780-$B1780),IF(设置!$B$6&lt;$B1780,"",IF((设置!$B$6-$B1780)&gt;=设置!$B$5,"超期"&amp;(设置!$B$6-$B1780)&amp;"天","已等"&amp;(设置!$B$6-$B1780)&amp;"天"))))</f>
        <v/>
      </c>
      <c r="O1780" s="18" t="str">
        <f aca="false">IF(OR($D1780="",$E1780=""),"",COUNTIFS($D$7:$D1780,$D1780,$E$7:$E1780,$E1780))</f>
        <v/>
      </c>
      <c r="P1780" s="16"/>
      <c r="Q1780" s="19"/>
      <c r="R1780" s="10"/>
      <c r="S1780" s="16"/>
      <c r="T1780" s="0" t="str">
        <f aca="false">IF(OR($D1780="",单元查询!$B$3=""),"",IF($D1780&lt;&gt;单元查询!$B$3,"",IF(OR(单元查询!$D$3="",$E1780&amp;""=单元查询!$D$3&amp;""),IF(ISNUMBER($B1780),$B1780*10000,0)+ROW(),"")))</f>
        <v/>
      </c>
      <c r="U1780" s="0" t="str">
        <f aca="false">IF(OR($B1780="",$L1780="已完成"),"",IF(ISNUMBER($B1780),IF(设置!$B$6&lt;$B1780,"",(设置!$B$6-$B1780)*100000+ROW()),""))</f>
        <v/>
      </c>
      <c r="V1780" s="0" t="str">
        <f aca="false">IF(ISNUMBER($O1780),IF($O1780&gt;=2,IF(COUNTIFS($D1780:$D$2006,$D1780,$E1780:$E$2006,$E1780)=1,ROW(),""),""),"")</f>
        <v/>
      </c>
    </row>
    <row r="1781" customFormat="false" ht="15" hidden="false" customHeight="true" outlineLevel="0" collapsed="false">
      <c r="A1781" s="13" t="str">
        <f aca="false">IF(AND($B1781="",$D1781="",$E1781="",$F1781=""),"",IF(OR($B1781="",$D1781="",$E1781=""),"待补",IF($D1781="公共区域","公",IF($D1781="商铺","S",SUBSTITUTE($D1781,"栋","")))&amp;"-"&amp;$E1781&amp;"-"&amp;TEXT(MONTH($B1781),"00")&amp;TEXT(DAY($B1781),"00")&amp;IF(ISNUMBER($O1781),IF($O1781&gt;1,"-"&amp;TEXT($O1781,"00"),""),"")))</f>
        <v/>
      </c>
      <c r="B1781" s="14"/>
      <c r="C1781" s="10"/>
      <c r="D1781" s="10"/>
      <c r="E1781" s="10"/>
      <c r="F1781" s="16"/>
      <c r="G1781" s="10"/>
      <c r="H1781" s="10"/>
      <c r="I1781" s="10"/>
      <c r="J1781" s="10"/>
      <c r="K1781" s="10"/>
      <c r="L1781" s="10"/>
      <c r="M1781" s="14"/>
      <c r="N1781" s="17" t="str">
        <f aca="false">IF($B1781="","",IF($L1781="已完成",IF($M1781="","",$M1781-$B1781),IF(设置!$B$6&lt;$B1781,"",IF((设置!$B$6-$B1781)&gt;=设置!$B$5,"超期"&amp;(设置!$B$6-$B1781)&amp;"天","已等"&amp;(设置!$B$6-$B1781)&amp;"天"))))</f>
        <v/>
      </c>
      <c r="O1781" s="18" t="str">
        <f aca="false">IF(OR($D1781="",$E1781=""),"",COUNTIFS($D$7:$D1781,$D1781,$E$7:$E1781,$E1781))</f>
        <v/>
      </c>
      <c r="P1781" s="16"/>
      <c r="Q1781" s="19"/>
      <c r="R1781" s="10"/>
      <c r="S1781" s="16"/>
      <c r="T1781" s="0" t="str">
        <f aca="false">IF(OR($D1781="",单元查询!$B$3=""),"",IF($D1781&lt;&gt;单元查询!$B$3,"",IF(OR(单元查询!$D$3="",$E1781&amp;""=单元查询!$D$3&amp;""),IF(ISNUMBER($B1781),$B1781*10000,0)+ROW(),"")))</f>
        <v/>
      </c>
      <c r="U1781" s="0" t="str">
        <f aca="false">IF(OR($B1781="",$L1781="已完成"),"",IF(ISNUMBER($B1781),IF(设置!$B$6&lt;$B1781,"",(设置!$B$6-$B1781)*100000+ROW()),""))</f>
        <v/>
      </c>
      <c r="V1781" s="0" t="str">
        <f aca="false">IF(ISNUMBER($O1781),IF($O1781&gt;=2,IF(COUNTIFS($D1781:$D$2006,$D1781,$E1781:$E$2006,$E1781)=1,ROW(),""),""),"")</f>
        <v/>
      </c>
    </row>
    <row r="1782" customFormat="false" ht="15" hidden="false" customHeight="true" outlineLevel="0" collapsed="false">
      <c r="A1782" s="13" t="str">
        <f aca="false">IF(AND($B1782="",$D1782="",$E1782="",$F1782=""),"",IF(OR($B1782="",$D1782="",$E1782=""),"待补",IF($D1782="公共区域","公",IF($D1782="商铺","S",SUBSTITUTE($D1782,"栋","")))&amp;"-"&amp;$E1782&amp;"-"&amp;TEXT(MONTH($B1782),"00")&amp;TEXT(DAY($B1782),"00")&amp;IF(ISNUMBER($O1782),IF($O1782&gt;1,"-"&amp;TEXT($O1782,"00"),""),"")))</f>
        <v/>
      </c>
      <c r="B1782" s="14"/>
      <c r="C1782" s="10"/>
      <c r="D1782" s="10"/>
      <c r="E1782" s="10"/>
      <c r="F1782" s="16"/>
      <c r="G1782" s="10"/>
      <c r="H1782" s="10"/>
      <c r="I1782" s="10"/>
      <c r="J1782" s="10"/>
      <c r="K1782" s="10"/>
      <c r="L1782" s="10"/>
      <c r="M1782" s="14"/>
      <c r="N1782" s="17" t="str">
        <f aca="false">IF($B1782="","",IF($L1782="已完成",IF($M1782="","",$M1782-$B1782),IF(设置!$B$6&lt;$B1782,"",IF((设置!$B$6-$B1782)&gt;=设置!$B$5,"超期"&amp;(设置!$B$6-$B1782)&amp;"天","已等"&amp;(设置!$B$6-$B1782)&amp;"天"))))</f>
        <v/>
      </c>
      <c r="O1782" s="18" t="str">
        <f aca="false">IF(OR($D1782="",$E1782=""),"",COUNTIFS($D$7:$D1782,$D1782,$E$7:$E1782,$E1782))</f>
        <v/>
      </c>
      <c r="P1782" s="16"/>
      <c r="Q1782" s="19"/>
      <c r="R1782" s="10"/>
      <c r="S1782" s="16"/>
      <c r="T1782" s="0" t="str">
        <f aca="false">IF(OR($D1782="",单元查询!$B$3=""),"",IF($D1782&lt;&gt;单元查询!$B$3,"",IF(OR(单元查询!$D$3="",$E1782&amp;""=单元查询!$D$3&amp;""),IF(ISNUMBER($B1782),$B1782*10000,0)+ROW(),"")))</f>
        <v/>
      </c>
      <c r="U1782" s="0" t="str">
        <f aca="false">IF(OR($B1782="",$L1782="已完成"),"",IF(ISNUMBER($B1782),IF(设置!$B$6&lt;$B1782,"",(设置!$B$6-$B1782)*100000+ROW()),""))</f>
        <v/>
      </c>
      <c r="V1782" s="0" t="str">
        <f aca="false">IF(ISNUMBER($O1782),IF($O1782&gt;=2,IF(COUNTIFS($D1782:$D$2006,$D1782,$E1782:$E$2006,$E1782)=1,ROW(),""),""),"")</f>
        <v/>
      </c>
    </row>
    <row r="1783" customFormat="false" ht="15" hidden="false" customHeight="true" outlineLevel="0" collapsed="false">
      <c r="A1783" s="13" t="str">
        <f aca="false">IF(AND($B1783="",$D1783="",$E1783="",$F1783=""),"",IF(OR($B1783="",$D1783="",$E1783=""),"待补",IF($D1783="公共区域","公",IF($D1783="商铺","S",SUBSTITUTE($D1783,"栋","")))&amp;"-"&amp;$E1783&amp;"-"&amp;TEXT(MONTH($B1783),"00")&amp;TEXT(DAY($B1783),"00")&amp;IF(ISNUMBER($O1783),IF($O1783&gt;1,"-"&amp;TEXT($O1783,"00"),""),"")))</f>
        <v/>
      </c>
      <c r="B1783" s="14"/>
      <c r="C1783" s="10"/>
      <c r="D1783" s="10"/>
      <c r="E1783" s="10"/>
      <c r="F1783" s="16"/>
      <c r="G1783" s="10"/>
      <c r="H1783" s="10"/>
      <c r="I1783" s="10"/>
      <c r="J1783" s="10"/>
      <c r="K1783" s="10"/>
      <c r="L1783" s="10"/>
      <c r="M1783" s="14"/>
      <c r="N1783" s="17" t="str">
        <f aca="false">IF($B1783="","",IF($L1783="已完成",IF($M1783="","",$M1783-$B1783),IF(设置!$B$6&lt;$B1783,"",IF((设置!$B$6-$B1783)&gt;=设置!$B$5,"超期"&amp;(设置!$B$6-$B1783)&amp;"天","已等"&amp;(设置!$B$6-$B1783)&amp;"天"))))</f>
        <v/>
      </c>
      <c r="O1783" s="18" t="str">
        <f aca="false">IF(OR($D1783="",$E1783=""),"",COUNTIFS($D$7:$D1783,$D1783,$E$7:$E1783,$E1783))</f>
        <v/>
      </c>
      <c r="P1783" s="16"/>
      <c r="Q1783" s="19"/>
      <c r="R1783" s="10"/>
      <c r="S1783" s="16"/>
      <c r="T1783" s="0" t="str">
        <f aca="false">IF(OR($D1783="",单元查询!$B$3=""),"",IF($D1783&lt;&gt;单元查询!$B$3,"",IF(OR(单元查询!$D$3="",$E1783&amp;""=单元查询!$D$3&amp;""),IF(ISNUMBER($B1783),$B1783*10000,0)+ROW(),"")))</f>
        <v/>
      </c>
      <c r="U1783" s="0" t="str">
        <f aca="false">IF(OR($B1783="",$L1783="已完成"),"",IF(ISNUMBER($B1783),IF(设置!$B$6&lt;$B1783,"",(设置!$B$6-$B1783)*100000+ROW()),""))</f>
        <v/>
      </c>
      <c r="V1783" s="0" t="str">
        <f aca="false">IF(ISNUMBER($O1783),IF($O1783&gt;=2,IF(COUNTIFS($D1783:$D$2006,$D1783,$E1783:$E$2006,$E1783)=1,ROW(),""),""),"")</f>
        <v/>
      </c>
    </row>
    <row r="1784" customFormat="false" ht="15" hidden="false" customHeight="true" outlineLevel="0" collapsed="false">
      <c r="A1784" s="13" t="str">
        <f aca="false">IF(AND($B1784="",$D1784="",$E1784="",$F1784=""),"",IF(OR($B1784="",$D1784="",$E1784=""),"待补",IF($D1784="公共区域","公",IF($D1784="商铺","S",SUBSTITUTE($D1784,"栋","")))&amp;"-"&amp;$E1784&amp;"-"&amp;TEXT(MONTH($B1784),"00")&amp;TEXT(DAY($B1784),"00")&amp;IF(ISNUMBER($O1784),IF($O1784&gt;1,"-"&amp;TEXT($O1784,"00"),""),"")))</f>
        <v/>
      </c>
      <c r="B1784" s="14"/>
      <c r="C1784" s="10"/>
      <c r="D1784" s="10"/>
      <c r="E1784" s="10"/>
      <c r="F1784" s="16"/>
      <c r="G1784" s="10"/>
      <c r="H1784" s="10"/>
      <c r="I1784" s="10"/>
      <c r="J1784" s="10"/>
      <c r="K1784" s="10"/>
      <c r="L1784" s="10"/>
      <c r="M1784" s="14"/>
      <c r="N1784" s="17" t="str">
        <f aca="false">IF($B1784="","",IF($L1784="已完成",IF($M1784="","",$M1784-$B1784),IF(设置!$B$6&lt;$B1784,"",IF((设置!$B$6-$B1784)&gt;=设置!$B$5,"超期"&amp;(设置!$B$6-$B1784)&amp;"天","已等"&amp;(设置!$B$6-$B1784)&amp;"天"))))</f>
        <v/>
      </c>
      <c r="O1784" s="18" t="str">
        <f aca="false">IF(OR($D1784="",$E1784=""),"",COUNTIFS($D$7:$D1784,$D1784,$E$7:$E1784,$E1784))</f>
        <v/>
      </c>
      <c r="P1784" s="16"/>
      <c r="Q1784" s="19"/>
      <c r="R1784" s="10"/>
      <c r="S1784" s="16"/>
      <c r="T1784" s="0" t="str">
        <f aca="false">IF(OR($D1784="",单元查询!$B$3=""),"",IF($D1784&lt;&gt;单元查询!$B$3,"",IF(OR(单元查询!$D$3="",$E1784&amp;""=单元查询!$D$3&amp;""),IF(ISNUMBER($B1784),$B1784*10000,0)+ROW(),"")))</f>
        <v/>
      </c>
      <c r="U1784" s="0" t="str">
        <f aca="false">IF(OR($B1784="",$L1784="已完成"),"",IF(ISNUMBER($B1784),IF(设置!$B$6&lt;$B1784,"",(设置!$B$6-$B1784)*100000+ROW()),""))</f>
        <v/>
      </c>
      <c r="V1784" s="0" t="str">
        <f aca="false">IF(ISNUMBER($O1784),IF($O1784&gt;=2,IF(COUNTIFS($D1784:$D$2006,$D1784,$E1784:$E$2006,$E1784)=1,ROW(),""),""),"")</f>
        <v/>
      </c>
    </row>
    <row r="1785" customFormat="false" ht="15" hidden="false" customHeight="true" outlineLevel="0" collapsed="false">
      <c r="A1785" s="13" t="str">
        <f aca="false">IF(AND($B1785="",$D1785="",$E1785="",$F1785=""),"",IF(OR($B1785="",$D1785="",$E1785=""),"待补",IF($D1785="公共区域","公",IF($D1785="商铺","S",SUBSTITUTE($D1785,"栋","")))&amp;"-"&amp;$E1785&amp;"-"&amp;TEXT(MONTH($B1785),"00")&amp;TEXT(DAY($B1785),"00")&amp;IF(ISNUMBER($O1785),IF($O1785&gt;1,"-"&amp;TEXT($O1785,"00"),""),"")))</f>
        <v/>
      </c>
      <c r="B1785" s="14"/>
      <c r="C1785" s="10"/>
      <c r="D1785" s="10"/>
      <c r="E1785" s="10"/>
      <c r="F1785" s="16"/>
      <c r="G1785" s="10"/>
      <c r="H1785" s="10"/>
      <c r="I1785" s="10"/>
      <c r="J1785" s="10"/>
      <c r="K1785" s="10"/>
      <c r="L1785" s="10"/>
      <c r="M1785" s="14"/>
      <c r="N1785" s="17" t="str">
        <f aca="false">IF($B1785="","",IF($L1785="已完成",IF($M1785="","",$M1785-$B1785),IF(设置!$B$6&lt;$B1785,"",IF((设置!$B$6-$B1785)&gt;=设置!$B$5,"超期"&amp;(设置!$B$6-$B1785)&amp;"天","已等"&amp;(设置!$B$6-$B1785)&amp;"天"))))</f>
        <v/>
      </c>
      <c r="O1785" s="18" t="str">
        <f aca="false">IF(OR($D1785="",$E1785=""),"",COUNTIFS($D$7:$D1785,$D1785,$E$7:$E1785,$E1785))</f>
        <v/>
      </c>
      <c r="P1785" s="16"/>
      <c r="Q1785" s="19"/>
      <c r="R1785" s="10"/>
      <c r="S1785" s="16"/>
      <c r="T1785" s="0" t="str">
        <f aca="false">IF(OR($D1785="",单元查询!$B$3=""),"",IF($D1785&lt;&gt;单元查询!$B$3,"",IF(OR(单元查询!$D$3="",$E1785&amp;""=单元查询!$D$3&amp;""),IF(ISNUMBER($B1785),$B1785*10000,0)+ROW(),"")))</f>
        <v/>
      </c>
      <c r="U1785" s="0" t="str">
        <f aca="false">IF(OR($B1785="",$L1785="已完成"),"",IF(ISNUMBER($B1785),IF(设置!$B$6&lt;$B1785,"",(设置!$B$6-$B1785)*100000+ROW()),""))</f>
        <v/>
      </c>
      <c r="V1785" s="0" t="str">
        <f aca="false">IF(ISNUMBER($O1785),IF($O1785&gt;=2,IF(COUNTIFS($D1785:$D$2006,$D1785,$E1785:$E$2006,$E1785)=1,ROW(),""),""),"")</f>
        <v/>
      </c>
    </row>
    <row r="1786" customFormat="false" ht="15" hidden="false" customHeight="true" outlineLevel="0" collapsed="false">
      <c r="A1786" s="13" t="str">
        <f aca="false">IF(AND($B1786="",$D1786="",$E1786="",$F1786=""),"",IF(OR($B1786="",$D1786="",$E1786=""),"待补",IF($D1786="公共区域","公",IF($D1786="商铺","S",SUBSTITUTE($D1786,"栋","")))&amp;"-"&amp;$E1786&amp;"-"&amp;TEXT(MONTH($B1786),"00")&amp;TEXT(DAY($B1786),"00")&amp;IF(ISNUMBER($O1786),IF($O1786&gt;1,"-"&amp;TEXT($O1786,"00"),""),"")))</f>
        <v/>
      </c>
      <c r="B1786" s="14"/>
      <c r="C1786" s="10"/>
      <c r="D1786" s="10"/>
      <c r="E1786" s="10"/>
      <c r="F1786" s="16"/>
      <c r="G1786" s="10"/>
      <c r="H1786" s="10"/>
      <c r="I1786" s="10"/>
      <c r="J1786" s="10"/>
      <c r="K1786" s="10"/>
      <c r="L1786" s="10"/>
      <c r="M1786" s="14"/>
      <c r="N1786" s="17" t="str">
        <f aca="false">IF($B1786="","",IF($L1786="已完成",IF($M1786="","",$M1786-$B1786),IF(设置!$B$6&lt;$B1786,"",IF((设置!$B$6-$B1786)&gt;=设置!$B$5,"超期"&amp;(设置!$B$6-$B1786)&amp;"天","已等"&amp;(设置!$B$6-$B1786)&amp;"天"))))</f>
        <v/>
      </c>
      <c r="O1786" s="18" t="str">
        <f aca="false">IF(OR($D1786="",$E1786=""),"",COUNTIFS($D$7:$D1786,$D1786,$E$7:$E1786,$E1786))</f>
        <v/>
      </c>
      <c r="P1786" s="16"/>
      <c r="Q1786" s="19"/>
      <c r="R1786" s="10"/>
      <c r="S1786" s="16"/>
      <c r="T1786" s="0" t="str">
        <f aca="false">IF(OR($D1786="",单元查询!$B$3=""),"",IF($D1786&lt;&gt;单元查询!$B$3,"",IF(OR(单元查询!$D$3="",$E1786&amp;""=单元查询!$D$3&amp;""),IF(ISNUMBER($B1786),$B1786*10000,0)+ROW(),"")))</f>
        <v/>
      </c>
      <c r="U1786" s="0" t="str">
        <f aca="false">IF(OR($B1786="",$L1786="已完成"),"",IF(ISNUMBER($B1786),IF(设置!$B$6&lt;$B1786,"",(设置!$B$6-$B1786)*100000+ROW()),""))</f>
        <v/>
      </c>
      <c r="V1786" s="0" t="str">
        <f aca="false">IF(ISNUMBER($O1786),IF($O1786&gt;=2,IF(COUNTIFS($D1786:$D$2006,$D1786,$E1786:$E$2006,$E1786)=1,ROW(),""),""),"")</f>
        <v/>
      </c>
    </row>
    <row r="1787" customFormat="false" ht="15" hidden="false" customHeight="true" outlineLevel="0" collapsed="false">
      <c r="A1787" s="13" t="str">
        <f aca="false">IF(AND($B1787="",$D1787="",$E1787="",$F1787=""),"",IF(OR($B1787="",$D1787="",$E1787=""),"待补",IF($D1787="公共区域","公",IF($D1787="商铺","S",SUBSTITUTE($D1787,"栋","")))&amp;"-"&amp;$E1787&amp;"-"&amp;TEXT(MONTH($B1787),"00")&amp;TEXT(DAY($B1787),"00")&amp;IF(ISNUMBER($O1787),IF($O1787&gt;1,"-"&amp;TEXT($O1787,"00"),""),"")))</f>
        <v/>
      </c>
      <c r="B1787" s="14"/>
      <c r="C1787" s="10"/>
      <c r="D1787" s="10"/>
      <c r="E1787" s="10"/>
      <c r="F1787" s="16"/>
      <c r="G1787" s="10"/>
      <c r="H1787" s="10"/>
      <c r="I1787" s="10"/>
      <c r="J1787" s="10"/>
      <c r="K1787" s="10"/>
      <c r="L1787" s="10"/>
      <c r="M1787" s="14"/>
      <c r="N1787" s="17" t="str">
        <f aca="false">IF($B1787="","",IF($L1787="已完成",IF($M1787="","",$M1787-$B1787),IF(设置!$B$6&lt;$B1787,"",IF((设置!$B$6-$B1787)&gt;=设置!$B$5,"超期"&amp;(设置!$B$6-$B1787)&amp;"天","已等"&amp;(设置!$B$6-$B1787)&amp;"天"))))</f>
        <v/>
      </c>
      <c r="O1787" s="18" t="str">
        <f aca="false">IF(OR($D1787="",$E1787=""),"",COUNTIFS($D$7:$D1787,$D1787,$E$7:$E1787,$E1787))</f>
        <v/>
      </c>
      <c r="P1787" s="16"/>
      <c r="Q1787" s="19"/>
      <c r="R1787" s="10"/>
      <c r="S1787" s="16"/>
      <c r="T1787" s="0" t="str">
        <f aca="false">IF(OR($D1787="",单元查询!$B$3=""),"",IF($D1787&lt;&gt;单元查询!$B$3,"",IF(OR(单元查询!$D$3="",$E1787&amp;""=单元查询!$D$3&amp;""),IF(ISNUMBER($B1787),$B1787*10000,0)+ROW(),"")))</f>
        <v/>
      </c>
      <c r="U1787" s="0" t="str">
        <f aca="false">IF(OR($B1787="",$L1787="已完成"),"",IF(ISNUMBER($B1787),IF(设置!$B$6&lt;$B1787,"",(设置!$B$6-$B1787)*100000+ROW()),""))</f>
        <v/>
      </c>
      <c r="V1787" s="0" t="str">
        <f aca="false">IF(ISNUMBER($O1787),IF($O1787&gt;=2,IF(COUNTIFS($D1787:$D$2006,$D1787,$E1787:$E$2006,$E1787)=1,ROW(),""),""),"")</f>
        <v/>
      </c>
    </row>
    <row r="1788" customFormat="false" ht="15" hidden="false" customHeight="true" outlineLevel="0" collapsed="false">
      <c r="A1788" s="13" t="str">
        <f aca="false">IF(AND($B1788="",$D1788="",$E1788="",$F1788=""),"",IF(OR($B1788="",$D1788="",$E1788=""),"待补",IF($D1788="公共区域","公",IF($D1788="商铺","S",SUBSTITUTE($D1788,"栋","")))&amp;"-"&amp;$E1788&amp;"-"&amp;TEXT(MONTH($B1788),"00")&amp;TEXT(DAY($B1788),"00")&amp;IF(ISNUMBER($O1788),IF($O1788&gt;1,"-"&amp;TEXT($O1788,"00"),""),"")))</f>
        <v/>
      </c>
      <c r="B1788" s="14"/>
      <c r="C1788" s="10"/>
      <c r="D1788" s="10"/>
      <c r="E1788" s="10"/>
      <c r="F1788" s="16"/>
      <c r="G1788" s="10"/>
      <c r="H1788" s="10"/>
      <c r="I1788" s="10"/>
      <c r="J1788" s="10"/>
      <c r="K1788" s="10"/>
      <c r="L1788" s="10"/>
      <c r="M1788" s="14"/>
      <c r="N1788" s="17" t="str">
        <f aca="false">IF($B1788="","",IF($L1788="已完成",IF($M1788="","",$M1788-$B1788),IF(设置!$B$6&lt;$B1788,"",IF((设置!$B$6-$B1788)&gt;=设置!$B$5,"超期"&amp;(设置!$B$6-$B1788)&amp;"天","已等"&amp;(设置!$B$6-$B1788)&amp;"天"))))</f>
        <v/>
      </c>
      <c r="O1788" s="18" t="str">
        <f aca="false">IF(OR($D1788="",$E1788=""),"",COUNTIFS($D$7:$D1788,$D1788,$E$7:$E1788,$E1788))</f>
        <v/>
      </c>
      <c r="P1788" s="16"/>
      <c r="Q1788" s="19"/>
      <c r="R1788" s="10"/>
      <c r="S1788" s="16"/>
      <c r="T1788" s="0" t="str">
        <f aca="false">IF(OR($D1788="",单元查询!$B$3=""),"",IF($D1788&lt;&gt;单元查询!$B$3,"",IF(OR(单元查询!$D$3="",$E1788&amp;""=单元查询!$D$3&amp;""),IF(ISNUMBER($B1788),$B1788*10000,0)+ROW(),"")))</f>
        <v/>
      </c>
      <c r="U1788" s="0" t="str">
        <f aca="false">IF(OR($B1788="",$L1788="已完成"),"",IF(ISNUMBER($B1788),IF(设置!$B$6&lt;$B1788,"",(设置!$B$6-$B1788)*100000+ROW()),""))</f>
        <v/>
      </c>
      <c r="V1788" s="0" t="str">
        <f aca="false">IF(ISNUMBER($O1788),IF($O1788&gt;=2,IF(COUNTIFS($D1788:$D$2006,$D1788,$E1788:$E$2006,$E1788)=1,ROW(),""),""),"")</f>
        <v/>
      </c>
    </row>
    <row r="1789" customFormat="false" ht="15" hidden="false" customHeight="true" outlineLevel="0" collapsed="false">
      <c r="A1789" s="13" t="str">
        <f aca="false">IF(AND($B1789="",$D1789="",$E1789="",$F1789=""),"",IF(OR($B1789="",$D1789="",$E1789=""),"待补",IF($D1789="公共区域","公",IF($D1789="商铺","S",SUBSTITUTE($D1789,"栋","")))&amp;"-"&amp;$E1789&amp;"-"&amp;TEXT(MONTH($B1789),"00")&amp;TEXT(DAY($B1789),"00")&amp;IF(ISNUMBER($O1789),IF($O1789&gt;1,"-"&amp;TEXT($O1789,"00"),""),"")))</f>
        <v/>
      </c>
      <c r="B1789" s="14"/>
      <c r="C1789" s="10"/>
      <c r="D1789" s="10"/>
      <c r="E1789" s="10"/>
      <c r="F1789" s="16"/>
      <c r="G1789" s="10"/>
      <c r="H1789" s="10"/>
      <c r="I1789" s="10"/>
      <c r="J1789" s="10"/>
      <c r="K1789" s="10"/>
      <c r="L1789" s="10"/>
      <c r="M1789" s="14"/>
      <c r="N1789" s="17" t="str">
        <f aca="false">IF($B1789="","",IF($L1789="已完成",IF($M1789="","",$M1789-$B1789),IF(设置!$B$6&lt;$B1789,"",IF((设置!$B$6-$B1789)&gt;=设置!$B$5,"超期"&amp;(设置!$B$6-$B1789)&amp;"天","已等"&amp;(设置!$B$6-$B1789)&amp;"天"))))</f>
        <v/>
      </c>
      <c r="O1789" s="18" t="str">
        <f aca="false">IF(OR($D1789="",$E1789=""),"",COUNTIFS($D$7:$D1789,$D1789,$E$7:$E1789,$E1789))</f>
        <v/>
      </c>
      <c r="P1789" s="16"/>
      <c r="Q1789" s="19"/>
      <c r="R1789" s="10"/>
      <c r="S1789" s="16"/>
      <c r="T1789" s="0" t="str">
        <f aca="false">IF(OR($D1789="",单元查询!$B$3=""),"",IF($D1789&lt;&gt;单元查询!$B$3,"",IF(OR(单元查询!$D$3="",$E1789&amp;""=单元查询!$D$3&amp;""),IF(ISNUMBER($B1789),$B1789*10000,0)+ROW(),"")))</f>
        <v/>
      </c>
      <c r="U1789" s="0" t="str">
        <f aca="false">IF(OR($B1789="",$L1789="已完成"),"",IF(ISNUMBER($B1789),IF(设置!$B$6&lt;$B1789,"",(设置!$B$6-$B1789)*100000+ROW()),""))</f>
        <v/>
      </c>
      <c r="V1789" s="0" t="str">
        <f aca="false">IF(ISNUMBER($O1789),IF($O1789&gt;=2,IF(COUNTIFS($D1789:$D$2006,$D1789,$E1789:$E$2006,$E1789)=1,ROW(),""),""),"")</f>
        <v/>
      </c>
    </row>
    <row r="1790" customFormat="false" ht="15" hidden="false" customHeight="true" outlineLevel="0" collapsed="false">
      <c r="A1790" s="13" t="str">
        <f aca="false">IF(AND($B1790="",$D1790="",$E1790="",$F1790=""),"",IF(OR($B1790="",$D1790="",$E1790=""),"待补",IF($D1790="公共区域","公",IF($D1790="商铺","S",SUBSTITUTE($D1790,"栋","")))&amp;"-"&amp;$E1790&amp;"-"&amp;TEXT(MONTH($B1790),"00")&amp;TEXT(DAY($B1790),"00")&amp;IF(ISNUMBER($O1790),IF($O1790&gt;1,"-"&amp;TEXT($O1790,"00"),""),"")))</f>
        <v/>
      </c>
      <c r="B1790" s="14"/>
      <c r="C1790" s="10"/>
      <c r="D1790" s="10"/>
      <c r="E1790" s="10"/>
      <c r="F1790" s="16"/>
      <c r="G1790" s="10"/>
      <c r="H1790" s="10"/>
      <c r="I1790" s="10"/>
      <c r="J1790" s="10"/>
      <c r="K1790" s="10"/>
      <c r="L1790" s="10"/>
      <c r="M1790" s="14"/>
      <c r="N1790" s="17" t="str">
        <f aca="false">IF($B1790="","",IF($L1790="已完成",IF($M1790="","",$M1790-$B1790),IF(设置!$B$6&lt;$B1790,"",IF((设置!$B$6-$B1790)&gt;=设置!$B$5,"超期"&amp;(设置!$B$6-$B1790)&amp;"天","已等"&amp;(设置!$B$6-$B1790)&amp;"天"))))</f>
        <v/>
      </c>
      <c r="O1790" s="18" t="str">
        <f aca="false">IF(OR($D1790="",$E1790=""),"",COUNTIFS($D$7:$D1790,$D1790,$E$7:$E1790,$E1790))</f>
        <v/>
      </c>
      <c r="P1790" s="16"/>
      <c r="Q1790" s="19"/>
      <c r="R1790" s="10"/>
      <c r="S1790" s="16"/>
      <c r="T1790" s="0" t="str">
        <f aca="false">IF(OR($D1790="",单元查询!$B$3=""),"",IF($D1790&lt;&gt;单元查询!$B$3,"",IF(OR(单元查询!$D$3="",$E1790&amp;""=单元查询!$D$3&amp;""),IF(ISNUMBER($B1790),$B1790*10000,0)+ROW(),"")))</f>
        <v/>
      </c>
      <c r="U1790" s="0" t="str">
        <f aca="false">IF(OR($B1790="",$L1790="已完成"),"",IF(ISNUMBER($B1790),IF(设置!$B$6&lt;$B1790,"",(设置!$B$6-$B1790)*100000+ROW()),""))</f>
        <v/>
      </c>
      <c r="V1790" s="0" t="str">
        <f aca="false">IF(ISNUMBER($O1790),IF($O1790&gt;=2,IF(COUNTIFS($D1790:$D$2006,$D1790,$E1790:$E$2006,$E1790)=1,ROW(),""),""),"")</f>
        <v/>
      </c>
    </row>
    <row r="1791" customFormat="false" ht="15" hidden="false" customHeight="true" outlineLevel="0" collapsed="false">
      <c r="A1791" s="13" t="str">
        <f aca="false">IF(AND($B1791="",$D1791="",$E1791="",$F1791=""),"",IF(OR($B1791="",$D1791="",$E1791=""),"待补",IF($D1791="公共区域","公",IF($D1791="商铺","S",SUBSTITUTE($D1791,"栋","")))&amp;"-"&amp;$E1791&amp;"-"&amp;TEXT(MONTH($B1791),"00")&amp;TEXT(DAY($B1791),"00")&amp;IF(ISNUMBER($O1791),IF($O1791&gt;1,"-"&amp;TEXT($O1791,"00"),""),"")))</f>
        <v/>
      </c>
      <c r="B1791" s="14"/>
      <c r="C1791" s="10"/>
      <c r="D1791" s="10"/>
      <c r="E1791" s="10"/>
      <c r="F1791" s="16"/>
      <c r="G1791" s="10"/>
      <c r="H1791" s="10"/>
      <c r="I1791" s="10"/>
      <c r="J1791" s="10"/>
      <c r="K1791" s="10"/>
      <c r="L1791" s="10"/>
      <c r="M1791" s="14"/>
      <c r="N1791" s="17" t="str">
        <f aca="false">IF($B1791="","",IF($L1791="已完成",IF($M1791="","",$M1791-$B1791),IF(设置!$B$6&lt;$B1791,"",IF((设置!$B$6-$B1791)&gt;=设置!$B$5,"超期"&amp;(设置!$B$6-$B1791)&amp;"天","已等"&amp;(设置!$B$6-$B1791)&amp;"天"))))</f>
        <v/>
      </c>
      <c r="O1791" s="18" t="str">
        <f aca="false">IF(OR($D1791="",$E1791=""),"",COUNTIFS($D$7:$D1791,$D1791,$E$7:$E1791,$E1791))</f>
        <v/>
      </c>
      <c r="P1791" s="16"/>
      <c r="Q1791" s="19"/>
      <c r="R1791" s="10"/>
      <c r="S1791" s="16"/>
      <c r="T1791" s="0" t="str">
        <f aca="false">IF(OR($D1791="",单元查询!$B$3=""),"",IF($D1791&lt;&gt;单元查询!$B$3,"",IF(OR(单元查询!$D$3="",$E1791&amp;""=单元查询!$D$3&amp;""),IF(ISNUMBER($B1791),$B1791*10000,0)+ROW(),"")))</f>
        <v/>
      </c>
      <c r="U1791" s="0" t="str">
        <f aca="false">IF(OR($B1791="",$L1791="已完成"),"",IF(ISNUMBER($B1791),IF(设置!$B$6&lt;$B1791,"",(设置!$B$6-$B1791)*100000+ROW()),""))</f>
        <v/>
      </c>
      <c r="V1791" s="0" t="str">
        <f aca="false">IF(ISNUMBER($O1791),IF($O1791&gt;=2,IF(COUNTIFS($D1791:$D$2006,$D1791,$E1791:$E$2006,$E1791)=1,ROW(),""),""),"")</f>
        <v/>
      </c>
    </row>
    <row r="1792" customFormat="false" ht="15" hidden="false" customHeight="true" outlineLevel="0" collapsed="false">
      <c r="A1792" s="13" t="str">
        <f aca="false">IF(AND($B1792="",$D1792="",$E1792="",$F1792=""),"",IF(OR($B1792="",$D1792="",$E1792=""),"待补",IF($D1792="公共区域","公",IF($D1792="商铺","S",SUBSTITUTE($D1792,"栋","")))&amp;"-"&amp;$E1792&amp;"-"&amp;TEXT(MONTH($B1792),"00")&amp;TEXT(DAY($B1792),"00")&amp;IF(ISNUMBER($O1792),IF($O1792&gt;1,"-"&amp;TEXT($O1792,"00"),""),"")))</f>
        <v/>
      </c>
      <c r="B1792" s="14"/>
      <c r="C1792" s="10"/>
      <c r="D1792" s="10"/>
      <c r="E1792" s="10"/>
      <c r="F1792" s="16"/>
      <c r="G1792" s="10"/>
      <c r="H1792" s="10"/>
      <c r="I1792" s="10"/>
      <c r="J1792" s="10"/>
      <c r="K1792" s="10"/>
      <c r="L1792" s="10"/>
      <c r="M1792" s="14"/>
      <c r="N1792" s="17" t="str">
        <f aca="false">IF($B1792="","",IF($L1792="已完成",IF($M1792="","",$M1792-$B1792),IF(设置!$B$6&lt;$B1792,"",IF((设置!$B$6-$B1792)&gt;=设置!$B$5,"超期"&amp;(设置!$B$6-$B1792)&amp;"天","已等"&amp;(设置!$B$6-$B1792)&amp;"天"))))</f>
        <v/>
      </c>
      <c r="O1792" s="18" t="str">
        <f aca="false">IF(OR($D1792="",$E1792=""),"",COUNTIFS($D$7:$D1792,$D1792,$E$7:$E1792,$E1792))</f>
        <v/>
      </c>
      <c r="P1792" s="16"/>
      <c r="Q1792" s="19"/>
      <c r="R1792" s="10"/>
      <c r="S1792" s="16"/>
      <c r="T1792" s="0" t="str">
        <f aca="false">IF(OR($D1792="",单元查询!$B$3=""),"",IF($D1792&lt;&gt;单元查询!$B$3,"",IF(OR(单元查询!$D$3="",$E1792&amp;""=单元查询!$D$3&amp;""),IF(ISNUMBER($B1792),$B1792*10000,0)+ROW(),"")))</f>
        <v/>
      </c>
      <c r="U1792" s="0" t="str">
        <f aca="false">IF(OR($B1792="",$L1792="已完成"),"",IF(ISNUMBER($B1792),IF(设置!$B$6&lt;$B1792,"",(设置!$B$6-$B1792)*100000+ROW()),""))</f>
        <v/>
      </c>
      <c r="V1792" s="0" t="str">
        <f aca="false">IF(ISNUMBER($O1792),IF($O1792&gt;=2,IF(COUNTIFS($D1792:$D$2006,$D1792,$E1792:$E$2006,$E1792)=1,ROW(),""),""),"")</f>
        <v/>
      </c>
    </row>
    <row r="1793" customFormat="false" ht="15" hidden="false" customHeight="true" outlineLevel="0" collapsed="false">
      <c r="A1793" s="13" t="str">
        <f aca="false">IF(AND($B1793="",$D1793="",$E1793="",$F1793=""),"",IF(OR($B1793="",$D1793="",$E1793=""),"待补",IF($D1793="公共区域","公",IF($D1793="商铺","S",SUBSTITUTE($D1793,"栋","")))&amp;"-"&amp;$E1793&amp;"-"&amp;TEXT(MONTH($B1793),"00")&amp;TEXT(DAY($B1793),"00")&amp;IF(ISNUMBER($O1793),IF($O1793&gt;1,"-"&amp;TEXT($O1793,"00"),""),"")))</f>
        <v/>
      </c>
      <c r="B1793" s="14"/>
      <c r="C1793" s="10"/>
      <c r="D1793" s="10"/>
      <c r="E1793" s="10"/>
      <c r="F1793" s="16"/>
      <c r="G1793" s="10"/>
      <c r="H1793" s="10"/>
      <c r="I1793" s="10"/>
      <c r="J1793" s="10"/>
      <c r="K1793" s="10"/>
      <c r="L1793" s="10"/>
      <c r="M1793" s="14"/>
      <c r="N1793" s="17" t="str">
        <f aca="false">IF($B1793="","",IF($L1793="已完成",IF($M1793="","",$M1793-$B1793),IF(设置!$B$6&lt;$B1793,"",IF((设置!$B$6-$B1793)&gt;=设置!$B$5,"超期"&amp;(设置!$B$6-$B1793)&amp;"天","已等"&amp;(设置!$B$6-$B1793)&amp;"天"))))</f>
        <v/>
      </c>
      <c r="O1793" s="18" t="str">
        <f aca="false">IF(OR($D1793="",$E1793=""),"",COUNTIFS($D$7:$D1793,$D1793,$E$7:$E1793,$E1793))</f>
        <v/>
      </c>
      <c r="P1793" s="16"/>
      <c r="Q1793" s="19"/>
      <c r="R1793" s="10"/>
      <c r="S1793" s="16"/>
      <c r="T1793" s="0" t="str">
        <f aca="false">IF(OR($D1793="",单元查询!$B$3=""),"",IF($D1793&lt;&gt;单元查询!$B$3,"",IF(OR(单元查询!$D$3="",$E1793&amp;""=单元查询!$D$3&amp;""),IF(ISNUMBER($B1793),$B1793*10000,0)+ROW(),"")))</f>
        <v/>
      </c>
      <c r="U1793" s="0" t="str">
        <f aca="false">IF(OR($B1793="",$L1793="已完成"),"",IF(ISNUMBER($B1793),IF(设置!$B$6&lt;$B1793,"",(设置!$B$6-$B1793)*100000+ROW()),""))</f>
        <v/>
      </c>
      <c r="V1793" s="0" t="str">
        <f aca="false">IF(ISNUMBER($O1793),IF($O1793&gt;=2,IF(COUNTIFS($D1793:$D$2006,$D1793,$E1793:$E$2006,$E1793)=1,ROW(),""),""),"")</f>
        <v/>
      </c>
    </row>
    <row r="1794" customFormat="false" ht="15" hidden="false" customHeight="true" outlineLevel="0" collapsed="false">
      <c r="A1794" s="13" t="str">
        <f aca="false">IF(AND($B1794="",$D1794="",$E1794="",$F1794=""),"",IF(OR($B1794="",$D1794="",$E1794=""),"待补",IF($D1794="公共区域","公",IF($D1794="商铺","S",SUBSTITUTE($D1794,"栋","")))&amp;"-"&amp;$E1794&amp;"-"&amp;TEXT(MONTH($B1794),"00")&amp;TEXT(DAY($B1794),"00")&amp;IF(ISNUMBER($O1794),IF($O1794&gt;1,"-"&amp;TEXT($O1794,"00"),""),"")))</f>
        <v/>
      </c>
      <c r="B1794" s="14"/>
      <c r="C1794" s="10"/>
      <c r="D1794" s="10"/>
      <c r="E1794" s="10"/>
      <c r="F1794" s="16"/>
      <c r="G1794" s="10"/>
      <c r="H1794" s="10"/>
      <c r="I1794" s="10"/>
      <c r="J1794" s="10"/>
      <c r="K1794" s="10"/>
      <c r="L1794" s="10"/>
      <c r="M1794" s="14"/>
      <c r="N1794" s="17" t="str">
        <f aca="false">IF($B1794="","",IF($L1794="已完成",IF($M1794="","",$M1794-$B1794),IF(设置!$B$6&lt;$B1794,"",IF((设置!$B$6-$B1794)&gt;=设置!$B$5,"超期"&amp;(设置!$B$6-$B1794)&amp;"天","已等"&amp;(设置!$B$6-$B1794)&amp;"天"))))</f>
        <v/>
      </c>
      <c r="O1794" s="18" t="str">
        <f aca="false">IF(OR($D1794="",$E1794=""),"",COUNTIFS($D$7:$D1794,$D1794,$E$7:$E1794,$E1794))</f>
        <v/>
      </c>
      <c r="P1794" s="16"/>
      <c r="Q1794" s="19"/>
      <c r="R1794" s="10"/>
      <c r="S1794" s="16"/>
      <c r="T1794" s="0" t="str">
        <f aca="false">IF(OR($D1794="",单元查询!$B$3=""),"",IF($D1794&lt;&gt;单元查询!$B$3,"",IF(OR(单元查询!$D$3="",$E1794&amp;""=单元查询!$D$3&amp;""),IF(ISNUMBER($B1794),$B1794*10000,0)+ROW(),"")))</f>
        <v/>
      </c>
      <c r="U1794" s="0" t="str">
        <f aca="false">IF(OR($B1794="",$L1794="已完成"),"",IF(ISNUMBER($B1794),IF(设置!$B$6&lt;$B1794,"",(设置!$B$6-$B1794)*100000+ROW()),""))</f>
        <v/>
      </c>
      <c r="V1794" s="0" t="str">
        <f aca="false">IF(ISNUMBER($O1794),IF($O1794&gt;=2,IF(COUNTIFS($D1794:$D$2006,$D1794,$E1794:$E$2006,$E1794)=1,ROW(),""),""),"")</f>
        <v/>
      </c>
    </row>
    <row r="1795" customFormat="false" ht="15" hidden="false" customHeight="true" outlineLevel="0" collapsed="false">
      <c r="A1795" s="13" t="str">
        <f aca="false">IF(AND($B1795="",$D1795="",$E1795="",$F1795=""),"",IF(OR($B1795="",$D1795="",$E1795=""),"待补",IF($D1795="公共区域","公",IF($D1795="商铺","S",SUBSTITUTE($D1795,"栋","")))&amp;"-"&amp;$E1795&amp;"-"&amp;TEXT(MONTH($B1795),"00")&amp;TEXT(DAY($B1795),"00")&amp;IF(ISNUMBER($O1795),IF($O1795&gt;1,"-"&amp;TEXT($O1795,"00"),""),"")))</f>
        <v/>
      </c>
      <c r="B1795" s="14"/>
      <c r="C1795" s="10"/>
      <c r="D1795" s="10"/>
      <c r="E1795" s="10"/>
      <c r="F1795" s="16"/>
      <c r="G1795" s="10"/>
      <c r="H1795" s="10"/>
      <c r="I1795" s="10"/>
      <c r="J1795" s="10"/>
      <c r="K1795" s="10"/>
      <c r="L1795" s="10"/>
      <c r="M1795" s="14"/>
      <c r="N1795" s="17" t="str">
        <f aca="false">IF($B1795="","",IF($L1795="已完成",IF($M1795="","",$M1795-$B1795),IF(设置!$B$6&lt;$B1795,"",IF((设置!$B$6-$B1795)&gt;=设置!$B$5,"超期"&amp;(设置!$B$6-$B1795)&amp;"天","已等"&amp;(设置!$B$6-$B1795)&amp;"天"))))</f>
        <v/>
      </c>
      <c r="O1795" s="18" t="str">
        <f aca="false">IF(OR($D1795="",$E1795=""),"",COUNTIFS($D$7:$D1795,$D1795,$E$7:$E1795,$E1795))</f>
        <v/>
      </c>
      <c r="P1795" s="16"/>
      <c r="Q1795" s="19"/>
      <c r="R1795" s="10"/>
      <c r="S1795" s="16"/>
      <c r="T1795" s="0" t="str">
        <f aca="false">IF(OR($D1795="",单元查询!$B$3=""),"",IF($D1795&lt;&gt;单元查询!$B$3,"",IF(OR(单元查询!$D$3="",$E1795&amp;""=单元查询!$D$3&amp;""),IF(ISNUMBER($B1795),$B1795*10000,0)+ROW(),"")))</f>
        <v/>
      </c>
      <c r="U1795" s="0" t="str">
        <f aca="false">IF(OR($B1795="",$L1795="已完成"),"",IF(ISNUMBER($B1795),IF(设置!$B$6&lt;$B1795,"",(设置!$B$6-$B1795)*100000+ROW()),""))</f>
        <v/>
      </c>
      <c r="V1795" s="0" t="str">
        <f aca="false">IF(ISNUMBER($O1795),IF($O1795&gt;=2,IF(COUNTIFS($D1795:$D$2006,$D1795,$E1795:$E$2006,$E1795)=1,ROW(),""),""),"")</f>
        <v/>
      </c>
    </row>
    <row r="1796" customFormat="false" ht="15" hidden="false" customHeight="true" outlineLevel="0" collapsed="false">
      <c r="A1796" s="13" t="str">
        <f aca="false">IF(AND($B1796="",$D1796="",$E1796="",$F1796=""),"",IF(OR($B1796="",$D1796="",$E1796=""),"待补",IF($D1796="公共区域","公",IF($D1796="商铺","S",SUBSTITUTE($D1796,"栋","")))&amp;"-"&amp;$E1796&amp;"-"&amp;TEXT(MONTH($B1796),"00")&amp;TEXT(DAY($B1796),"00")&amp;IF(ISNUMBER($O1796),IF($O1796&gt;1,"-"&amp;TEXT($O1796,"00"),""),"")))</f>
        <v/>
      </c>
      <c r="B1796" s="14"/>
      <c r="C1796" s="10"/>
      <c r="D1796" s="10"/>
      <c r="E1796" s="10"/>
      <c r="F1796" s="16"/>
      <c r="G1796" s="10"/>
      <c r="H1796" s="10"/>
      <c r="I1796" s="10"/>
      <c r="J1796" s="10"/>
      <c r="K1796" s="10"/>
      <c r="L1796" s="10"/>
      <c r="M1796" s="14"/>
      <c r="N1796" s="17" t="str">
        <f aca="false">IF($B1796="","",IF($L1796="已完成",IF($M1796="","",$M1796-$B1796),IF(设置!$B$6&lt;$B1796,"",IF((设置!$B$6-$B1796)&gt;=设置!$B$5,"超期"&amp;(设置!$B$6-$B1796)&amp;"天","已等"&amp;(设置!$B$6-$B1796)&amp;"天"))))</f>
        <v/>
      </c>
      <c r="O1796" s="18" t="str">
        <f aca="false">IF(OR($D1796="",$E1796=""),"",COUNTIFS($D$7:$D1796,$D1796,$E$7:$E1796,$E1796))</f>
        <v/>
      </c>
      <c r="P1796" s="16"/>
      <c r="Q1796" s="19"/>
      <c r="R1796" s="10"/>
      <c r="S1796" s="16"/>
      <c r="T1796" s="0" t="str">
        <f aca="false">IF(OR($D1796="",单元查询!$B$3=""),"",IF($D1796&lt;&gt;单元查询!$B$3,"",IF(OR(单元查询!$D$3="",$E1796&amp;""=单元查询!$D$3&amp;""),IF(ISNUMBER($B1796),$B1796*10000,0)+ROW(),"")))</f>
        <v/>
      </c>
      <c r="U1796" s="0" t="str">
        <f aca="false">IF(OR($B1796="",$L1796="已完成"),"",IF(ISNUMBER($B1796),IF(设置!$B$6&lt;$B1796,"",(设置!$B$6-$B1796)*100000+ROW()),""))</f>
        <v/>
      </c>
      <c r="V1796" s="0" t="str">
        <f aca="false">IF(ISNUMBER($O1796),IF($O1796&gt;=2,IF(COUNTIFS($D1796:$D$2006,$D1796,$E1796:$E$2006,$E1796)=1,ROW(),""),""),"")</f>
        <v/>
      </c>
    </row>
    <row r="1797" customFormat="false" ht="15" hidden="false" customHeight="true" outlineLevel="0" collapsed="false">
      <c r="A1797" s="13" t="str">
        <f aca="false">IF(AND($B1797="",$D1797="",$E1797="",$F1797=""),"",IF(OR($B1797="",$D1797="",$E1797=""),"待补",IF($D1797="公共区域","公",IF($D1797="商铺","S",SUBSTITUTE($D1797,"栋","")))&amp;"-"&amp;$E1797&amp;"-"&amp;TEXT(MONTH($B1797),"00")&amp;TEXT(DAY($B1797),"00")&amp;IF(ISNUMBER($O1797),IF($O1797&gt;1,"-"&amp;TEXT($O1797,"00"),""),"")))</f>
        <v/>
      </c>
      <c r="B1797" s="14"/>
      <c r="C1797" s="10"/>
      <c r="D1797" s="10"/>
      <c r="E1797" s="10"/>
      <c r="F1797" s="16"/>
      <c r="G1797" s="10"/>
      <c r="H1797" s="10"/>
      <c r="I1797" s="10"/>
      <c r="J1797" s="10"/>
      <c r="K1797" s="10"/>
      <c r="L1797" s="10"/>
      <c r="M1797" s="14"/>
      <c r="N1797" s="17" t="str">
        <f aca="false">IF($B1797="","",IF($L1797="已完成",IF($M1797="","",$M1797-$B1797),IF(设置!$B$6&lt;$B1797,"",IF((设置!$B$6-$B1797)&gt;=设置!$B$5,"超期"&amp;(设置!$B$6-$B1797)&amp;"天","已等"&amp;(设置!$B$6-$B1797)&amp;"天"))))</f>
        <v/>
      </c>
      <c r="O1797" s="18" t="str">
        <f aca="false">IF(OR($D1797="",$E1797=""),"",COUNTIFS($D$7:$D1797,$D1797,$E$7:$E1797,$E1797))</f>
        <v/>
      </c>
      <c r="P1797" s="16"/>
      <c r="Q1797" s="19"/>
      <c r="R1797" s="10"/>
      <c r="S1797" s="16"/>
      <c r="T1797" s="0" t="str">
        <f aca="false">IF(OR($D1797="",单元查询!$B$3=""),"",IF($D1797&lt;&gt;单元查询!$B$3,"",IF(OR(单元查询!$D$3="",$E1797&amp;""=单元查询!$D$3&amp;""),IF(ISNUMBER($B1797),$B1797*10000,0)+ROW(),"")))</f>
        <v/>
      </c>
      <c r="U1797" s="0" t="str">
        <f aca="false">IF(OR($B1797="",$L1797="已完成"),"",IF(ISNUMBER($B1797),IF(设置!$B$6&lt;$B1797,"",(设置!$B$6-$B1797)*100000+ROW()),""))</f>
        <v/>
      </c>
      <c r="V1797" s="0" t="str">
        <f aca="false">IF(ISNUMBER($O1797),IF($O1797&gt;=2,IF(COUNTIFS($D1797:$D$2006,$D1797,$E1797:$E$2006,$E1797)=1,ROW(),""),""),"")</f>
        <v/>
      </c>
    </row>
    <row r="1798" customFormat="false" ht="15" hidden="false" customHeight="true" outlineLevel="0" collapsed="false">
      <c r="A1798" s="13" t="str">
        <f aca="false">IF(AND($B1798="",$D1798="",$E1798="",$F1798=""),"",IF(OR($B1798="",$D1798="",$E1798=""),"待补",IF($D1798="公共区域","公",IF($D1798="商铺","S",SUBSTITUTE($D1798,"栋","")))&amp;"-"&amp;$E1798&amp;"-"&amp;TEXT(MONTH($B1798),"00")&amp;TEXT(DAY($B1798),"00")&amp;IF(ISNUMBER($O1798),IF($O1798&gt;1,"-"&amp;TEXT($O1798,"00"),""),"")))</f>
        <v/>
      </c>
      <c r="B1798" s="14"/>
      <c r="C1798" s="10"/>
      <c r="D1798" s="10"/>
      <c r="E1798" s="10"/>
      <c r="F1798" s="16"/>
      <c r="G1798" s="10"/>
      <c r="H1798" s="10"/>
      <c r="I1798" s="10"/>
      <c r="J1798" s="10"/>
      <c r="K1798" s="10"/>
      <c r="L1798" s="10"/>
      <c r="M1798" s="14"/>
      <c r="N1798" s="17" t="str">
        <f aca="false">IF($B1798="","",IF($L1798="已完成",IF($M1798="","",$M1798-$B1798),IF(设置!$B$6&lt;$B1798,"",IF((设置!$B$6-$B1798)&gt;=设置!$B$5,"超期"&amp;(设置!$B$6-$B1798)&amp;"天","已等"&amp;(设置!$B$6-$B1798)&amp;"天"))))</f>
        <v/>
      </c>
      <c r="O1798" s="18" t="str">
        <f aca="false">IF(OR($D1798="",$E1798=""),"",COUNTIFS($D$7:$D1798,$D1798,$E$7:$E1798,$E1798))</f>
        <v/>
      </c>
      <c r="P1798" s="16"/>
      <c r="Q1798" s="19"/>
      <c r="R1798" s="10"/>
      <c r="S1798" s="16"/>
      <c r="T1798" s="0" t="str">
        <f aca="false">IF(OR($D1798="",单元查询!$B$3=""),"",IF($D1798&lt;&gt;单元查询!$B$3,"",IF(OR(单元查询!$D$3="",$E1798&amp;""=单元查询!$D$3&amp;""),IF(ISNUMBER($B1798),$B1798*10000,0)+ROW(),"")))</f>
        <v/>
      </c>
      <c r="U1798" s="0" t="str">
        <f aca="false">IF(OR($B1798="",$L1798="已完成"),"",IF(ISNUMBER($B1798),IF(设置!$B$6&lt;$B1798,"",(设置!$B$6-$B1798)*100000+ROW()),""))</f>
        <v/>
      </c>
      <c r="V1798" s="0" t="str">
        <f aca="false">IF(ISNUMBER($O1798),IF($O1798&gt;=2,IF(COUNTIFS($D1798:$D$2006,$D1798,$E1798:$E$2006,$E1798)=1,ROW(),""),""),"")</f>
        <v/>
      </c>
    </row>
    <row r="1799" customFormat="false" ht="15" hidden="false" customHeight="true" outlineLevel="0" collapsed="false">
      <c r="A1799" s="13" t="str">
        <f aca="false">IF(AND($B1799="",$D1799="",$E1799="",$F1799=""),"",IF(OR($B1799="",$D1799="",$E1799=""),"待补",IF($D1799="公共区域","公",IF($D1799="商铺","S",SUBSTITUTE($D1799,"栋","")))&amp;"-"&amp;$E1799&amp;"-"&amp;TEXT(MONTH($B1799),"00")&amp;TEXT(DAY($B1799),"00")&amp;IF(ISNUMBER($O1799),IF($O1799&gt;1,"-"&amp;TEXT($O1799,"00"),""),"")))</f>
        <v/>
      </c>
      <c r="B1799" s="14"/>
      <c r="C1799" s="10"/>
      <c r="D1799" s="10"/>
      <c r="E1799" s="10"/>
      <c r="F1799" s="16"/>
      <c r="G1799" s="10"/>
      <c r="H1799" s="10"/>
      <c r="I1799" s="10"/>
      <c r="J1799" s="10"/>
      <c r="K1799" s="10"/>
      <c r="L1799" s="10"/>
      <c r="M1799" s="14"/>
      <c r="N1799" s="17" t="str">
        <f aca="false">IF($B1799="","",IF($L1799="已完成",IF($M1799="","",$M1799-$B1799),IF(设置!$B$6&lt;$B1799,"",IF((设置!$B$6-$B1799)&gt;=设置!$B$5,"超期"&amp;(设置!$B$6-$B1799)&amp;"天","已等"&amp;(设置!$B$6-$B1799)&amp;"天"))))</f>
        <v/>
      </c>
      <c r="O1799" s="18" t="str">
        <f aca="false">IF(OR($D1799="",$E1799=""),"",COUNTIFS($D$7:$D1799,$D1799,$E$7:$E1799,$E1799))</f>
        <v/>
      </c>
      <c r="P1799" s="16"/>
      <c r="Q1799" s="19"/>
      <c r="R1799" s="10"/>
      <c r="S1799" s="16"/>
      <c r="T1799" s="0" t="str">
        <f aca="false">IF(OR($D1799="",单元查询!$B$3=""),"",IF($D1799&lt;&gt;单元查询!$B$3,"",IF(OR(单元查询!$D$3="",$E1799&amp;""=单元查询!$D$3&amp;""),IF(ISNUMBER($B1799),$B1799*10000,0)+ROW(),"")))</f>
        <v/>
      </c>
      <c r="U1799" s="0" t="str">
        <f aca="false">IF(OR($B1799="",$L1799="已完成"),"",IF(ISNUMBER($B1799),IF(设置!$B$6&lt;$B1799,"",(设置!$B$6-$B1799)*100000+ROW()),""))</f>
        <v/>
      </c>
      <c r="V1799" s="0" t="str">
        <f aca="false">IF(ISNUMBER($O1799),IF($O1799&gt;=2,IF(COUNTIFS($D1799:$D$2006,$D1799,$E1799:$E$2006,$E1799)=1,ROW(),""),""),"")</f>
        <v/>
      </c>
    </row>
    <row r="1800" customFormat="false" ht="15" hidden="false" customHeight="true" outlineLevel="0" collapsed="false">
      <c r="A1800" s="13" t="str">
        <f aca="false">IF(AND($B1800="",$D1800="",$E1800="",$F1800=""),"",IF(OR($B1800="",$D1800="",$E1800=""),"待补",IF($D1800="公共区域","公",IF($D1800="商铺","S",SUBSTITUTE($D1800,"栋","")))&amp;"-"&amp;$E1800&amp;"-"&amp;TEXT(MONTH($B1800),"00")&amp;TEXT(DAY($B1800),"00")&amp;IF(ISNUMBER($O1800),IF($O1800&gt;1,"-"&amp;TEXT($O1800,"00"),""),"")))</f>
        <v/>
      </c>
      <c r="B1800" s="14"/>
      <c r="C1800" s="10"/>
      <c r="D1800" s="10"/>
      <c r="E1800" s="10"/>
      <c r="F1800" s="16"/>
      <c r="G1800" s="10"/>
      <c r="H1800" s="10"/>
      <c r="I1800" s="10"/>
      <c r="J1800" s="10"/>
      <c r="K1800" s="10"/>
      <c r="L1800" s="10"/>
      <c r="M1800" s="14"/>
      <c r="N1800" s="17" t="str">
        <f aca="false">IF($B1800="","",IF($L1800="已完成",IF($M1800="","",$M1800-$B1800),IF(设置!$B$6&lt;$B1800,"",IF((设置!$B$6-$B1800)&gt;=设置!$B$5,"超期"&amp;(设置!$B$6-$B1800)&amp;"天","已等"&amp;(设置!$B$6-$B1800)&amp;"天"))))</f>
        <v/>
      </c>
      <c r="O1800" s="18" t="str">
        <f aca="false">IF(OR($D1800="",$E1800=""),"",COUNTIFS($D$7:$D1800,$D1800,$E$7:$E1800,$E1800))</f>
        <v/>
      </c>
      <c r="P1800" s="16"/>
      <c r="Q1800" s="19"/>
      <c r="R1800" s="10"/>
      <c r="S1800" s="16"/>
      <c r="T1800" s="0" t="str">
        <f aca="false">IF(OR($D1800="",单元查询!$B$3=""),"",IF($D1800&lt;&gt;单元查询!$B$3,"",IF(OR(单元查询!$D$3="",$E1800&amp;""=单元查询!$D$3&amp;""),IF(ISNUMBER($B1800),$B1800*10000,0)+ROW(),"")))</f>
        <v/>
      </c>
      <c r="U1800" s="0" t="str">
        <f aca="false">IF(OR($B1800="",$L1800="已完成"),"",IF(ISNUMBER($B1800),IF(设置!$B$6&lt;$B1800,"",(设置!$B$6-$B1800)*100000+ROW()),""))</f>
        <v/>
      </c>
      <c r="V1800" s="0" t="str">
        <f aca="false">IF(ISNUMBER($O1800),IF($O1800&gt;=2,IF(COUNTIFS($D1800:$D$2006,$D1800,$E1800:$E$2006,$E1800)=1,ROW(),""),""),"")</f>
        <v/>
      </c>
    </row>
    <row r="1801" customFormat="false" ht="15" hidden="false" customHeight="true" outlineLevel="0" collapsed="false">
      <c r="A1801" s="13" t="str">
        <f aca="false">IF(AND($B1801="",$D1801="",$E1801="",$F1801=""),"",IF(OR($B1801="",$D1801="",$E1801=""),"待补",IF($D1801="公共区域","公",IF($D1801="商铺","S",SUBSTITUTE($D1801,"栋","")))&amp;"-"&amp;$E1801&amp;"-"&amp;TEXT(MONTH($B1801),"00")&amp;TEXT(DAY($B1801),"00")&amp;IF(ISNUMBER($O1801),IF($O1801&gt;1,"-"&amp;TEXT($O1801,"00"),""),"")))</f>
        <v/>
      </c>
      <c r="B1801" s="14"/>
      <c r="C1801" s="10"/>
      <c r="D1801" s="10"/>
      <c r="E1801" s="10"/>
      <c r="F1801" s="16"/>
      <c r="G1801" s="10"/>
      <c r="H1801" s="10"/>
      <c r="I1801" s="10"/>
      <c r="J1801" s="10"/>
      <c r="K1801" s="10"/>
      <c r="L1801" s="10"/>
      <c r="M1801" s="14"/>
      <c r="N1801" s="17" t="str">
        <f aca="false">IF($B1801="","",IF($L1801="已完成",IF($M1801="","",$M1801-$B1801),IF(设置!$B$6&lt;$B1801,"",IF((设置!$B$6-$B1801)&gt;=设置!$B$5,"超期"&amp;(设置!$B$6-$B1801)&amp;"天","已等"&amp;(设置!$B$6-$B1801)&amp;"天"))))</f>
        <v/>
      </c>
      <c r="O1801" s="18" t="str">
        <f aca="false">IF(OR($D1801="",$E1801=""),"",COUNTIFS($D$7:$D1801,$D1801,$E$7:$E1801,$E1801))</f>
        <v/>
      </c>
      <c r="P1801" s="16"/>
      <c r="Q1801" s="19"/>
      <c r="R1801" s="10"/>
      <c r="S1801" s="16"/>
      <c r="T1801" s="0" t="str">
        <f aca="false">IF(OR($D1801="",单元查询!$B$3=""),"",IF($D1801&lt;&gt;单元查询!$B$3,"",IF(OR(单元查询!$D$3="",$E1801&amp;""=单元查询!$D$3&amp;""),IF(ISNUMBER($B1801),$B1801*10000,0)+ROW(),"")))</f>
        <v/>
      </c>
      <c r="U1801" s="0" t="str">
        <f aca="false">IF(OR($B1801="",$L1801="已完成"),"",IF(ISNUMBER($B1801),IF(设置!$B$6&lt;$B1801,"",(设置!$B$6-$B1801)*100000+ROW()),""))</f>
        <v/>
      </c>
      <c r="V1801" s="0" t="str">
        <f aca="false">IF(ISNUMBER($O1801),IF($O1801&gt;=2,IF(COUNTIFS($D1801:$D$2006,$D1801,$E1801:$E$2006,$E1801)=1,ROW(),""),""),"")</f>
        <v/>
      </c>
    </row>
    <row r="1802" customFormat="false" ht="15" hidden="false" customHeight="true" outlineLevel="0" collapsed="false">
      <c r="A1802" s="13" t="str">
        <f aca="false">IF(AND($B1802="",$D1802="",$E1802="",$F1802=""),"",IF(OR($B1802="",$D1802="",$E1802=""),"待补",IF($D1802="公共区域","公",IF($D1802="商铺","S",SUBSTITUTE($D1802,"栋","")))&amp;"-"&amp;$E1802&amp;"-"&amp;TEXT(MONTH($B1802),"00")&amp;TEXT(DAY($B1802),"00")&amp;IF(ISNUMBER($O1802),IF($O1802&gt;1,"-"&amp;TEXT($O1802,"00"),""),"")))</f>
        <v/>
      </c>
      <c r="B1802" s="14"/>
      <c r="C1802" s="10"/>
      <c r="D1802" s="10"/>
      <c r="E1802" s="10"/>
      <c r="F1802" s="16"/>
      <c r="G1802" s="10"/>
      <c r="H1802" s="10"/>
      <c r="I1802" s="10"/>
      <c r="J1802" s="10"/>
      <c r="K1802" s="10"/>
      <c r="L1802" s="10"/>
      <c r="M1802" s="14"/>
      <c r="N1802" s="17" t="str">
        <f aca="false">IF($B1802="","",IF($L1802="已完成",IF($M1802="","",$M1802-$B1802),IF(设置!$B$6&lt;$B1802,"",IF((设置!$B$6-$B1802)&gt;=设置!$B$5,"超期"&amp;(设置!$B$6-$B1802)&amp;"天","已等"&amp;(设置!$B$6-$B1802)&amp;"天"))))</f>
        <v/>
      </c>
      <c r="O1802" s="18" t="str">
        <f aca="false">IF(OR($D1802="",$E1802=""),"",COUNTIFS($D$7:$D1802,$D1802,$E$7:$E1802,$E1802))</f>
        <v/>
      </c>
      <c r="P1802" s="16"/>
      <c r="Q1802" s="19"/>
      <c r="R1802" s="10"/>
      <c r="S1802" s="16"/>
      <c r="T1802" s="0" t="str">
        <f aca="false">IF(OR($D1802="",单元查询!$B$3=""),"",IF($D1802&lt;&gt;单元查询!$B$3,"",IF(OR(单元查询!$D$3="",$E1802&amp;""=单元查询!$D$3&amp;""),IF(ISNUMBER($B1802),$B1802*10000,0)+ROW(),"")))</f>
        <v/>
      </c>
      <c r="U1802" s="0" t="str">
        <f aca="false">IF(OR($B1802="",$L1802="已完成"),"",IF(ISNUMBER($B1802),IF(设置!$B$6&lt;$B1802,"",(设置!$B$6-$B1802)*100000+ROW()),""))</f>
        <v/>
      </c>
      <c r="V1802" s="0" t="str">
        <f aca="false">IF(ISNUMBER($O1802),IF($O1802&gt;=2,IF(COUNTIFS($D1802:$D$2006,$D1802,$E1802:$E$2006,$E1802)=1,ROW(),""),""),"")</f>
        <v/>
      </c>
    </row>
    <row r="1803" customFormat="false" ht="15" hidden="false" customHeight="true" outlineLevel="0" collapsed="false">
      <c r="A1803" s="13" t="str">
        <f aca="false">IF(AND($B1803="",$D1803="",$E1803="",$F1803=""),"",IF(OR($B1803="",$D1803="",$E1803=""),"待补",IF($D1803="公共区域","公",IF($D1803="商铺","S",SUBSTITUTE($D1803,"栋","")))&amp;"-"&amp;$E1803&amp;"-"&amp;TEXT(MONTH($B1803),"00")&amp;TEXT(DAY($B1803),"00")&amp;IF(ISNUMBER($O1803),IF($O1803&gt;1,"-"&amp;TEXT($O1803,"00"),""),"")))</f>
        <v/>
      </c>
      <c r="B1803" s="14"/>
      <c r="C1803" s="10"/>
      <c r="D1803" s="10"/>
      <c r="E1803" s="10"/>
      <c r="F1803" s="16"/>
      <c r="G1803" s="10"/>
      <c r="H1803" s="10"/>
      <c r="I1803" s="10"/>
      <c r="J1803" s="10"/>
      <c r="K1803" s="10"/>
      <c r="L1803" s="10"/>
      <c r="M1803" s="14"/>
      <c r="N1803" s="17" t="str">
        <f aca="false">IF($B1803="","",IF($L1803="已完成",IF($M1803="","",$M1803-$B1803),IF(设置!$B$6&lt;$B1803,"",IF((设置!$B$6-$B1803)&gt;=设置!$B$5,"超期"&amp;(设置!$B$6-$B1803)&amp;"天","已等"&amp;(设置!$B$6-$B1803)&amp;"天"))))</f>
        <v/>
      </c>
      <c r="O1803" s="18" t="str">
        <f aca="false">IF(OR($D1803="",$E1803=""),"",COUNTIFS($D$7:$D1803,$D1803,$E$7:$E1803,$E1803))</f>
        <v/>
      </c>
      <c r="P1803" s="16"/>
      <c r="Q1803" s="19"/>
      <c r="R1803" s="10"/>
      <c r="S1803" s="16"/>
      <c r="T1803" s="0" t="str">
        <f aca="false">IF(OR($D1803="",单元查询!$B$3=""),"",IF($D1803&lt;&gt;单元查询!$B$3,"",IF(OR(单元查询!$D$3="",$E1803&amp;""=单元查询!$D$3&amp;""),IF(ISNUMBER($B1803),$B1803*10000,0)+ROW(),"")))</f>
        <v/>
      </c>
      <c r="U1803" s="0" t="str">
        <f aca="false">IF(OR($B1803="",$L1803="已完成"),"",IF(ISNUMBER($B1803),IF(设置!$B$6&lt;$B1803,"",(设置!$B$6-$B1803)*100000+ROW()),""))</f>
        <v/>
      </c>
      <c r="V1803" s="0" t="str">
        <f aca="false">IF(ISNUMBER($O1803),IF($O1803&gt;=2,IF(COUNTIFS($D1803:$D$2006,$D1803,$E1803:$E$2006,$E1803)=1,ROW(),""),""),"")</f>
        <v/>
      </c>
    </row>
    <row r="1804" customFormat="false" ht="15" hidden="false" customHeight="true" outlineLevel="0" collapsed="false">
      <c r="A1804" s="13" t="str">
        <f aca="false">IF(AND($B1804="",$D1804="",$E1804="",$F1804=""),"",IF(OR($B1804="",$D1804="",$E1804=""),"待补",IF($D1804="公共区域","公",IF($D1804="商铺","S",SUBSTITUTE($D1804,"栋","")))&amp;"-"&amp;$E1804&amp;"-"&amp;TEXT(MONTH($B1804),"00")&amp;TEXT(DAY($B1804),"00")&amp;IF(ISNUMBER($O1804),IF($O1804&gt;1,"-"&amp;TEXT($O1804,"00"),""),"")))</f>
        <v/>
      </c>
      <c r="B1804" s="14"/>
      <c r="C1804" s="10"/>
      <c r="D1804" s="10"/>
      <c r="E1804" s="10"/>
      <c r="F1804" s="16"/>
      <c r="G1804" s="10"/>
      <c r="H1804" s="10"/>
      <c r="I1804" s="10"/>
      <c r="J1804" s="10"/>
      <c r="K1804" s="10"/>
      <c r="L1804" s="10"/>
      <c r="M1804" s="14"/>
      <c r="N1804" s="17" t="str">
        <f aca="false">IF($B1804="","",IF($L1804="已完成",IF($M1804="","",$M1804-$B1804),IF(设置!$B$6&lt;$B1804,"",IF((设置!$B$6-$B1804)&gt;=设置!$B$5,"超期"&amp;(设置!$B$6-$B1804)&amp;"天","已等"&amp;(设置!$B$6-$B1804)&amp;"天"))))</f>
        <v/>
      </c>
      <c r="O1804" s="18" t="str">
        <f aca="false">IF(OR($D1804="",$E1804=""),"",COUNTIFS($D$7:$D1804,$D1804,$E$7:$E1804,$E1804))</f>
        <v/>
      </c>
      <c r="P1804" s="16"/>
      <c r="Q1804" s="19"/>
      <c r="R1804" s="10"/>
      <c r="S1804" s="16"/>
      <c r="T1804" s="0" t="str">
        <f aca="false">IF(OR($D1804="",单元查询!$B$3=""),"",IF($D1804&lt;&gt;单元查询!$B$3,"",IF(OR(单元查询!$D$3="",$E1804&amp;""=单元查询!$D$3&amp;""),IF(ISNUMBER($B1804),$B1804*10000,0)+ROW(),"")))</f>
        <v/>
      </c>
      <c r="U1804" s="0" t="str">
        <f aca="false">IF(OR($B1804="",$L1804="已完成"),"",IF(ISNUMBER($B1804),IF(设置!$B$6&lt;$B1804,"",(设置!$B$6-$B1804)*100000+ROW()),""))</f>
        <v/>
      </c>
      <c r="V1804" s="0" t="str">
        <f aca="false">IF(ISNUMBER($O1804),IF($O1804&gt;=2,IF(COUNTIFS($D1804:$D$2006,$D1804,$E1804:$E$2006,$E1804)=1,ROW(),""),""),"")</f>
        <v/>
      </c>
    </row>
    <row r="1805" customFormat="false" ht="15" hidden="false" customHeight="true" outlineLevel="0" collapsed="false">
      <c r="A1805" s="13" t="str">
        <f aca="false">IF(AND($B1805="",$D1805="",$E1805="",$F1805=""),"",IF(OR($B1805="",$D1805="",$E1805=""),"待补",IF($D1805="公共区域","公",IF($D1805="商铺","S",SUBSTITUTE($D1805,"栋","")))&amp;"-"&amp;$E1805&amp;"-"&amp;TEXT(MONTH($B1805),"00")&amp;TEXT(DAY($B1805),"00")&amp;IF(ISNUMBER($O1805),IF($O1805&gt;1,"-"&amp;TEXT($O1805,"00"),""),"")))</f>
        <v/>
      </c>
      <c r="B1805" s="14"/>
      <c r="C1805" s="10"/>
      <c r="D1805" s="10"/>
      <c r="E1805" s="10"/>
      <c r="F1805" s="16"/>
      <c r="G1805" s="10"/>
      <c r="H1805" s="10"/>
      <c r="I1805" s="10"/>
      <c r="J1805" s="10"/>
      <c r="K1805" s="10"/>
      <c r="L1805" s="10"/>
      <c r="M1805" s="14"/>
      <c r="N1805" s="17" t="str">
        <f aca="false">IF($B1805="","",IF($L1805="已完成",IF($M1805="","",$M1805-$B1805),IF(设置!$B$6&lt;$B1805,"",IF((设置!$B$6-$B1805)&gt;=设置!$B$5,"超期"&amp;(设置!$B$6-$B1805)&amp;"天","已等"&amp;(设置!$B$6-$B1805)&amp;"天"))))</f>
        <v/>
      </c>
      <c r="O1805" s="18" t="str">
        <f aca="false">IF(OR($D1805="",$E1805=""),"",COUNTIFS($D$7:$D1805,$D1805,$E$7:$E1805,$E1805))</f>
        <v/>
      </c>
      <c r="P1805" s="16"/>
      <c r="Q1805" s="19"/>
      <c r="R1805" s="10"/>
      <c r="S1805" s="16"/>
      <c r="T1805" s="0" t="str">
        <f aca="false">IF(OR($D1805="",单元查询!$B$3=""),"",IF($D1805&lt;&gt;单元查询!$B$3,"",IF(OR(单元查询!$D$3="",$E1805&amp;""=单元查询!$D$3&amp;""),IF(ISNUMBER($B1805),$B1805*10000,0)+ROW(),"")))</f>
        <v/>
      </c>
      <c r="U1805" s="0" t="str">
        <f aca="false">IF(OR($B1805="",$L1805="已完成"),"",IF(ISNUMBER($B1805),IF(设置!$B$6&lt;$B1805,"",(设置!$B$6-$B1805)*100000+ROW()),""))</f>
        <v/>
      </c>
      <c r="V1805" s="0" t="str">
        <f aca="false">IF(ISNUMBER($O1805),IF($O1805&gt;=2,IF(COUNTIFS($D1805:$D$2006,$D1805,$E1805:$E$2006,$E1805)=1,ROW(),""),""),"")</f>
        <v/>
      </c>
    </row>
    <row r="1806" customFormat="false" ht="15" hidden="false" customHeight="true" outlineLevel="0" collapsed="false">
      <c r="A1806" s="13" t="str">
        <f aca="false">IF(AND($B1806="",$D1806="",$E1806="",$F1806=""),"",IF(OR($B1806="",$D1806="",$E1806=""),"待补",IF($D1806="公共区域","公",IF($D1806="商铺","S",SUBSTITUTE($D1806,"栋","")))&amp;"-"&amp;$E1806&amp;"-"&amp;TEXT(MONTH($B1806),"00")&amp;TEXT(DAY($B1806),"00")&amp;IF(ISNUMBER($O1806),IF($O1806&gt;1,"-"&amp;TEXT($O1806,"00"),""),"")))</f>
        <v/>
      </c>
      <c r="B1806" s="14"/>
      <c r="C1806" s="10"/>
      <c r="D1806" s="10"/>
      <c r="E1806" s="10"/>
      <c r="F1806" s="16"/>
      <c r="G1806" s="10"/>
      <c r="H1806" s="10"/>
      <c r="I1806" s="10"/>
      <c r="J1806" s="10"/>
      <c r="K1806" s="10"/>
      <c r="L1806" s="10"/>
      <c r="M1806" s="14"/>
      <c r="N1806" s="17" t="str">
        <f aca="false">IF($B1806="","",IF($L1806="已完成",IF($M1806="","",$M1806-$B1806),IF(设置!$B$6&lt;$B1806,"",IF((设置!$B$6-$B1806)&gt;=设置!$B$5,"超期"&amp;(设置!$B$6-$B1806)&amp;"天","已等"&amp;(设置!$B$6-$B1806)&amp;"天"))))</f>
        <v/>
      </c>
      <c r="O1806" s="18" t="str">
        <f aca="false">IF(OR($D1806="",$E1806=""),"",COUNTIFS($D$7:$D1806,$D1806,$E$7:$E1806,$E1806))</f>
        <v/>
      </c>
      <c r="P1806" s="16"/>
      <c r="Q1806" s="19"/>
      <c r="R1806" s="10"/>
      <c r="S1806" s="16"/>
      <c r="T1806" s="0" t="str">
        <f aca="false">IF(OR($D1806="",单元查询!$B$3=""),"",IF($D1806&lt;&gt;单元查询!$B$3,"",IF(OR(单元查询!$D$3="",$E1806&amp;""=单元查询!$D$3&amp;""),IF(ISNUMBER($B1806),$B1806*10000,0)+ROW(),"")))</f>
        <v/>
      </c>
      <c r="U1806" s="0" t="str">
        <f aca="false">IF(OR($B1806="",$L1806="已完成"),"",IF(ISNUMBER($B1806),IF(设置!$B$6&lt;$B1806,"",(设置!$B$6-$B1806)*100000+ROW()),""))</f>
        <v/>
      </c>
      <c r="V1806" s="0" t="str">
        <f aca="false">IF(ISNUMBER($O1806),IF($O1806&gt;=2,IF(COUNTIFS($D1806:$D$2006,$D1806,$E1806:$E$2006,$E1806)=1,ROW(),""),""),"")</f>
        <v/>
      </c>
    </row>
    <row r="1807" customFormat="false" ht="15" hidden="false" customHeight="true" outlineLevel="0" collapsed="false">
      <c r="A1807" s="13" t="str">
        <f aca="false">IF(AND($B1807="",$D1807="",$E1807="",$F1807=""),"",IF(OR($B1807="",$D1807="",$E1807=""),"待补",IF($D1807="公共区域","公",IF($D1807="商铺","S",SUBSTITUTE($D1807,"栋","")))&amp;"-"&amp;$E1807&amp;"-"&amp;TEXT(MONTH($B1807),"00")&amp;TEXT(DAY($B1807),"00")&amp;IF(ISNUMBER($O1807),IF($O1807&gt;1,"-"&amp;TEXT($O1807,"00"),""),"")))</f>
        <v/>
      </c>
      <c r="B1807" s="14"/>
      <c r="C1807" s="10"/>
      <c r="D1807" s="10"/>
      <c r="E1807" s="10"/>
      <c r="F1807" s="16"/>
      <c r="G1807" s="10"/>
      <c r="H1807" s="10"/>
      <c r="I1807" s="10"/>
      <c r="J1807" s="10"/>
      <c r="K1807" s="10"/>
      <c r="L1807" s="10"/>
      <c r="M1807" s="14"/>
      <c r="N1807" s="17" t="str">
        <f aca="false">IF($B1807="","",IF($L1807="已完成",IF($M1807="","",$M1807-$B1807),IF(设置!$B$6&lt;$B1807,"",IF((设置!$B$6-$B1807)&gt;=设置!$B$5,"超期"&amp;(设置!$B$6-$B1807)&amp;"天","已等"&amp;(设置!$B$6-$B1807)&amp;"天"))))</f>
        <v/>
      </c>
      <c r="O1807" s="18" t="str">
        <f aca="false">IF(OR($D1807="",$E1807=""),"",COUNTIFS($D$7:$D1807,$D1807,$E$7:$E1807,$E1807))</f>
        <v/>
      </c>
      <c r="P1807" s="16"/>
      <c r="Q1807" s="19"/>
      <c r="R1807" s="10"/>
      <c r="S1807" s="16"/>
      <c r="T1807" s="0" t="str">
        <f aca="false">IF(OR($D1807="",单元查询!$B$3=""),"",IF($D1807&lt;&gt;单元查询!$B$3,"",IF(OR(单元查询!$D$3="",$E1807&amp;""=单元查询!$D$3&amp;""),IF(ISNUMBER($B1807),$B1807*10000,0)+ROW(),"")))</f>
        <v/>
      </c>
      <c r="U1807" s="0" t="str">
        <f aca="false">IF(OR($B1807="",$L1807="已完成"),"",IF(ISNUMBER($B1807),IF(设置!$B$6&lt;$B1807,"",(设置!$B$6-$B1807)*100000+ROW()),""))</f>
        <v/>
      </c>
      <c r="V1807" s="0" t="str">
        <f aca="false">IF(ISNUMBER($O1807),IF($O1807&gt;=2,IF(COUNTIFS($D1807:$D$2006,$D1807,$E1807:$E$2006,$E1807)=1,ROW(),""),""),"")</f>
        <v/>
      </c>
    </row>
    <row r="1808" customFormat="false" ht="15" hidden="false" customHeight="true" outlineLevel="0" collapsed="false">
      <c r="A1808" s="13" t="str">
        <f aca="false">IF(AND($B1808="",$D1808="",$E1808="",$F1808=""),"",IF(OR($B1808="",$D1808="",$E1808=""),"待补",IF($D1808="公共区域","公",IF($D1808="商铺","S",SUBSTITUTE($D1808,"栋","")))&amp;"-"&amp;$E1808&amp;"-"&amp;TEXT(MONTH($B1808),"00")&amp;TEXT(DAY($B1808),"00")&amp;IF(ISNUMBER($O1808),IF($O1808&gt;1,"-"&amp;TEXT($O1808,"00"),""),"")))</f>
        <v/>
      </c>
      <c r="B1808" s="14"/>
      <c r="C1808" s="10"/>
      <c r="D1808" s="10"/>
      <c r="E1808" s="10"/>
      <c r="F1808" s="16"/>
      <c r="G1808" s="10"/>
      <c r="H1808" s="10"/>
      <c r="I1808" s="10"/>
      <c r="J1808" s="10"/>
      <c r="K1808" s="10"/>
      <c r="L1808" s="10"/>
      <c r="M1808" s="14"/>
      <c r="N1808" s="17" t="str">
        <f aca="false">IF($B1808="","",IF($L1808="已完成",IF($M1808="","",$M1808-$B1808),IF(设置!$B$6&lt;$B1808,"",IF((设置!$B$6-$B1808)&gt;=设置!$B$5,"超期"&amp;(设置!$B$6-$B1808)&amp;"天","已等"&amp;(设置!$B$6-$B1808)&amp;"天"))))</f>
        <v/>
      </c>
      <c r="O1808" s="18" t="str">
        <f aca="false">IF(OR($D1808="",$E1808=""),"",COUNTIFS($D$7:$D1808,$D1808,$E$7:$E1808,$E1808))</f>
        <v/>
      </c>
      <c r="P1808" s="16"/>
      <c r="Q1808" s="19"/>
      <c r="R1808" s="10"/>
      <c r="S1808" s="16"/>
      <c r="T1808" s="0" t="str">
        <f aca="false">IF(OR($D1808="",单元查询!$B$3=""),"",IF($D1808&lt;&gt;单元查询!$B$3,"",IF(OR(单元查询!$D$3="",$E1808&amp;""=单元查询!$D$3&amp;""),IF(ISNUMBER($B1808),$B1808*10000,0)+ROW(),"")))</f>
        <v/>
      </c>
      <c r="U1808" s="0" t="str">
        <f aca="false">IF(OR($B1808="",$L1808="已完成"),"",IF(ISNUMBER($B1808),IF(设置!$B$6&lt;$B1808,"",(设置!$B$6-$B1808)*100000+ROW()),""))</f>
        <v/>
      </c>
      <c r="V1808" s="0" t="str">
        <f aca="false">IF(ISNUMBER($O1808),IF($O1808&gt;=2,IF(COUNTIFS($D1808:$D$2006,$D1808,$E1808:$E$2006,$E1808)=1,ROW(),""),""),"")</f>
        <v/>
      </c>
    </row>
    <row r="1809" customFormat="false" ht="15" hidden="false" customHeight="true" outlineLevel="0" collapsed="false">
      <c r="A1809" s="13" t="str">
        <f aca="false">IF(AND($B1809="",$D1809="",$E1809="",$F1809=""),"",IF(OR($B1809="",$D1809="",$E1809=""),"待补",IF($D1809="公共区域","公",IF($D1809="商铺","S",SUBSTITUTE($D1809,"栋","")))&amp;"-"&amp;$E1809&amp;"-"&amp;TEXT(MONTH($B1809),"00")&amp;TEXT(DAY($B1809),"00")&amp;IF(ISNUMBER($O1809),IF($O1809&gt;1,"-"&amp;TEXT($O1809,"00"),""),"")))</f>
        <v/>
      </c>
      <c r="B1809" s="14"/>
      <c r="C1809" s="10"/>
      <c r="D1809" s="10"/>
      <c r="E1809" s="10"/>
      <c r="F1809" s="16"/>
      <c r="G1809" s="10"/>
      <c r="H1809" s="10"/>
      <c r="I1809" s="10"/>
      <c r="J1809" s="10"/>
      <c r="K1809" s="10"/>
      <c r="L1809" s="10"/>
      <c r="M1809" s="14"/>
      <c r="N1809" s="17" t="str">
        <f aca="false">IF($B1809="","",IF($L1809="已完成",IF($M1809="","",$M1809-$B1809),IF(设置!$B$6&lt;$B1809,"",IF((设置!$B$6-$B1809)&gt;=设置!$B$5,"超期"&amp;(设置!$B$6-$B1809)&amp;"天","已等"&amp;(设置!$B$6-$B1809)&amp;"天"))))</f>
        <v/>
      </c>
      <c r="O1809" s="18" t="str">
        <f aca="false">IF(OR($D1809="",$E1809=""),"",COUNTIFS($D$7:$D1809,$D1809,$E$7:$E1809,$E1809))</f>
        <v/>
      </c>
      <c r="P1809" s="16"/>
      <c r="Q1809" s="19"/>
      <c r="R1809" s="10"/>
      <c r="S1809" s="16"/>
      <c r="T1809" s="0" t="str">
        <f aca="false">IF(OR($D1809="",单元查询!$B$3=""),"",IF($D1809&lt;&gt;单元查询!$B$3,"",IF(OR(单元查询!$D$3="",$E1809&amp;""=单元查询!$D$3&amp;""),IF(ISNUMBER($B1809),$B1809*10000,0)+ROW(),"")))</f>
        <v/>
      </c>
      <c r="U1809" s="0" t="str">
        <f aca="false">IF(OR($B1809="",$L1809="已完成"),"",IF(ISNUMBER($B1809),IF(设置!$B$6&lt;$B1809,"",(设置!$B$6-$B1809)*100000+ROW()),""))</f>
        <v/>
      </c>
      <c r="V1809" s="0" t="str">
        <f aca="false">IF(ISNUMBER($O1809),IF($O1809&gt;=2,IF(COUNTIFS($D1809:$D$2006,$D1809,$E1809:$E$2006,$E1809)=1,ROW(),""),""),"")</f>
        <v/>
      </c>
    </row>
    <row r="1810" customFormat="false" ht="15" hidden="false" customHeight="true" outlineLevel="0" collapsed="false">
      <c r="A1810" s="13" t="str">
        <f aca="false">IF(AND($B1810="",$D1810="",$E1810="",$F1810=""),"",IF(OR($B1810="",$D1810="",$E1810=""),"待补",IF($D1810="公共区域","公",IF($D1810="商铺","S",SUBSTITUTE($D1810,"栋","")))&amp;"-"&amp;$E1810&amp;"-"&amp;TEXT(MONTH($B1810),"00")&amp;TEXT(DAY($B1810),"00")&amp;IF(ISNUMBER($O1810),IF($O1810&gt;1,"-"&amp;TEXT($O1810,"00"),""),"")))</f>
        <v/>
      </c>
      <c r="B1810" s="14"/>
      <c r="C1810" s="10"/>
      <c r="D1810" s="10"/>
      <c r="E1810" s="10"/>
      <c r="F1810" s="16"/>
      <c r="G1810" s="10"/>
      <c r="H1810" s="10"/>
      <c r="I1810" s="10"/>
      <c r="J1810" s="10"/>
      <c r="K1810" s="10"/>
      <c r="L1810" s="10"/>
      <c r="M1810" s="14"/>
      <c r="N1810" s="17" t="str">
        <f aca="false">IF($B1810="","",IF($L1810="已完成",IF($M1810="","",$M1810-$B1810),IF(设置!$B$6&lt;$B1810,"",IF((设置!$B$6-$B1810)&gt;=设置!$B$5,"超期"&amp;(设置!$B$6-$B1810)&amp;"天","已等"&amp;(设置!$B$6-$B1810)&amp;"天"))))</f>
        <v/>
      </c>
      <c r="O1810" s="18" t="str">
        <f aca="false">IF(OR($D1810="",$E1810=""),"",COUNTIFS($D$7:$D1810,$D1810,$E$7:$E1810,$E1810))</f>
        <v/>
      </c>
      <c r="P1810" s="16"/>
      <c r="Q1810" s="19"/>
      <c r="R1810" s="10"/>
      <c r="S1810" s="16"/>
      <c r="T1810" s="0" t="str">
        <f aca="false">IF(OR($D1810="",单元查询!$B$3=""),"",IF($D1810&lt;&gt;单元查询!$B$3,"",IF(OR(单元查询!$D$3="",$E1810&amp;""=单元查询!$D$3&amp;""),IF(ISNUMBER($B1810),$B1810*10000,0)+ROW(),"")))</f>
        <v/>
      </c>
      <c r="U1810" s="0" t="str">
        <f aca="false">IF(OR($B1810="",$L1810="已完成"),"",IF(ISNUMBER($B1810),IF(设置!$B$6&lt;$B1810,"",(设置!$B$6-$B1810)*100000+ROW()),""))</f>
        <v/>
      </c>
      <c r="V1810" s="0" t="str">
        <f aca="false">IF(ISNUMBER($O1810),IF($O1810&gt;=2,IF(COUNTIFS($D1810:$D$2006,$D1810,$E1810:$E$2006,$E1810)=1,ROW(),""),""),"")</f>
        <v/>
      </c>
    </row>
    <row r="1811" customFormat="false" ht="15" hidden="false" customHeight="true" outlineLevel="0" collapsed="false">
      <c r="A1811" s="13" t="str">
        <f aca="false">IF(AND($B1811="",$D1811="",$E1811="",$F1811=""),"",IF(OR($B1811="",$D1811="",$E1811=""),"待补",IF($D1811="公共区域","公",IF($D1811="商铺","S",SUBSTITUTE($D1811,"栋","")))&amp;"-"&amp;$E1811&amp;"-"&amp;TEXT(MONTH($B1811),"00")&amp;TEXT(DAY($B1811),"00")&amp;IF(ISNUMBER($O1811),IF($O1811&gt;1,"-"&amp;TEXT($O1811,"00"),""),"")))</f>
        <v/>
      </c>
      <c r="B1811" s="14"/>
      <c r="C1811" s="10"/>
      <c r="D1811" s="10"/>
      <c r="E1811" s="10"/>
      <c r="F1811" s="16"/>
      <c r="G1811" s="10"/>
      <c r="H1811" s="10"/>
      <c r="I1811" s="10"/>
      <c r="J1811" s="10"/>
      <c r="K1811" s="10"/>
      <c r="L1811" s="10"/>
      <c r="M1811" s="14"/>
      <c r="N1811" s="17" t="str">
        <f aca="false">IF($B1811="","",IF($L1811="已完成",IF($M1811="","",$M1811-$B1811),IF(设置!$B$6&lt;$B1811,"",IF((设置!$B$6-$B1811)&gt;=设置!$B$5,"超期"&amp;(设置!$B$6-$B1811)&amp;"天","已等"&amp;(设置!$B$6-$B1811)&amp;"天"))))</f>
        <v/>
      </c>
      <c r="O1811" s="18" t="str">
        <f aca="false">IF(OR($D1811="",$E1811=""),"",COUNTIFS($D$7:$D1811,$D1811,$E$7:$E1811,$E1811))</f>
        <v/>
      </c>
      <c r="P1811" s="16"/>
      <c r="Q1811" s="19"/>
      <c r="R1811" s="10"/>
      <c r="S1811" s="16"/>
      <c r="T1811" s="0" t="str">
        <f aca="false">IF(OR($D1811="",单元查询!$B$3=""),"",IF($D1811&lt;&gt;单元查询!$B$3,"",IF(OR(单元查询!$D$3="",$E1811&amp;""=单元查询!$D$3&amp;""),IF(ISNUMBER($B1811),$B1811*10000,0)+ROW(),"")))</f>
        <v/>
      </c>
      <c r="U1811" s="0" t="str">
        <f aca="false">IF(OR($B1811="",$L1811="已完成"),"",IF(ISNUMBER($B1811),IF(设置!$B$6&lt;$B1811,"",(设置!$B$6-$B1811)*100000+ROW()),""))</f>
        <v/>
      </c>
      <c r="V1811" s="0" t="str">
        <f aca="false">IF(ISNUMBER($O1811),IF($O1811&gt;=2,IF(COUNTIFS($D1811:$D$2006,$D1811,$E1811:$E$2006,$E1811)=1,ROW(),""),""),"")</f>
        <v/>
      </c>
    </row>
    <row r="1812" customFormat="false" ht="15" hidden="false" customHeight="true" outlineLevel="0" collapsed="false">
      <c r="A1812" s="13" t="str">
        <f aca="false">IF(AND($B1812="",$D1812="",$E1812="",$F1812=""),"",IF(OR($B1812="",$D1812="",$E1812=""),"待补",IF($D1812="公共区域","公",IF($D1812="商铺","S",SUBSTITUTE($D1812,"栋","")))&amp;"-"&amp;$E1812&amp;"-"&amp;TEXT(MONTH($B1812),"00")&amp;TEXT(DAY($B1812),"00")&amp;IF(ISNUMBER($O1812),IF($O1812&gt;1,"-"&amp;TEXT($O1812,"00"),""),"")))</f>
        <v/>
      </c>
      <c r="B1812" s="14"/>
      <c r="C1812" s="10"/>
      <c r="D1812" s="10"/>
      <c r="E1812" s="10"/>
      <c r="F1812" s="16"/>
      <c r="G1812" s="10"/>
      <c r="H1812" s="10"/>
      <c r="I1812" s="10"/>
      <c r="J1812" s="10"/>
      <c r="K1812" s="10"/>
      <c r="L1812" s="10"/>
      <c r="M1812" s="14"/>
      <c r="N1812" s="17" t="str">
        <f aca="false">IF($B1812="","",IF($L1812="已完成",IF($M1812="","",$M1812-$B1812),IF(设置!$B$6&lt;$B1812,"",IF((设置!$B$6-$B1812)&gt;=设置!$B$5,"超期"&amp;(设置!$B$6-$B1812)&amp;"天","已等"&amp;(设置!$B$6-$B1812)&amp;"天"))))</f>
        <v/>
      </c>
      <c r="O1812" s="18" t="str">
        <f aca="false">IF(OR($D1812="",$E1812=""),"",COUNTIFS($D$7:$D1812,$D1812,$E$7:$E1812,$E1812))</f>
        <v/>
      </c>
      <c r="P1812" s="16"/>
      <c r="Q1812" s="19"/>
      <c r="R1812" s="10"/>
      <c r="S1812" s="16"/>
      <c r="T1812" s="0" t="str">
        <f aca="false">IF(OR($D1812="",单元查询!$B$3=""),"",IF($D1812&lt;&gt;单元查询!$B$3,"",IF(OR(单元查询!$D$3="",$E1812&amp;""=单元查询!$D$3&amp;""),IF(ISNUMBER($B1812),$B1812*10000,0)+ROW(),"")))</f>
        <v/>
      </c>
      <c r="U1812" s="0" t="str">
        <f aca="false">IF(OR($B1812="",$L1812="已完成"),"",IF(ISNUMBER($B1812),IF(设置!$B$6&lt;$B1812,"",(设置!$B$6-$B1812)*100000+ROW()),""))</f>
        <v/>
      </c>
      <c r="V1812" s="0" t="str">
        <f aca="false">IF(ISNUMBER($O1812),IF($O1812&gt;=2,IF(COUNTIFS($D1812:$D$2006,$D1812,$E1812:$E$2006,$E1812)=1,ROW(),""),""),"")</f>
        <v/>
      </c>
    </row>
    <row r="1813" customFormat="false" ht="15" hidden="false" customHeight="true" outlineLevel="0" collapsed="false">
      <c r="A1813" s="13" t="str">
        <f aca="false">IF(AND($B1813="",$D1813="",$E1813="",$F1813=""),"",IF(OR($B1813="",$D1813="",$E1813=""),"待补",IF($D1813="公共区域","公",IF($D1813="商铺","S",SUBSTITUTE($D1813,"栋","")))&amp;"-"&amp;$E1813&amp;"-"&amp;TEXT(MONTH($B1813),"00")&amp;TEXT(DAY($B1813),"00")&amp;IF(ISNUMBER($O1813),IF($O1813&gt;1,"-"&amp;TEXT($O1813,"00"),""),"")))</f>
        <v/>
      </c>
      <c r="B1813" s="14"/>
      <c r="C1813" s="10"/>
      <c r="D1813" s="10"/>
      <c r="E1813" s="10"/>
      <c r="F1813" s="16"/>
      <c r="G1813" s="10"/>
      <c r="H1813" s="10"/>
      <c r="I1813" s="10"/>
      <c r="J1813" s="10"/>
      <c r="K1813" s="10"/>
      <c r="L1813" s="10"/>
      <c r="M1813" s="14"/>
      <c r="N1813" s="17" t="str">
        <f aca="false">IF($B1813="","",IF($L1813="已完成",IF($M1813="","",$M1813-$B1813),IF(设置!$B$6&lt;$B1813,"",IF((设置!$B$6-$B1813)&gt;=设置!$B$5,"超期"&amp;(设置!$B$6-$B1813)&amp;"天","已等"&amp;(设置!$B$6-$B1813)&amp;"天"))))</f>
        <v/>
      </c>
      <c r="O1813" s="18" t="str">
        <f aca="false">IF(OR($D1813="",$E1813=""),"",COUNTIFS($D$7:$D1813,$D1813,$E$7:$E1813,$E1813))</f>
        <v/>
      </c>
      <c r="P1813" s="16"/>
      <c r="Q1813" s="19"/>
      <c r="R1813" s="10"/>
      <c r="S1813" s="16"/>
      <c r="T1813" s="0" t="str">
        <f aca="false">IF(OR($D1813="",单元查询!$B$3=""),"",IF($D1813&lt;&gt;单元查询!$B$3,"",IF(OR(单元查询!$D$3="",$E1813&amp;""=单元查询!$D$3&amp;""),IF(ISNUMBER($B1813),$B1813*10000,0)+ROW(),"")))</f>
        <v/>
      </c>
      <c r="U1813" s="0" t="str">
        <f aca="false">IF(OR($B1813="",$L1813="已完成"),"",IF(ISNUMBER($B1813),IF(设置!$B$6&lt;$B1813,"",(设置!$B$6-$B1813)*100000+ROW()),""))</f>
        <v/>
      </c>
      <c r="V1813" s="0" t="str">
        <f aca="false">IF(ISNUMBER($O1813),IF($O1813&gt;=2,IF(COUNTIFS($D1813:$D$2006,$D1813,$E1813:$E$2006,$E1813)=1,ROW(),""),""),"")</f>
        <v/>
      </c>
    </row>
    <row r="1814" customFormat="false" ht="15" hidden="false" customHeight="true" outlineLevel="0" collapsed="false">
      <c r="A1814" s="13" t="str">
        <f aca="false">IF(AND($B1814="",$D1814="",$E1814="",$F1814=""),"",IF(OR($B1814="",$D1814="",$E1814=""),"待补",IF($D1814="公共区域","公",IF($D1814="商铺","S",SUBSTITUTE($D1814,"栋","")))&amp;"-"&amp;$E1814&amp;"-"&amp;TEXT(MONTH($B1814),"00")&amp;TEXT(DAY($B1814),"00")&amp;IF(ISNUMBER($O1814),IF($O1814&gt;1,"-"&amp;TEXT($O1814,"00"),""),"")))</f>
        <v/>
      </c>
      <c r="B1814" s="14"/>
      <c r="C1814" s="10"/>
      <c r="D1814" s="10"/>
      <c r="E1814" s="10"/>
      <c r="F1814" s="16"/>
      <c r="G1814" s="10"/>
      <c r="H1814" s="10"/>
      <c r="I1814" s="10"/>
      <c r="J1814" s="10"/>
      <c r="K1814" s="10"/>
      <c r="L1814" s="10"/>
      <c r="M1814" s="14"/>
      <c r="N1814" s="17" t="str">
        <f aca="false">IF($B1814="","",IF($L1814="已完成",IF($M1814="","",$M1814-$B1814),IF(设置!$B$6&lt;$B1814,"",IF((设置!$B$6-$B1814)&gt;=设置!$B$5,"超期"&amp;(设置!$B$6-$B1814)&amp;"天","已等"&amp;(设置!$B$6-$B1814)&amp;"天"))))</f>
        <v/>
      </c>
      <c r="O1814" s="18" t="str">
        <f aca="false">IF(OR($D1814="",$E1814=""),"",COUNTIFS($D$7:$D1814,$D1814,$E$7:$E1814,$E1814))</f>
        <v/>
      </c>
      <c r="P1814" s="16"/>
      <c r="Q1814" s="19"/>
      <c r="R1814" s="10"/>
      <c r="S1814" s="16"/>
      <c r="T1814" s="0" t="str">
        <f aca="false">IF(OR($D1814="",单元查询!$B$3=""),"",IF($D1814&lt;&gt;单元查询!$B$3,"",IF(OR(单元查询!$D$3="",$E1814&amp;""=单元查询!$D$3&amp;""),IF(ISNUMBER($B1814),$B1814*10000,0)+ROW(),"")))</f>
        <v/>
      </c>
      <c r="U1814" s="0" t="str">
        <f aca="false">IF(OR($B1814="",$L1814="已完成"),"",IF(ISNUMBER($B1814),IF(设置!$B$6&lt;$B1814,"",(设置!$B$6-$B1814)*100000+ROW()),""))</f>
        <v/>
      </c>
      <c r="V1814" s="0" t="str">
        <f aca="false">IF(ISNUMBER($O1814),IF($O1814&gt;=2,IF(COUNTIFS($D1814:$D$2006,$D1814,$E1814:$E$2006,$E1814)=1,ROW(),""),""),"")</f>
        <v/>
      </c>
    </row>
    <row r="1815" customFormat="false" ht="15" hidden="false" customHeight="true" outlineLevel="0" collapsed="false">
      <c r="A1815" s="13" t="str">
        <f aca="false">IF(AND($B1815="",$D1815="",$E1815="",$F1815=""),"",IF(OR($B1815="",$D1815="",$E1815=""),"待补",IF($D1815="公共区域","公",IF($D1815="商铺","S",SUBSTITUTE($D1815,"栋","")))&amp;"-"&amp;$E1815&amp;"-"&amp;TEXT(MONTH($B1815),"00")&amp;TEXT(DAY($B1815),"00")&amp;IF(ISNUMBER($O1815),IF($O1815&gt;1,"-"&amp;TEXT($O1815,"00"),""),"")))</f>
        <v/>
      </c>
      <c r="B1815" s="14"/>
      <c r="C1815" s="10"/>
      <c r="D1815" s="10"/>
      <c r="E1815" s="10"/>
      <c r="F1815" s="16"/>
      <c r="G1815" s="10"/>
      <c r="H1815" s="10"/>
      <c r="I1815" s="10"/>
      <c r="J1815" s="10"/>
      <c r="K1815" s="10"/>
      <c r="L1815" s="10"/>
      <c r="M1815" s="14"/>
      <c r="N1815" s="17" t="str">
        <f aca="false">IF($B1815="","",IF($L1815="已完成",IF($M1815="","",$M1815-$B1815),IF(设置!$B$6&lt;$B1815,"",IF((设置!$B$6-$B1815)&gt;=设置!$B$5,"超期"&amp;(设置!$B$6-$B1815)&amp;"天","已等"&amp;(设置!$B$6-$B1815)&amp;"天"))))</f>
        <v/>
      </c>
      <c r="O1815" s="18" t="str">
        <f aca="false">IF(OR($D1815="",$E1815=""),"",COUNTIFS($D$7:$D1815,$D1815,$E$7:$E1815,$E1815))</f>
        <v/>
      </c>
      <c r="P1815" s="16"/>
      <c r="Q1815" s="19"/>
      <c r="R1815" s="10"/>
      <c r="S1815" s="16"/>
      <c r="T1815" s="0" t="str">
        <f aca="false">IF(OR($D1815="",单元查询!$B$3=""),"",IF($D1815&lt;&gt;单元查询!$B$3,"",IF(OR(单元查询!$D$3="",$E1815&amp;""=单元查询!$D$3&amp;""),IF(ISNUMBER($B1815),$B1815*10000,0)+ROW(),"")))</f>
        <v/>
      </c>
      <c r="U1815" s="0" t="str">
        <f aca="false">IF(OR($B1815="",$L1815="已完成"),"",IF(ISNUMBER($B1815),IF(设置!$B$6&lt;$B1815,"",(设置!$B$6-$B1815)*100000+ROW()),""))</f>
        <v/>
      </c>
      <c r="V1815" s="0" t="str">
        <f aca="false">IF(ISNUMBER($O1815),IF($O1815&gt;=2,IF(COUNTIFS($D1815:$D$2006,$D1815,$E1815:$E$2006,$E1815)=1,ROW(),""),""),"")</f>
        <v/>
      </c>
    </row>
    <row r="1816" customFormat="false" ht="15" hidden="false" customHeight="true" outlineLevel="0" collapsed="false">
      <c r="A1816" s="13" t="str">
        <f aca="false">IF(AND($B1816="",$D1816="",$E1816="",$F1816=""),"",IF(OR($B1816="",$D1816="",$E1816=""),"待补",IF($D1816="公共区域","公",IF($D1816="商铺","S",SUBSTITUTE($D1816,"栋","")))&amp;"-"&amp;$E1816&amp;"-"&amp;TEXT(MONTH($B1816),"00")&amp;TEXT(DAY($B1816),"00")&amp;IF(ISNUMBER($O1816),IF($O1816&gt;1,"-"&amp;TEXT($O1816,"00"),""),"")))</f>
        <v/>
      </c>
      <c r="B1816" s="14"/>
      <c r="C1816" s="10"/>
      <c r="D1816" s="10"/>
      <c r="E1816" s="10"/>
      <c r="F1816" s="16"/>
      <c r="G1816" s="10"/>
      <c r="H1816" s="10"/>
      <c r="I1816" s="10"/>
      <c r="J1816" s="10"/>
      <c r="K1816" s="10"/>
      <c r="L1816" s="10"/>
      <c r="M1816" s="14"/>
      <c r="N1816" s="17" t="str">
        <f aca="false">IF($B1816="","",IF($L1816="已完成",IF($M1816="","",$M1816-$B1816),IF(设置!$B$6&lt;$B1816,"",IF((设置!$B$6-$B1816)&gt;=设置!$B$5,"超期"&amp;(设置!$B$6-$B1816)&amp;"天","已等"&amp;(设置!$B$6-$B1816)&amp;"天"))))</f>
        <v/>
      </c>
      <c r="O1816" s="18" t="str">
        <f aca="false">IF(OR($D1816="",$E1816=""),"",COUNTIFS($D$7:$D1816,$D1816,$E$7:$E1816,$E1816))</f>
        <v/>
      </c>
      <c r="P1816" s="16"/>
      <c r="Q1816" s="19"/>
      <c r="R1816" s="10"/>
      <c r="S1816" s="16"/>
      <c r="T1816" s="0" t="str">
        <f aca="false">IF(OR($D1816="",单元查询!$B$3=""),"",IF($D1816&lt;&gt;单元查询!$B$3,"",IF(OR(单元查询!$D$3="",$E1816&amp;""=单元查询!$D$3&amp;""),IF(ISNUMBER($B1816),$B1816*10000,0)+ROW(),"")))</f>
        <v/>
      </c>
      <c r="U1816" s="0" t="str">
        <f aca="false">IF(OR($B1816="",$L1816="已完成"),"",IF(ISNUMBER($B1816),IF(设置!$B$6&lt;$B1816,"",(设置!$B$6-$B1816)*100000+ROW()),""))</f>
        <v/>
      </c>
      <c r="V1816" s="0" t="str">
        <f aca="false">IF(ISNUMBER($O1816),IF($O1816&gt;=2,IF(COUNTIFS($D1816:$D$2006,$D1816,$E1816:$E$2006,$E1816)=1,ROW(),""),""),"")</f>
        <v/>
      </c>
    </row>
    <row r="1817" customFormat="false" ht="15" hidden="false" customHeight="true" outlineLevel="0" collapsed="false">
      <c r="A1817" s="13" t="str">
        <f aca="false">IF(AND($B1817="",$D1817="",$E1817="",$F1817=""),"",IF(OR($B1817="",$D1817="",$E1817=""),"待补",IF($D1817="公共区域","公",IF($D1817="商铺","S",SUBSTITUTE($D1817,"栋","")))&amp;"-"&amp;$E1817&amp;"-"&amp;TEXT(MONTH($B1817),"00")&amp;TEXT(DAY($B1817),"00")&amp;IF(ISNUMBER($O1817),IF($O1817&gt;1,"-"&amp;TEXT($O1817,"00"),""),"")))</f>
        <v/>
      </c>
      <c r="B1817" s="14"/>
      <c r="C1817" s="10"/>
      <c r="D1817" s="10"/>
      <c r="E1817" s="10"/>
      <c r="F1817" s="16"/>
      <c r="G1817" s="10"/>
      <c r="H1817" s="10"/>
      <c r="I1817" s="10"/>
      <c r="J1817" s="10"/>
      <c r="K1817" s="10"/>
      <c r="L1817" s="10"/>
      <c r="M1817" s="14"/>
      <c r="N1817" s="17" t="str">
        <f aca="false">IF($B1817="","",IF($L1817="已完成",IF($M1817="","",$M1817-$B1817),IF(设置!$B$6&lt;$B1817,"",IF((设置!$B$6-$B1817)&gt;=设置!$B$5,"超期"&amp;(设置!$B$6-$B1817)&amp;"天","已等"&amp;(设置!$B$6-$B1817)&amp;"天"))))</f>
        <v/>
      </c>
      <c r="O1817" s="18" t="str">
        <f aca="false">IF(OR($D1817="",$E1817=""),"",COUNTIFS($D$7:$D1817,$D1817,$E$7:$E1817,$E1817))</f>
        <v/>
      </c>
      <c r="P1817" s="16"/>
      <c r="Q1817" s="19"/>
      <c r="R1817" s="10"/>
      <c r="S1817" s="16"/>
      <c r="T1817" s="0" t="str">
        <f aca="false">IF(OR($D1817="",单元查询!$B$3=""),"",IF($D1817&lt;&gt;单元查询!$B$3,"",IF(OR(单元查询!$D$3="",$E1817&amp;""=单元查询!$D$3&amp;""),IF(ISNUMBER($B1817),$B1817*10000,0)+ROW(),"")))</f>
        <v/>
      </c>
      <c r="U1817" s="0" t="str">
        <f aca="false">IF(OR($B1817="",$L1817="已完成"),"",IF(ISNUMBER($B1817),IF(设置!$B$6&lt;$B1817,"",(设置!$B$6-$B1817)*100000+ROW()),""))</f>
        <v/>
      </c>
      <c r="V1817" s="0" t="str">
        <f aca="false">IF(ISNUMBER($O1817),IF($O1817&gt;=2,IF(COUNTIFS($D1817:$D$2006,$D1817,$E1817:$E$2006,$E1817)=1,ROW(),""),""),"")</f>
        <v/>
      </c>
    </row>
    <row r="1818" customFormat="false" ht="15" hidden="false" customHeight="true" outlineLevel="0" collapsed="false">
      <c r="A1818" s="13" t="str">
        <f aca="false">IF(AND($B1818="",$D1818="",$E1818="",$F1818=""),"",IF(OR($B1818="",$D1818="",$E1818=""),"待补",IF($D1818="公共区域","公",IF($D1818="商铺","S",SUBSTITUTE($D1818,"栋","")))&amp;"-"&amp;$E1818&amp;"-"&amp;TEXT(MONTH($B1818),"00")&amp;TEXT(DAY($B1818),"00")&amp;IF(ISNUMBER($O1818),IF($O1818&gt;1,"-"&amp;TEXT($O1818,"00"),""),"")))</f>
        <v/>
      </c>
      <c r="B1818" s="14"/>
      <c r="C1818" s="10"/>
      <c r="D1818" s="10"/>
      <c r="E1818" s="10"/>
      <c r="F1818" s="16"/>
      <c r="G1818" s="10"/>
      <c r="H1818" s="10"/>
      <c r="I1818" s="10"/>
      <c r="J1818" s="10"/>
      <c r="K1818" s="10"/>
      <c r="L1818" s="10"/>
      <c r="M1818" s="14"/>
      <c r="N1818" s="17" t="str">
        <f aca="false">IF($B1818="","",IF($L1818="已完成",IF($M1818="","",$M1818-$B1818),IF(设置!$B$6&lt;$B1818,"",IF((设置!$B$6-$B1818)&gt;=设置!$B$5,"超期"&amp;(设置!$B$6-$B1818)&amp;"天","已等"&amp;(设置!$B$6-$B1818)&amp;"天"))))</f>
        <v/>
      </c>
      <c r="O1818" s="18" t="str">
        <f aca="false">IF(OR($D1818="",$E1818=""),"",COUNTIFS($D$7:$D1818,$D1818,$E$7:$E1818,$E1818))</f>
        <v/>
      </c>
      <c r="P1818" s="16"/>
      <c r="Q1818" s="19"/>
      <c r="R1818" s="10"/>
      <c r="S1818" s="16"/>
      <c r="T1818" s="0" t="str">
        <f aca="false">IF(OR($D1818="",单元查询!$B$3=""),"",IF($D1818&lt;&gt;单元查询!$B$3,"",IF(OR(单元查询!$D$3="",$E1818&amp;""=单元查询!$D$3&amp;""),IF(ISNUMBER($B1818),$B1818*10000,0)+ROW(),"")))</f>
        <v/>
      </c>
      <c r="U1818" s="0" t="str">
        <f aca="false">IF(OR($B1818="",$L1818="已完成"),"",IF(ISNUMBER($B1818),IF(设置!$B$6&lt;$B1818,"",(设置!$B$6-$B1818)*100000+ROW()),""))</f>
        <v/>
      </c>
      <c r="V1818" s="0" t="str">
        <f aca="false">IF(ISNUMBER($O1818),IF($O1818&gt;=2,IF(COUNTIFS($D1818:$D$2006,$D1818,$E1818:$E$2006,$E1818)=1,ROW(),""),""),"")</f>
        <v/>
      </c>
    </row>
    <row r="1819" customFormat="false" ht="15" hidden="false" customHeight="true" outlineLevel="0" collapsed="false">
      <c r="A1819" s="13" t="str">
        <f aca="false">IF(AND($B1819="",$D1819="",$E1819="",$F1819=""),"",IF(OR($B1819="",$D1819="",$E1819=""),"待补",IF($D1819="公共区域","公",IF($D1819="商铺","S",SUBSTITUTE($D1819,"栋","")))&amp;"-"&amp;$E1819&amp;"-"&amp;TEXT(MONTH($B1819),"00")&amp;TEXT(DAY($B1819),"00")&amp;IF(ISNUMBER($O1819),IF($O1819&gt;1,"-"&amp;TEXT($O1819,"00"),""),"")))</f>
        <v/>
      </c>
      <c r="B1819" s="14"/>
      <c r="C1819" s="10"/>
      <c r="D1819" s="10"/>
      <c r="E1819" s="10"/>
      <c r="F1819" s="16"/>
      <c r="G1819" s="10"/>
      <c r="H1819" s="10"/>
      <c r="I1819" s="10"/>
      <c r="J1819" s="10"/>
      <c r="K1819" s="10"/>
      <c r="L1819" s="10"/>
      <c r="M1819" s="14"/>
      <c r="N1819" s="17" t="str">
        <f aca="false">IF($B1819="","",IF($L1819="已完成",IF($M1819="","",$M1819-$B1819),IF(设置!$B$6&lt;$B1819,"",IF((设置!$B$6-$B1819)&gt;=设置!$B$5,"超期"&amp;(设置!$B$6-$B1819)&amp;"天","已等"&amp;(设置!$B$6-$B1819)&amp;"天"))))</f>
        <v/>
      </c>
      <c r="O1819" s="18" t="str">
        <f aca="false">IF(OR($D1819="",$E1819=""),"",COUNTIFS($D$7:$D1819,$D1819,$E$7:$E1819,$E1819))</f>
        <v/>
      </c>
      <c r="P1819" s="16"/>
      <c r="Q1819" s="19"/>
      <c r="R1819" s="10"/>
      <c r="S1819" s="16"/>
      <c r="T1819" s="0" t="str">
        <f aca="false">IF(OR($D1819="",单元查询!$B$3=""),"",IF($D1819&lt;&gt;单元查询!$B$3,"",IF(OR(单元查询!$D$3="",$E1819&amp;""=单元查询!$D$3&amp;""),IF(ISNUMBER($B1819),$B1819*10000,0)+ROW(),"")))</f>
        <v/>
      </c>
      <c r="U1819" s="0" t="str">
        <f aca="false">IF(OR($B1819="",$L1819="已完成"),"",IF(ISNUMBER($B1819),IF(设置!$B$6&lt;$B1819,"",(设置!$B$6-$B1819)*100000+ROW()),""))</f>
        <v/>
      </c>
      <c r="V1819" s="0" t="str">
        <f aca="false">IF(ISNUMBER($O1819),IF($O1819&gt;=2,IF(COUNTIFS($D1819:$D$2006,$D1819,$E1819:$E$2006,$E1819)=1,ROW(),""),""),"")</f>
        <v/>
      </c>
    </row>
    <row r="1820" customFormat="false" ht="15" hidden="false" customHeight="true" outlineLevel="0" collapsed="false">
      <c r="A1820" s="13" t="str">
        <f aca="false">IF(AND($B1820="",$D1820="",$E1820="",$F1820=""),"",IF(OR($B1820="",$D1820="",$E1820=""),"待补",IF($D1820="公共区域","公",IF($D1820="商铺","S",SUBSTITUTE($D1820,"栋","")))&amp;"-"&amp;$E1820&amp;"-"&amp;TEXT(MONTH($B1820),"00")&amp;TEXT(DAY($B1820),"00")&amp;IF(ISNUMBER($O1820),IF($O1820&gt;1,"-"&amp;TEXT($O1820,"00"),""),"")))</f>
        <v/>
      </c>
      <c r="B1820" s="14"/>
      <c r="C1820" s="10"/>
      <c r="D1820" s="10"/>
      <c r="E1820" s="10"/>
      <c r="F1820" s="16"/>
      <c r="G1820" s="10"/>
      <c r="H1820" s="10"/>
      <c r="I1820" s="10"/>
      <c r="J1820" s="10"/>
      <c r="K1820" s="10"/>
      <c r="L1820" s="10"/>
      <c r="M1820" s="14"/>
      <c r="N1820" s="17" t="str">
        <f aca="false">IF($B1820="","",IF($L1820="已完成",IF($M1820="","",$M1820-$B1820),IF(设置!$B$6&lt;$B1820,"",IF((设置!$B$6-$B1820)&gt;=设置!$B$5,"超期"&amp;(设置!$B$6-$B1820)&amp;"天","已等"&amp;(设置!$B$6-$B1820)&amp;"天"))))</f>
        <v/>
      </c>
      <c r="O1820" s="18" t="str">
        <f aca="false">IF(OR($D1820="",$E1820=""),"",COUNTIFS($D$7:$D1820,$D1820,$E$7:$E1820,$E1820))</f>
        <v/>
      </c>
      <c r="P1820" s="16"/>
      <c r="Q1820" s="19"/>
      <c r="R1820" s="10"/>
      <c r="S1820" s="16"/>
      <c r="T1820" s="0" t="str">
        <f aca="false">IF(OR($D1820="",单元查询!$B$3=""),"",IF($D1820&lt;&gt;单元查询!$B$3,"",IF(OR(单元查询!$D$3="",$E1820&amp;""=单元查询!$D$3&amp;""),IF(ISNUMBER($B1820),$B1820*10000,0)+ROW(),"")))</f>
        <v/>
      </c>
      <c r="U1820" s="0" t="str">
        <f aca="false">IF(OR($B1820="",$L1820="已完成"),"",IF(ISNUMBER($B1820),IF(设置!$B$6&lt;$B1820,"",(设置!$B$6-$B1820)*100000+ROW()),""))</f>
        <v/>
      </c>
      <c r="V1820" s="0" t="str">
        <f aca="false">IF(ISNUMBER($O1820),IF($O1820&gt;=2,IF(COUNTIFS($D1820:$D$2006,$D1820,$E1820:$E$2006,$E1820)=1,ROW(),""),""),"")</f>
        <v/>
      </c>
    </row>
    <row r="1821" customFormat="false" ht="15" hidden="false" customHeight="true" outlineLevel="0" collapsed="false">
      <c r="A1821" s="13" t="str">
        <f aca="false">IF(AND($B1821="",$D1821="",$E1821="",$F1821=""),"",IF(OR($B1821="",$D1821="",$E1821=""),"待补",IF($D1821="公共区域","公",IF($D1821="商铺","S",SUBSTITUTE($D1821,"栋","")))&amp;"-"&amp;$E1821&amp;"-"&amp;TEXT(MONTH($B1821),"00")&amp;TEXT(DAY($B1821),"00")&amp;IF(ISNUMBER($O1821),IF($O1821&gt;1,"-"&amp;TEXT($O1821,"00"),""),"")))</f>
        <v/>
      </c>
      <c r="B1821" s="14"/>
      <c r="C1821" s="10"/>
      <c r="D1821" s="10"/>
      <c r="E1821" s="10"/>
      <c r="F1821" s="16"/>
      <c r="G1821" s="10"/>
      <c r="H1821" s="10"/>
      <c r="I1821" s="10"/>
      <c r="J1821" s="10"/>
      <c r="K1821" s="10"/>
      <c r="L1821" s="10"/>
      <c r="M1821" s="14"/>
      <c r="N1821" s="17" t="str">
        <f aca="false">IF($B1821="","",IF($L1821="已完成",IF($M1821="","",$M1821-$B1821),IF(设置!$B$6&lt;$B1821,"",IF((设置!$B$6-$B1821)&gt;=设置!$B$5,"超期"&amp;(设置!$B$6-$B1821)&amp;"天","已等"&amp;(设置!$B$6-$B1821)&amp;"天"))))</f>
        <v/>
      </c>
      <c r="O1821" s="18" t="str">
        <f aca="false">IF(OR($D1821="",$E1821=""),"",COUNTIFS($D$7:$D1821,$D1821,$E$7:$E1821,$E1821))</f>
        <v/>
      </c>
      <c r="P1821" s="16"/>
      <c r="Q1821" s="19"/>
      <c r="R1821" s="10"/>
      <c r="S1821" s="16"/>
      <c r="T1821" s="0" t="str">
        <f aca="false">IF(OR($D1821="",单元查询!$B$3=""),"",IF($D1821&lt;&gt;单元查询!$B$3,"",IF(OR(单元查询!$D$3="",$E1821&amp;""=单元查询!$D$3&amp;""),IF(ISNUMBER($B1821),$B1821*10000,0)+ROW(),"")))</f>
        <v/>
      </c>
      <c r="U1821" s="0" t="str">
        <f aca="false">IF(OR($B1821="",$L1821="已完成"),"",IF(ISNUMBER($B1821),IF(设置!$B$6&lt;$B1821,"",(设置!$B$6-$B1821)*100000+ROW()),""))</f>
        <v/>
      </c>
      <c r="V1821" s="0" t="str">
        <f aca="false">IF(ISNUMBER($O1821),IF($O1821&gt;=2,IF(COUNTIFS($D1821:$D$2006,$D1821,$E1821:$E$2006,$E1821)=1,ROW(),""),""),"")</f>
        <v/>
      </c>
    </row>
    <row r="1822" customFormat="false" ht="15" hidden="false" customHeight="true" outlineLevel="0" collapsed="false">
      <c r="A1822" s="13" t="str">
        <f aca="false">IF(AND($B1822="",$D1822="",$E1822="",$F1822=""),"",IF(OR($B1822="",$D1822="",$E1822=""),"待补",IF($D1822="公共区域","公",IF($D1822="商铺","S",SUBSTITUTE($D1822,"栋","")))&amp;"-"&amp;$E1822&amp;"-"&amp;TEXT(MONTH($B1822),"00")&amp;TEXT(DAY($B1822),"00")&amp;IF(ISNUMBER($O1822),IF($O1822&gt;1,"-"&amp;TEXT($O1822,"00"),""),"")))</f>
        <v/>
      </c>
      <c r="B1822" s="14"/>
      <c r="C1822" s="10"/>
      <c r="D1822" s="10"/>
      <c r="E1822" s="10"/>
      <c r="F1822" s="16"/>
      <c r="G1822" s="10"/>
      <c r="H1822" s="10"/>
      <c r="I1822" s="10"/>
      <c r="J1822" s="10"/>
      <c r="K1822" s="10"/>
      <c r="L1822" s="10"/>
      <c r="M1822" s="14"/>
      <c r="N1822" s="17" t="str">
        <f aca="false">IF($B1822="","",IF($L1822="已完成",IF($M1822="","",$M1822-$B1822),IF(设置!$B$6&lt;$B1822,"",IF((设置!$B$6-$B1822)&gt;=设置!$B$5,"超期"&amp;(设置!$B$6-$B1822)&amp;"天","已等"&amp;(设置!$B$6-$B1822)&amp;"天"))))</f>
        <v/>
      </c>
      <c r="O1822" s="18" t="str">
        <f aca="false">IF(OR($D1822="",$E1822=""),"",COUNTIFS($D$7:$D1822,$D1822,$E$7:$E1822,$E1822))</f>
        <v/>
      </c>
      <c r="P1822" s="16"/>
      <c r="Q1822" s="19"/>
      <c r="R1822" s="10"/>
      <c r="S1822" s="16"/>
      <c r="T1822" s="0" t="str">
        <f aca="false">IF(OR($D1822="",单元查询!$B$3=""),"",IF($D1822&lt;&gt;单元查询!$B$3,"",IF(OR(单元查询!$D$3="",$E1822&amp;""=单元查询!$D$3&amp;""),IF(ISNUMBER($B1822),$B1822*10000,0)+ROW(),"")))</f>
        <v/>
      </c>
      <c r="U1822" s="0" t="str">
        <f aca="false">IF(OR($B1822="",$L1822="已完成"),"",IF(ISNUMBER($B1822),IF(设置!$B$6&lt;$B1822,"",(设置!$B$6-$B1822)*100000+ROW()),""))</f>
        <v/>
      </c>
      <c r="V1822" s="0" t="str">
        <f aca="false">IF(ISNUMBER($O1822),IF($O1822&gt;=2,IF(COUNTIFS($D1822:$D$2006,$D1822,$E1822:$E$2006,$E1822)=1,ROW(),""),""),"")</f>
        <v/>
      </c>
    </row>
    <row r="1823" customFormat="false" ht="15" hidden="false" customHeight="true" outlineLevel="0" collapsed="false">
      <c r="A1823" s="13" t="str">
        <f aca="false">IF(AND($B1823="",$D1823="",$E1823="",$F1823=""),"",IF(OR($B1823="",$D1823="",$E1823=""),"待补",IF($D1823="公共区域","公",IF($D1823="商铺","S",SUBSTITUTE($D1823,"栋","")))&amp;"-"&amp;$E1823&amp;"-"&amp;TEXT(MONTH($B1823),"00")&amp;TEXT(DAY($B1823),"00")&amp;IF(ISNUMBER($O1823),IF($O1823&gt;1,"-"&amp;TEXT($O1823,"00"),""),"")))</f>
        <v/>
      </c>
      <c r="B1823" s="14"/>
      <c r="C1823" s="10"/>
      <c r="D1823" s="10"/>
      <c r="E1823" s="10"/>
      <c r="F1823" s="16"/>
      <c r="G1823" s="10"/>
      <c r="H1823" s="10"/>
      <c r="I1823" s="10"/>
      <c r="J1823" s="10"/>
      <c r="K1823" s="10"/>
      <c r="L1823" s="10"/>
      <c r="M1823" s="14"/>
      <c r="N1823" s="17" t="str">
        <f aca="false">IF($B1823="","",IF($L1823="已完成",IF($M1823="","",$M1823-$B1823),IF(设置!$B$6&lt;$B1823,"",IF((设置!$B$6-$B1823)&gt;=设置!$B$5,"超期"&amp;(设置!$B$6-$B1823)&amp;"天","已等"&amp;(设置!$B$6-$B1823)&amp;"天"))))</f>
        <v/>
      </c>
      <c r="O1823" s="18" t="str">
        <f aca="false">IF(OR($D1823="",$E1823=""),"",COUNTIFS($D$7:$D1823,$D1823,$E$7:$E1823,$E1823))</f>
        <v/>
      </c>
      <c r="P1823" s="16"/>
      <c r="Q1823" s="19"/>
      <c r="R1823" s="10"/>
      <c r="S1823" s="16"/>
      <c r="T1823" s="0" t="str">
        <f aca="false">IF(OR($D1823="",单元查询!$B$3=""),"",IF($D1823&lt;&gt;单元查询!$B$3,"",IF(OR(单元查询!$D$3="",$E1823&amp;""=单元查询!$D$3&amp;""),IF(ISNUMBER($B1823),$B1823*10000,0)+ROW(),"")))</f>
        <v/>
      </c>
      <c r="U1823" s="0" t="str">
        <f aca="false">IF(OR($B1823="",$L1823="已完成"),"",IF(ISNUMBER($B1823),IF(设置!$B$6&lt;$B1823,"",(设置!$B$6-$B1823)*100000+ROW()),""))</f>
        <v/>
      </c>
      <c r="V1823" s="0" t="str">
        <f aca="false">IF(ISNUMBER($O1823),IF($O1823&gt;=2,IF(COUNTIFS($D1823:$D$2006,$D1823,$E1823:$E$2006,$E1823)=1,ROW(),""),""),"")</f>
        <v/>
      </c>
    </row>
    <row r="1824" customFormat="false" ht="15" hidden="false" customHeight="true" outlineLevel="0" collapsed="false">
      <c r="A1824" s="13" t="str">
        <f aca="false">IF(AND($B1824="",$D1824="",$E1824="",$F1824=""),"",IF(OR($B1824="",$D1824="",$E1824=""),"待补",IF($D1824="公共区域","公",IF($D1824="商铺","S",SUBSTITUTE($D1824,"栋","")))&amp;"-"&amp;$E1824&amp;"-"&amp;TEXT(MONTH($B1824),"00")&amp;TEXT(DAY($B1824),"00")&amp;IF(ISNUMBER($O1824),IF($O1824&gt;1,"-"&amp;TEXT($O1824,"00"),""),"")))</f>
        <v/>
      </c>
      <c r="B1824" s="14"/>
      <c r="C1824" s="10"/>
      <c r="D1824" s="10"/>
      <c r="E1824" s="10"/>
      <c r="F1824" s="16"/>
      <c r="G1824" s="10"/>
      <c r="H1824" s="10"/>
      <c r="I1824" s="10"/>
      <c r="J1824" s="10"/>
      <c r="K1824" s="10"/>
      <c r="L1824" s="10"/>
      <c r="M1824" s="14"/>
      <c r="N1824" s="17" t="str">
        <f aca="false">IF($B1824="","",IF($L1824="已完成",IF($M1824="","",$M1824-$B1824),IF(设置!$B$6&lt;$B1824,"",IF((设置!$B$6-$B1824)&gt;=设置!$B$5,"超期"&amp;(设置!$B$6-$B1824)&amp;"天","已等"&amp;(设置!$B$6-$B1824)&amp;"天"))))</f>
        <v/>
      </c>
      <c r="O1824" s="18" t="str">
        <f aca="false">IF(OR($D1824="",$E1824=""),"",COUNTIFS($D$7:$D1824,$D1824,$E$7:$E1824,$E1824))</f>
        <v/>
      </c>
      <c r="P1824" s="16"/>
      <c r="Q1824" s="19"/>
      <c r="R1824" s="10"/>
      <c r="S1824" s="16"/>
      <c r="T1824" s="0" t="str">
        <f aca="false">IF(OR($D1824="",单元查询!$B$3=""),"",IF($D1824&lt;&gt;单元查询!$B$3,"",IF(OR(单元查询!$D$3="",$E1824&amp;""=单元查询!$D$3&amp;""),IF(ISNUMBER($B1824),$B1824*10000,0)+ROW(),"")))</f>
        <v/>
      </c>
      <c r="U1824" s="0" t="str">
        <f aca="false">IF(OR($B1824="",$L1824="已完成"),"",IF(ISNUMBER($B1824),IF(设置!$B$6&lt;$B1824,"",(设置!$B$6-$B1824)*100000+ROW()),""))</f>
        <v/>
      </c>
      <c r="V1824" s="0" t="str">
        <f aca="false">IF(ISNUMBER($O1824),IF($O1824&gt;=2,IF(COUNTIFS($D1824:$D$2006,$D1824,$E1824:$E$2006,$E1824)=1,ROW(),""),""),"")</f>
        <v/>
      </c>
    </row>
    <row r="1825" customFormat="false" ht="15" hidden="false" customHeight="true" outlineLevel="0" collapsed="false">
      <c r="A1825" s="13" t="str">
        <f aca="false">IF(AND($B1825="",$D1825="",$E1825="",$F1825=""),"",IF(OR($B1825="",$D1825="",$E1825=""),"待补",IF($D1825="公共区域","公",IF($D1825="商铺","S",SUBSTITUTE($D1825,"栋","")))&amp;"-"&amp;$E1825&amp;"-"&amp;TEXT(MONTH($B1825),"00")&amp;TEXT(DAY($B1825),"00")&amp;IF(ISNUMBER($O1825),IF($O1825&gt;1,"-"&amp;TEXT($O1825,"00"),""),"")))</f>
        <v/>
      </c>
      <c r="B1825" s="14"/>
      <c r="C1825" s="10"/>
      <c r="D1825" s="10"/>
      <c r="E1825" s="10"/>
      <c r="F1825" s="16"/>
      <c r="G1825" s="10"/>
      <c r="H1825" s="10"/>
      <c r="I1825" s="10"/>
      <c r="J1825" s="10"/>
      <c r="K1825" s="10"/>
      <c r="L1825" s="10"/>
      <c r="M1825" s="14"/>
      <c r="N1825" s="17" t="str">
        <f aca="false">IF($B1825="","",IF($L1825="已完成",IF($M1825="","",$M1825-$B1825),IF(设置!$B$6&lt;$B1825,"",IF((设置!$B$6-$B1825)&gt;=设置!$B$5,"超期"&amp;(设置!$B$6-$B1825)&amp;"天","已等"&amp;(设置!$B$6-$B1825)&amp;"天"))))</f>
        <v/>
      </c>
      <c r="O1825" s="18" t="str">
        <f aca="false">IF(OR($D1825="",$E1825=""),"",COUNTIFS($D$7:$D1825,$D1825,$E$7:$E1825,$E1825))</f>
        <v/>
      </c>
      <c r="P1825" s="16"/>
      <c r="Q1825" s="19"/>
      <c r="R1825" s="10"/>
      <c r="S1825" s="16"/>
      <c r="T1825" s="0" t="str">
        <f aca="false">IF(OR($D1825="",单元查询!$B$3=""),"",IF($D1825&lt;&gt;单元查询!$B$3,"",IF(OR(单元查询!$D$3="",$E1825&amp;""=单元查询!$D$3&amp;""),IF(ISNUMBER($B1825),$B1825*10000,0)+ROW(),"")))</f>
        <v/>
      </c>
      <c r="U1825" s="0" t="str">
        <f aca="false">IF(OR($B1825="",$L1825="已完成"),"",IF(ISNUMBER($B1825),IF(设置!$B$6&lt;$B1825,"",(设置!$B$6-$B1825)*100000+ROW()),""))</f>
        <v/>
      </c>
      <c r="V1825" s="0" t="str">
        <f aca="false">IF(ISNUMBER($O1825),IF($O1825&gt;=2,IF(COUNTIFS($D1825:$D$2006,$D1825,$E1825:$E$2006,$E1825)=1,ROW(),""),""),"")</f>
        <v/>
      </c>
    </row>
    <row r="1826" customFormat="false" ht="15" hidden="false" customHeight="true" outlineLevel="0" collapsed="false">
      <c r="A1826" s="13" t="str">
        <f aca="false">IF(AND($B1826="",$D1826="",$E1826="",$F1826=""),"",IF(OR($B1826="",$D1826="",$E1826=""),"待补",IF($D1826="公共区域","公",IF($D1826="商铺","S",SUBSTITUTE($D1826,"栋","")))&amp;"-"&amp;$E1826&amp;"-"&amp;TEXT(MONTH($B1826),"00")&amp;TEXT(DAY($B1826),"00")&amp;IF(ISNUMBER($O1826),IF($O1826&gt;1,"-"&amp;TEXT($O1826,"00"),""),"")))</f>
        <v/>
      </c>
      <c r="B1826" s="14"/>
      <c r="C1826" s="10"/>
      <c r="D1826" s="10"/>
      <c r="E1826" s="10"/>
      <c r="F1826" s="16"/>
      <c r="G1826" s="10"/>
      <c r="H1826" s="10"/>
      <c r="I1826" s="10"/>
      <c r="J1826" s="10"/>
      <c r="K1826" s="10"/>
      <c r="L1826" s="10"/>
      <c r="M1826" s="14"/>
      <c r="N1826" s="17" t="str">
        <f aca="false">IF($B1826="","",IF($L1826="已完成",IF($M1826="","",$M1826-$B1826),IF(设置!$B$6&lt;$B1826,"",IF((设置!$B$6-$B1826)&gt;=设置!$B$5,"超期"&amp;(设置!$B$6-$B1826)&amp;"天","已等"&amp;(设置!$B$6-$B1826)&amp;"天"))))</f>
        <v/>
      </c>
      <c r="O1826" s="18" t="str">
        <f aca="false">IF(OR($D1826="",$E1826=""),"",COUNTIFS($D$7:$D1826,$D1826,$E$7:$E1826,$E1826))</f>
        <v/>
      </c>
      <c r="P1826" s="16"/>
      <c r="Q1826" s="19"/>
      <c r="R1826" s="10"/>
      <c r="S1826" s="16"/>
      <c r="T1826" s="0" t="str">
        <f aca="false">IF(OR($D1826="",单元查询!$B$3=""),"",IF($D1826&lt;&gt;单元查询!$B$3,"",IF(OR(单元查询!$D$3="",$E1826&amp;""=单元查询!$D$3&amp;""),IF(ISNUMBER($B1826),$B1826*10000,0)+ROW(),"")))</f>
        <v/>
      </c>
      <c r="U1826" s="0" t="str">
        <f aca="false">IF(OR($B1826="",$L1826="已完成"),"",IF(ISNUMBER($B1826),IF(设置!$B$6&lt;$B1826,"",(设置!$B$6-$B1826)*100000+ROW()),""))</f>
        <v/>
      </c>
      <c r="V1826" s="0" t="str">
        <f aca="false">IF(ISNUMBER($O1826),IF($O1826&gt;=2,IF(COUNTIFS($D1826:$D$2006,$D1826,$E1826:$E$2006,$E1826)=1,ROW(),""),""),"")</f>
        <v/>
      </c>
    </row>
    <row r="1827" customFormat="false" ht="15" hidden="false" customHeight="true" outlineLevel="0" collapsed="false">
      <c r="A1827" s="13" t="str">
        <f aca="false">IF(AND($B1827="",$D1827="",$E1827="",$F1827=""),"",IF(OR($B1827="",$D1827="",$E1827=""),"待补",IF($D1827="公共区域","公",IF($D1827="商铺","S",SUBSTITUTE($D1827,"栋","")))&amp;"-"&amp;$E1827&amp;"-"&amp;TEXT(MONTH($B1827),"00")&amp;TEXT(DAY($B1827),"00")&amp;IF(ISNUMBER($O1827),IF($O1827&gt;1,"-"&amp;TEXT($O1827,"00"),""),"")))</f>
        <v/>
      </c>
      <c r="B1827" s="14"/>
      <c r="C1827" s="10"/>
      <c r="D1827" s="10"/>
      <c r="E1827" s="10"/>
      <c r="F1827" s="16"/>
      <c r="G1827" s="10"/>
      <c r="H1827" s="10"/>
      <c r="I1827" s="10"/>
      <c r="J1827" s="10"/>
      <c r="K1827" s="10"/>
      <c r="L1827" s="10"/>
      <c r="M1827" s="14"/>
      <c r="N1827" s="17" t="str">
        <f aca="false">IF($B1827="","",IF($L1827="已完成",IF($M1827="","",$M1827-$B1827),IF(设置!$B$6&lt;$B1827,"",IF((设置!$B$6-$B1827)&gt;=设置!$B$5,"超期"&amp;(设置!$B$6-$B1827)&amp;"天","已等"&amp;(设置!$B$6-$B1827)&amp;"天"))))</f>
        <v/>
      </c>
      <c r="O1827" s="18" t="str">
        <f aca="false">IF(OR($D1827="",$E1827=""),"",COUNTIFS($D$7:$D1827,$D1827,$E$7:$E1827,$E1827))</f>
        <v/>
      </c>
      <c r="P1827" s="16"/>
      <c r="Q1827" s="19"/>
      <c r="R1827" s="10"/>
      <c r="S1827" s="16"/>
      <c r="T1827" s="0" t="str">
        <f aca="false">IF(OR($D1827="",单元查询!$B$3=""),"",IF($D1827&lt;&gt;单元查询!$B$3,"",IF(OR(单元查询!$D$3="",$E1827&amp;""=单元查询!$D$3&amp;""),IF(ISNUMBER($B1827),$B1827*10000,0)+ROW(),"")))</f>
        <v/>
      </c>
      <c r="U1827" s="0" t="str">
        <f aca="false">IF(OR($B1827="",$L1827="已完成"),"",IF(ISNUMBER($B1827),IF(设置!$B$6&lt;$B1827,"",(设置!$B$6-$B1827)*100000+ROW()),""))</f>
        <v/>
      </c>
      <c r="V1827" s="0" t="str">
        <f aca="false">IF(ISNUMBER($O1827),IF($O1827&gt;=2,IF(COUNTIFS($D1827:$D$2006,$D1827,$E1827:$E$2006,$E1827)=1,ROW(),""),""),"")</f>
        <v/>
      </c>
    </row>
    <row r="1828" customFormat="false" ht="15" hidden="false" customHeight="true" outlineLevel="0" collapsed="false">
      <c r="A1828" s="13" t="str">
        <f aca="false">IF(AND($B1828="",$D1828="",$E1828="",$F1828=""),"",IF(OR($B1828="",$D1828="",$E1828=""),"待补",IF($D1828="公共区域","公",IF($D1828="商铺","S",SUBSTITUTE($D1828,"栋","")))&amp;"-"&amp;$E1828&amp;"-"&amp;TEXT(MONTH($B1828),"00")&amp;TEXT(DAY($B1828),"00")&amp;IF(ISNUMBER($O1828),IF($O1828&gt;1,"-"&amp;TEXT($O1828,"00"),""),"")))</f>
        <v/>
      </c>
      <c r="B1828" s="14"/>
      <c r="C1828" s="10"/>
      <c r="D1828" s="10"/>
      <c r="E1828" s="10"/>
      <c r="F1828" s="16"/>
      <c r="G1828" s="10"/>
      <c r="H1828" s="10"/>
      <c r="I1828" s="10"/>
      <c r="J1828" s="10"/>
      <c r="K1828" s="10"/>
      <c r="L1828" s="10"/>
      <c r="M1828" s="14"/>
      <c r="N1828" s="17" t="str">
        <f aca="false">IF($B1828="","",IF($L1828="已完成",IF($M1828="","",$M1828-$B1828),IF(设置!$B$6&lt;$B1828,"",IF((设置!$B$6-$B1828)&gt;=设置!$B$5,"超期"&amp;(设置!$B$6-$B1828)&amp;"天","已等"&amp;(设置!$B$6-$B1828)&amp;"天"))))</f>
        <v/>
      </c>
      <c r="O1828" s="18" t="str">
        <f aca="false">IF(OR($D1828="",$E1828=""),"",COUNTIFS($D$7:$D1828,$D1828,$E$7:$E1828,$E1828))</f>
        <v/>
      </c>
      <c r="P1828" s="16"/>
      <c r="Q1828" s="19"/>
      <c r="R1828" s="10"/>
      <c r="S1828" s="16"/>
      <c r="T1828" s="0" t="str">
        <f aca="false">IF(OR($D1828="",单元查询!$B$3=""),"",IF($D1828&lt;&gt;单元查询!$B$3,"",IF(OR(单元查询!$D$3="",$E1828&amp;""=单元查询!$D$3&amp;""),IF(ISNUMBER($B1828),$B1828*10000,0)+ROW(),"")))</f>
        <v/>
      </c>
      <c r="U1828" s="0" t="str">
        <f aca="false">IF(OR($B1828="",$L1828="已完成"),"",IF(ISNUMBER($B1828),IF(设置!$B$6&lt;$B1828,"",(设置!$B$6-$B1828)*100000+ROW()),""))</f>
        <v/>
      </c>
      <c r="V1828" s="0" t="str">
        <f aca="false">IF(ISNUMBER($O1828),IF($O1828&gt;=2,IF(COUNTIFS($D1828:$D$2006,$D1828,$E1828:$E$2006,$E1828)=1,ROW(),""),""),"")</f>
        <v/>
      </c>
    </row>
    <row r="1829" customFormat="false" ht="15" hidden="false" customHeight="true" outlineLevel="0" collapsed="false">
      <c r="A1829" s="13" t="str">
        <f aca="false">IF(AND($B1829="",$D1829="",$E1829="",$F1829=""),"",IF(OR($B1829="",$D1829="",$E1829=""),"待补",IF($D1829="公共区域","公",IF($D1829="商铺","S",SUBSTITUTE($D1829,"栋","")))&amp;"-"&amp;$E1829&amp;"-"&amp;TEXT(MONTH($B1829),"00")&amp;TEXT(DAY($B1829),"00")&amp;IF(ISNUMBER($O1829),IF($O1829&gt;1,"-"&amp;TEXT($O1829,"00"),""),"")))</f>
        <v/>
      </c>
      <c r="B1829" s="14"/>
      <c r="C1829" s="10"/>
      <c r="D1829" s="10"/>
      <c r="E1829" s="10"/>
      <c r="F1829" s="16"/>
      <c r="G1829" s="10"/>
      <c r="H1829" s="10"/>
      <c r="I1829" s="10"/>
      <c r="J1829" s="10"/>
      <c r="K1829" s="10"/>
      <c r="L1829" s="10"/>
      <c r="M1829" s="14"/>
      <c r="N1829" s="17" t="str">
        <f aca="false">IF($B1829="","",IF($L1829="已完成",IF($M1829="","",$M1829-$B1829),IF(设置!$B$6&lt;$B1829,"",IF((设置!$B$6-$B1829)&gt;=设置!$B$5,"超期"&amp;(设置!$B$6-$B1829)&amp;"天","已等"&amp;(设置!$B$6-$B1829)&amp;"天"))))</f>
        <v/>
      </c>
      <c r="O1829" s="18" t="str">
        <f aca="false">IF(OR($D1829="",$E1829=""),"",COUNTIFS($D$7:$D1829,$D1829,$E$7:$E1829,$E1829))</f>
        <v/>
      </c>
      <c r="P1829" s="16"/>
      <c r="Q1829" s="19"/>
      <c r="R1829" s="10"/>
      <c r="S1829" s="16"/>
      <c r="T1829" s="0" t="str">
        <f aca="false">IF(OR($D1829="",单元查询!$B$3=""),"",IF($D1829&lt;&gt;单元查询!$B$3,"",IF(OR(单元查询!$D$3="",$E1829&amp;""=单元查询!$D$3&amp;""),IF(ISNUMBER($B1829),$B1829*10000,0)+ROW(),"")))</f>
        <v/>
      </c>
      <c r="U1829" s="0" t="str">
        <f aca="false">IF(OR($B1829="",$L1829="已完成"),"",IF(ISNUMBER($B1829),IF(设置!$B$6&lt;$B1829,"",(设置!$B$6-$B1829)*100000+ROW()),""))</f>
        <v/>
      </c>
      <c r="V1829" s="0" t="str">
        <f aca="false">IF(ISNUMBER($O1829),IF($O1829&gt;=2,IF(COUNTIFS($D1829:$D$2006,$D1829,$E1829:$E$2006,$E1829)=1,ROW(),""),""),"")</f>
        <v/>
      </c>
    </row>
    <row r="1830" customFormat="false" ht="15" hidden="false" customHeight="true" outlineLevel="0" collapsed="false">
      <c r="A1830" s="13" t="str">
        <f aca="false">IF(AND($B1830="",$D1830="",$E1830="",$F1830=""),"",IF(OR($B1830="",$D1830="",$E1830=""),"待补",IF($D1830="公共区域","公",IF($D1830="商铺","S",SUBSTITUTE($D1830,"栋","")))&amp;"-"&amp;$E1830&amp;"-"&amp;TEXT(MONTH($B1830),"00")&amp;TEXT(DAY($B1830),"00")&amp;IF(ISNUMBER($O1830),IF($O1830&gt;1,"-"&amp;TEXT($O1830,"00"),""),"")))</f>
        <v/>
      </c>
      <c r="B1830" s="14"/>
      <c r="C1830" s="10"/>
      <c r="D1830" s="10"/>
      <c r="E1830" s="10"/>
      <c r="F1830" s="16"/>
      <c r="G1830" s="10"/>
      <c r="H1830" s="10"/>
      <c r="I1830" s="10"/>
      <c r="J1830" s="10"/>
      <c r="K1830" s="10"/>
      <c r="L1830" s="10"/>
      <c r="M1830" s="14"/>
      <c r="N1830" s="17" t="str">
        <f aca="false">IF($B1830="","",IF($L1830="已完成",IF($M1830="","",$M1830-$B1830),IF(设置!$B$6&lt;$B1830,"",IF((设置!$B$6-$B1830)&gt;=设置!$B$5,"超期"&amp;(设置!$B$6-$B1830)&amp;"天","已等"&amp;(设置!$B$6-$B1830)&amp;"天"))))</f>
        <v/>
      </c>
      <c r="O1830" s="18" t="str">
        <f aca="false">IF(OR($D1830="",$E1830=""),"",COUNTIFS($D$7:$D1830,$D1830,$E$7:$E1830,$E1830))</f>
        <v/>
      </c>
      <c r="P1830" s="16"/>
      <c r="Q1830" s="19"/>
      <c r="R1830" s="10"/>
      <c r="S1830" s="16"/>
      <c r="T1830" s="0" t="str">
        <f aca="false">IF(OR($D1830="",单元查询!$B$3=""),"",IF($D1830&lt;&gt;单元查询!$B$3,"",IF(OR(单元查询!$D$3="",$E1830&amp;""=单元查询!$D$3&amp;""),IF(ISNUMBER($B1830),$B1830*10000,0)+ROW(),"")))</f>
        <v/>
      </c>
      <c r="U1830" s="0" t="str">
        <f aca="false">IF(OR($B1830="",$L1830="已完成"),"",IF(ISNUMBER($B1830),IF(设置!$B$6&lt;$B1830,"",(设置!$B$6-$B1830)*100000+ROW()),""))</f>
        <v/>
      </c>
      <c r="V1830" s="0" t="str">
        <f aca="false">IF(ISNUMBER($O1830),IF($O1830&gt;=2,IF(COUNTIFS($D1830:$D$2006,$D1830,$E1830:$E$2006,$E1830)=1,ROW(),""),""),"")</f>
        <v/>
      </c>
    </row>
    <row r="1831" customFormat="false" ht="15" hidden="false" customHeight="true" outlineLevel="0" collapsed="false">
      <c r="A1831" s="13" t="str">
        <f aca="false">IF(AND($B1831="",$D1831="",$E1831="",$F1831=""),"",IF(OR($B1831="",$D1831="",$E1831=""),"待补",IF($D1831="公共区域","公",IF($D1831="商铺","S",SUBSTITUTE($D1831,"栋","")))&amp;"-"&amp;$E1831&amp;"-"&amp;TEXT(MONTH($B1831),"00")&amp;TEXT(DAY($B1831),"00")&amp;IF(ISNUMBER($O1831),IF($O1831&gt;1,"-"&amp;TEXT($O1831,"00"),""),"")))</f>
        <v/>
      </c>
      <c r="B1831" s="14"/>
      <c r="C1831" s="10"/>
      <c r="D1831" s="10"/>
      <c r="E1831" s="10"/>
      <c r="F1831" s="16"/>
      <c r="G1831" s="10"/>
      <c r="H1831" s="10"/>
      <c r="I1831" s="10"/>
      <c r="J1831" s="10"/>
      <c r="K1831" s="10"/>
      <c r="L1831" s="10"/>
      <c r="M1831" s="14"/>
      <c r="N1831" s="17" t="str">
        <f aca="false">IF($B1831="","",IF($L1831="已完成",IF($M1831="","",$M1831-$B1831),IF(设置!$B$6&lt;$B1831,"",IF((设置!$B$6-$B1831)&gt;=设置!$B$5,"超期"&amp;(设置!$B$6-$B1831)&amp;"天","已等"&amp;(设置!$B$6-$B1831)&amp;"天"))))</f>
        <v/>
      </c>
      <c r="O1831" s="18" t="str">
        <f aca="false">IF(OR($D1831="",$E1831=""),"",COUNTIFS($D$7:$D1831,$D1831,$E$7:$E1831,$E1831))</f>
        <v/>
      </c>
      <c r="P1831" s="16"/>
      <c r="Q1831" s="19"/>
      <c r="R1831" s="10"/>
      <c r="S1831" s="16"/>
      <c r="T1831" s="0" t="str">
        <f aca="false">IF(OR($D1831="",单元查询!$B$3=""),"",IF($D1831&lt;&gt;单元查询!$B$3,"",IF(OR(单元查询!$D$3="",$E1831&amp;""=单元查询!$D$3&amp;""),IF(ISNUMBER($B1831),$B1831*10000,0)+ROW(),"")))</f>
        <v/>
      </c>
      <c r="U1831" s="0" t="str">
        <f aca="false">IF(OR($B1831="",$L1831="已完成"),"",IF(ISNUMBER($B1831),IF(设置!$B$6&lt;$B1831,"",(设置!$B$6-$B1831)*100000+ROW()),""))</f>
        <v/>
      </c>
      <c r="V1831" s="0" t="str">
        <f aca="false">IF(ISNUMBER($O1831),IF($O1831&gt;=2,IF(COUNTIFS($D1831:$D$2006,$D1831,$E1831:$E$2006,$E1831)=1,ROW(),""),""),"")</f>
        <v/>
      </c>
    </row>
    <row r="1832" customFormat="false" ht="15" hidden="false" customHeight="true" outlineLevel="0" collapsed="false">
      <c r="A1832" s="13" t="str">
        <f aca="false">IF(AND($B1832="",$D1832="",$E1832="",$F1832=""),"",IF(OR($B1832="",$D1832="",$E1832=""),"待补",IF($D1832="公共区域","公",IF($D1832="商铺","S",SUBSTITUTE($D1832,"栋","")))&amp;"-"&amp;$E1832&amp;"-"&amp;TEXT(MONTH($B1832),"00")&amp;TEXT(DAY($B1832),"00")&amp;IF(ISNUMBER($O1832),IF($O1832&gt;1,"-"&amp;TEXT($O1832,"00"),""),"")))</f>
        <v/>
      </c>
      <c r="B1832" s="14"/>
      <c r="C1832" s="10"/>
      <c r="D1832" s="10"/>
      <c r="E1832" s="10"/>
      <c r="F1832" s="16"/>
      <c r="G1832" s="10"/>
      <c r="H1832" s="10"/>
      <c r="I1832" s="10"/>
      <c r="J1832" s="10"/>
      <c r="K1832" s="10"/>
      <c r="L1832" s="10"/>
      <c r="M1832" s="14"/>
      <c r="N1832" s="17" t="str">
        <f aca="false">IF($B1832="","",IF($L1832="已完成",IF($M1832="","",$M1832-$B1832),IF(设置!$B$6&lt;$B1832,"",IF((设置!$B$6-$B1832)&gt;=设置!$B$5,"超期"&amp;(设置!$B$6-$B1832)&amp;"天","已等"&amp;(设置!$B$6-$B1832)&amp;"天"))))</f>
        <v/>
      </c>
      <c r="O1832" s="18" t="str">
        <f aca="false">IF(OR($D1832="",$E1832=""),"",COUNTIFS($D$7:$D1832,$D1832,$E$7:$E1832,$E1832))</f>
        <v/>
      </c>
      <c r="P1832" s="16"/>
      <c r="Q1832" s="19"/>
      <c r="R1832" s="10"/>
      <c r="S1832" s="16"/>
      <c r="T1832" s="0" t="str">
        <f aca="false">IF(OR($D1832="",单元查询!$B$3=""),"",IF($D1832&lt;&gt;单元查询!$B$3,"",IF(OR(单元查询!$D$3="",$E1832&amp;""=单元查询!$D$3&amp;""),IF(ISNUMBER($B1832),$B1832*10000,0)+ROW(),"")))</f>
        <v/>
      </c>
      <c r="U1832" s="0" t="str">
        <f aca="false">IF(OR($B1832="",$L1832="已完成"),"",IF(ISNUMBER($B1832),IF(设置!$B$6&lt;$B1832,"",(设置!$B$6-$B1832)*100000+ROW()),""))</f>
        <v/>
      </c>
      <c r="V1832" s="0" t="str">
        <f aca="false">IF(ISNUMBER($O1832),IF($O1832&gt;=2,IF(COUNTIFS($D1832:$D$2006,$D1832,$E1832:$E$2006,$E1832)=1,ROW(),""),""),"")</f>
        <v/>
      </c>
    </row>
    <row r="1833" customFormat="false" ht="15" hidden="false" customHeight="true" outlineLevel="0" collapsed="false">
      <c r="A1833" s="13" t="str">
        <f aca="false">IF(AND($B1833="",$D1833="",$E1833="",$F1833=""),"",IF(OR($B1833="",$D1833="",$E1833=""),"待补",IF($D1833="公共区域","公",IF($D1833="商铺","S",SUBSTITUTE($D1833,"栋","")))&amp;"-"&amp;$E1833&amp;"-"&amp;TEXT(MONTH($B1833),"00")&amp;TEXT(DAY($B1833),"00")&amp;IF(ISNUMBER($O1833),IF($O1833&gt;1,"-"&amp;TEXT($O1833,"00"),""),"")))</f>
        <v/>
      </c>
      <c r="B1833" s="14"/>
      <c r="C1833" s="10"/>
      <c r="D1833" s="10"/>
      <c r="E1833" s="10"/>
      <c r="F1833" s="16"/>
      <c r="G1833" s="10"/>
      <c r="H1833" s="10"/>
      <c r="I1833" s="10"/>
      <c r="J1833" s="10"/>
      <c r="K1833" s="10"/>
      <c r="L1833" s="10"/>
      <c r="M1833" s="14"/>
      <c r="N1833" s="17" t="str">
        <f aca="false">IF($B1833="","",IF($L1833="已完成",IF($M1833="","",$M1833-$B1833),IF(设置!$B$6&lt;$B1833,"",IF((设置!$B$6-$B1833)&gt;=设置!$B$5,"超期"&amp;(设置!$B$6-$B1833)&amp;"天","已等"&amp;(设置!$B$6-$B1833)&amp;"天"))))</f>
        <v/>
      </c>
      <c r="O1833" s="18" t="str">
        <f aca="false">IF(OR($D1833="",$E1833=""),"",COUNTIFS($D$7:$D1833,$D1833,$E$7:$E1833,$E1833))</f>
        <v/>
      </c>
      <c r="P1833" s="16"/>
      <c r="Q1833" s="19"/>
      <c r="R1833" s="10"/>
      <c r="S1833" s="16"/>
      <c r="T1833" s="0" t="str">
        <f aca="false">IF(OR($D1833="",单元查询!$B$3=""),"",IF($D1833&lt;&gt;单元查询!$B$3,"",IF(OR(单元查询!$D$3="",$E1833&amp;""=单元查询!$D$3&amp;""),IF(ISNUMBER($B1833),$B1833*10000,0)+ROW(),"")))</f>
        <v/>
      </c>
      <c r="U1833" s="0" t="str">
        <f aca="false">IF(OR($B1833="",$L1833="已完成"),"",IF(ISNUMBER($B1833),IF(设置!$B$6&lt;$B1833,"",(设置!$B$6-$B1833)*100000+ROW()),""))</f>
        <v/>
      </c>
      <c r="V1833" s="0" t="str">
        <f aca="false">IF(ISNUMBER($O1833),IF($O1833&gt;=2,IF(COUNTIFS($D1833:$D$2006,$D1833,$E1833:$E$2006,$E1833)=1,ROW(),""),""),"")</f>
        <v/>
      </c>
    </row>
    <row r="1834" customFormat="false" ht="15" hidden="false" customHeight="true" outlineLevel="0" collapsed="false">
      <c r="A1834" s="13" t="str">
        <f aca="false">IF(AND($B1834="",$D1834="",$E1834="",$F1834=""),"",IF(OR($B1834="",$D1834="",$E1834=""),"待补",IF($D1834="公共区域","公",IF($D1834="商铺","S",SUBSTITUTE($D1834,"栋","")))&amp;"-"&amp;$E1834&amp;"-"&amp;TEXT(MONTH($B1834),"00")&amp;TEXT(DAY($B1834),"00")&amp;IF(ISNUMBER($O1834),IF($O1834&gt;1,"-"&amp;TEXT($O1834,"00"),""),"")))</f>
        <v/>
      </c>
      <c r="B1834" s="14"/>
      <c r="C1834" s="10"/>
      <c r="D1834" s="10"/>
      <c r="E1834" s="10"/>
      <c r="F1834" s="16"/>
      <c r="G1834" s="10"/>
      <c r="H1834" s="10"/>
      <c r="I1834" s="10"/>
      <c r="J1834" s="10"/>
      <c r="K1834" s="10"/>
      <c r="L1834" s="10"/>
      <c r="M1834" s="14"/>
      <c r="N1834" s="17" t="str">
        <f aca="false">IF($B1834="","",IF($L1834="已完成",IF($M1834="","",$M1834-$B1834),IF(设置!$B$6&lt;$B1834,"",IF((设置!$B$6-$B1834)&gt;=设置!$B$5,"超期"&amp;(设置!$B$6-$B1834)&amp;"天","已等"&amp;(设置!$B$6-$B1834)&amp;"天"))))</f>
        <v/>
      </c>
      <c r="O1834" s="18" t="str">
        <f aca="false">IF(OR($D1834="",$E1834=""),"",COUNTIFS($D$7:$D1834,$D1834,$E$7:$E1834,$E1834))</f>
        <v/>
      </c>
      <c r="P1834" s="16"/>
      <c r="Q1834" s="19"/>
      <c r="R1834" s="10"/>
      <c r="S1834" s="16"/>
      <c r="T1834" s="0" t="str">
        <f aca="false">IF(OR($D1834="",单元查询!$B$3=""),"",IF($D1834&lt;&gt;单元查询!$B$3,"",IF(OR(单元查询!$D$3="",$E1834&amp;""=单元查询!$D$3&amp;""),IF(ISNUMBER($B1834),$B1834*10000,0)+ROW(),"")))</f>
        <v/>
      </c>
      <c r="U1834" s="0" t="str">
        <f aca="false">IF(OR($B1834="",$L1834="已完成"),"",IF(ISNUMBER($B1834),IF(设置!$B$6&lt;$B1834,"",(设置!$B$6-$B1834)*100000+ROW()),""))</f>
        <v/>
      </c>
      <c r="V1834" s="0" t="str">
        <f aca="false">IF(ISNUMBER($O1834),IF($O1834&gt;=2,IF(COUNTIFS($D1834:$D$2006,$D1834,$E1834:$E$2006,$E1834)=1,ROW(),""),""),"")</f>
        <v/>
      </c>
    </row>
    <row r="1835" customFormat="false" ht="15" hidden="false" customHeight="true" outlineLevel="0" collapsed="false">
      <c r="A1835" s="13" t="str">
        <f aca="false">IF(AND($B1835="",$D1835="",$E1835="",$F1835=""),"",IF(OR($B1835="",$D1835="",$E1835=""),"待补",IF($D1835="公共区域","公",IF($D1835="商铺","S",SUBSTITUTE($D1835,"栋","")))&amp;"-"&amp;$E1835&amp;"-"&amp;TEXT(MONTH($B1835),"00")&amp;TEXT(DAY($B1835),"00")&amp;IF(ISNUMBER($O1835),IF($O1835&gt;1,"-"&amp;TEXT($O1835,"00"),""),"")))</f>
        <v/>
      </c>
      <c r="B1835" s="14"/>
      <c r="C1835" s="10"/>
      <c r="D1835" s="10"/>
      <c r="E1835" s="10"/>
      <c r="F1835" s="16"/>
      <c r="G1835" s="10"/>
      <c r="H1835" s="10"/>
      <c r="I1835" s="10"/>
      <c r="J1835" s="10"/>
      <c r="K1835" s="10"/>
      <c r="L1835" s="10"/>
      <c r="M1835" s="14"/>
      <c r="N1835" s="17" t="str">
        <f aca="false">IF($B1835="","",IF($L1835="已完成",IF($M1835="","",$M1835-$B1835),IF(设置!$B$6&lt;$B1835,"",IF((设置!$B$6-$B1835)&gt;=设置!$B$5,"超期"&amp;(设置!$B$6-$B1835)&amp;"天","已等"&amp;(设置!$B$6-$B1835)&amp;"天"))))</f>
        <v/>
      </c>
      <c r="O1835" s="18" t="str">
        <f aca="false">IF(OR($D1835="",$E1835=""),"",COUNTIFS($D$7:$D1835,$D1835,$E$7:$E1835,$E1835))</f>
        <v/>
      </c>
      <c r="P1835" s="16"/>
      <c r="Q1835" s="19"/>
      <c r="R1835" s="10"/>
      <c r="S1835" s="16"/>
      <c r="T1835" s="0" t="str">
        <f aca="false">IF(OR($D1835="",单元查询!$B$3=""),"",IF($D1835&lt;&gt;单元查询!$B$3,"",IF(OR(单元查询!$D$3="",$E1835&amp;""=单元查询!$D$3&amp;""),IF(ISNUMBER($B1835),$B1835*10000,0)+ROW(),"")))</f>
        <v/>
      </c>
      <c r="U1835" s="0" t="str">
        <f aca="false">IF(OR($B1835="",$L1835="已完成"),"",IF(ISNUMBER($B1835),IF(设置!$B$6&lt;$B1835,"",(设置!$B$6-$B1835)*100000+ROW()),""))</f>
        <v/>
      </c>
      <c r="V1835" s="0" t="str">
        <f aca="false">IF(ISNUMBER($O1835),IF($O1835&gt;=2,IF(COUNTIFS($D1835:$D$2006,$D1835,$E1835:$E$2006,$E1835)=1,ROW(),""),""),"")</f>
        <v/>
      </c>
    </row>
    <row r="1836" customFormat="false" ht="15" hidden="false" customHeight="true" outlineLevel="0" collapsed="false">
      <c r="A1836" s="13" t="str">
        <f aca="false">IF(AND($B1836="",$D1836="",$E1836="",$F1836=""),"",IF(OR($B1836="",$D1836="",$E1836=""),"待补",IF($D1836="公共区域","公",IF($D1836="商铺","S",SUBSTITUTE($D1836,"栋","")))&amp;"-"&amp;$E1836&amp;"-"&amp;TEXT(MONTH($B1836),"00")&amp;TEXT(DAY($B1836),"00")&amp;IF(ISNUMBER($O1836),IF($O1836&gt;1,"-"&amp;TEXT($O1836,"00"),""),"")))</f>
        <v/>
      </c>
      <c r="B1836" s="14"/>
      <c r="C1836" s="10"/>
      <c r="D1836" s="10"/>
      <c r="E1836" s="10"/>
      <c r="F1836" s="16"/>
      <c r="G1836" s="10"/>
      <c r="H1836" s="10"/>
      <c r="I1836" s="10"/>
      <c r="J1836" s="10"/>
      <c r="K1836" s="10"/>
      <c r="L1836" s="10"/>
      <c r="M1836" s="14"/>
      <c r="N1836" s="17" t="str">
        <f aca="false">IF($B1836="","",IF($L1836="已完成",IF($M1836="","",$M1836-$B1836),IF(设置!$B$6&lt;$B1836,"",IF((设置!$B$6-$B1836)&gt;=设置!$B$5,"超期"&amp;(设置!$B$6-$B1836)&amp;"天","已等"&amp;(设置!$B$6-$B1836)&amp;"天"))))</f>
        <v/>
      </c>
      <c r="O1836" s="18" t="str">
        <f aca="false">IF(OR($D1836="",$E1836=""),"",COUNTIFS($D$7:$D1836,$D1836,$E$7:$E1836,$E1836))</f>
        <v/>
      </c>
      <c r="P1836" s="16"/>
      <c r="Q1836" s="19"/>
      <c r="R1836" s="10"/>
      <c r="S1836" s="16"/>
      <c r="T1836" s="0" t="str">
        <f aca="false">IF(OR($D1836="",单元查询!$B$3=""),"",IF($D1836&lt;&gt;单元查询!$B$3,"",IF(OR(单元查询!$D$3="",$E1836&amp;""=单元查询!$D$3&amp;""),IF(ISNUMBER($B1836),$B1836*10000,0)+ROW(),"")))</f>
        <v/>
      </c>
      <c r="U1836" s="0" t="str">
        <f aca="false">IF(OR($B1836="",$L1836="已完成"),"",IF(ISNUMBER($B1836),IF(设置!$B$6&lt;$B1836,"",(设置!$B$6-$B1836)*100000+ROW()),""))</f>
        <v/>
      </c>
      <c r="V1836" s="0" t="str">
        <f aca="false">IF(ISNUMBER($O1836),IF($O1836&gt;=2,IF(COUNTIFS($D1836:$D$2006,$D1836,$E1836:$E$2006,$E1836)=1,ROW(),""),""),"")</f>
        <v/>
      </c>
    </row>
    <row r="1837" customFormat="false" ht="15" hidden="false" customHeight="true" outlineLevel="0" collapsed="false">
      <c r="A1837" s="13" t="str">
        <f aca="false">IF(AND($B1837="",$D1837="",$E1837="",$F1837=""),"",IF(OR($B1837="",$D1837="",$E1837=""),"待补",IF($D1837="公共区域","公",IF($D1837="商铺","S",SUBSTITUTE($D1837,"栋","")))&amp;"-"&amp;$E1837&amp;"-"&amp;TEXT(MONTH($B1837),"00")&amp;TEXT(DAY($B1837),"00")&amp;IF(ISNUMBER($O1837),IF($O1837&gt;1,"-"&amp;TEXT($O1837,"00"),""),"")))</f>
        <v/>
      </c>
      <c r="B1837" s="14"/>
      <c r="C1837" s="10"/>
      <c r="D1837" s="10"/>
      <c r="E1837" s="10"/>
      <c r="F1837" s="16"/>
      <c r="G1837" s="10"/>
      <c r="H1837" s="10"/>
      <c r="I1837" s="10"/>
      <c r="J1837" s="10"/>
      <c r="K1837" s="10"/>
      <c r="L1837" s="10"/>
      <c r="M1837" s="14"/>
      <c r="N1837" s="17" t="str">
        <f aca="false">IF($B1837="","",IF($L1837="已完成",IF($M1837="","",$M1837-$B1837),IF(设置!$B$6&lt;$B1837,"",IF((设置!$B$6-$B1837)&gt;=设置!$B$5,"超期"&amp;(设置!$B$6-$B1837)&amp;"天","已等"&amp;(设置!$B$6-$B1837)&amp;"天"))))</f>
        <v/>
      </c>
      <c r="O1837" s="18" t="str">
        <f aca="false">IF(OR($D1837="",$E1837=""),"",COUNTIFS($D$7:$D1837,$D1837,$E$7:$E1837,$E1837))</f>
        <v/>
      </c>
      <c r="P1837" s="16"/>
      <c r="Q1837" s="19"/>
      <c r="R1837" s="10"/>
      <c r="S1837" s="16"/>
      <c r="T1837" s="0" t="str">
        <f aca="false">IF(OR($D1837="",单元查询!$B$3=""),"",IF($D1837&lt;&gt;单元查询!$B$3,"",IF(OR(单元查询!$D$3="",$E1837&amp;""=单元查询!$D$3&amp;""),IF(ISNUMBER($B1837),$B1837*10000,0)+ROW(),"")))</f>
        <v/>
      </c>
      <c r="U1837" s="0" t="str">
        <f aca="false">IF(OR($B1837="",$L1837="已完成"),"",IF(ISNUMBER($B1837),IF(设置!$B$6&lt;$B1837,"",(设置!$B$6-$B1837)*100000+ROW()),""))</f>
        <v/>
      </c>
      <c r="V1837" s="0" t="str">
        <f aca="false">IF(ISNUMBER($O1837),IF($O1837&gt;=2,IF(COUNTIFS($D1837:$D$2006,$D1837,$E1837:$E$2006,$E1837)=1,ROW(),""),""),"")</f>
        <v/>
      </c>
    </row>
    <row r="1838" customFormat="false" ht="15" hidden="false" customHeight="true" outlineLevel="0" collapsed="false">
      <c r="A1838" s="13" t="str">
        <f aca="false">IF(AND($B1838="",$D1838="",$E1838="",$F1838=""),"",IF(OR($B1838="",$D1838="",$E1838=""),"待补",IF($D1838="公共区域","公",IF($D1838="商铺","S",SUBSTITUTE($D1838,"栋","")))&amp;"-"&amp;$E1838&amp;"-"&amp;TEXT(MONTH($B1838),"00")&amp;TEXT(DAY($B1838),"00")&amp;IF(ISNUMBER($O1838),IF($O1838&gt;1,"-"&amp;TEXT($O1838,"00"),""),"")))</f>
        <v/>
      </c>
      <c r="B1838" s="14"/>
      <c r="C1838" s="10"/>
      <c r="D1838" s="10"/>
      <c r="E1838" s="10"/>
      <c r="F1838" s="16"/>
      <c r="G1838" s="10"/>
      <c r="H1838" s="10"/>
      <c r="I1838" s="10"/>
      <c r="J1838" s="10"/>
      <c r="K1838" s="10"/>
      <c r="L1838" s="10"/>
      <c r="M1838" s="14"/>
      <c r="N1838" s="17" t="str">
        <f aca="false">IF($B1838="","",IF($L1838="已完成",IF($M1838="","",$M1838-$B1838),IF(设置!$B$6&lt;$B1838,"",IF((设置!$B$6-$B1838)&gt;=设置!$B$5,"超期"&amp;(设置!$B$6-$B1838)&amp;"天","已等"&amp;(设置!$B$6-$B1838)&amp;"天"))))</f>
        <v/>
      </c>
      <c r="O1838" s="18" t="str">
        <f aca="false">IF(OR($D1838="",$E1838=""),"",COUNTIFS($D$7:$D1838,$D1838,$E$7:$E1838,$E1838))</f>
        <v/>
      </c>
      <c r="P1838" s="16"/>
      <c r="Q1838" s="19"/>
      <c r="R1838" s="10"/>
      <c r="S1838" s="16"/>
      <c r="T1838" s="0" t="str">
        <f aca="false">IF(OR($D1838="",单元查询!$B$3=""),"",IF($D1838&lt;&gt;单元查询!$B$3,"",IF(OR(单元查询!$D$3="",$E1838&amp;""=单元查询!$D$3&amp;""),IF(ISNUMBER($B1838),$B1838*10000,0)+ROW(),"")))</f>
        <v/>
      </c>
      <c r="U1838" s="0" t="str">
        <f aca="false">IF(OR($B1838="",$L1838="已完成"),"",IF(ISNUMBER($B1838),IF(设置!$B$6&lt;$B1838,"",(设置!$B$6-$B1838)*100000+ROW()),""))</f>
        <v/>
      </c>
      <c r="V1838" s="0" t="str">
        <f aca="false">IF(ISNUMBER($O1838),IF($O1838&gt;=2,IF(COUNTIFS($D1838:$D$2006,$D1838,$E1838:$E$2006,$E1838)=1,ROW(),""),""),"")</f>
        <v/>
      </c>
    </row>
    <row r="1839" customFormat="false" ht="15" hidden="false" customHeight="true" outlineLevel="0" collapsed="false">
      <c r="A1839" s="13" t="str">
        <f aca="false">IF(AND($B1839="",$D1839="",$E1839="",$F1839=""),"",IF(OR($B1839="",$D1839="",$E1839=""),"待补",IF($D1839="公共区域","公",IF($D1839="商铺","S",SUBSTITUTE($D1839,"栋","")))&amp;"-"&amp;$E1839&amp;"-"&amp;TEXT(MONTH($B1839),"00")&amp;TEXT(DAY($B1839),"00")&amp;IF(ISNUMBER($O1839),IF($O1839&gt;1,"-"&amp;TEXT($O1839,"00"),""),"")))</f>
        <v/>
      </c>
      <c r="B1839" s="14"/>
      <c r="C1839" s="10"/>
      <c r="D1839" s="10"/>
      <c r="E1839" s="10"/>
      <c r="F1839" s="16"/>
      <c r="G1839" s="10"/>
      <c r="H1839" s="10"/>
      <c r="I1839" s="10"/>
      <c r="J1839" s="10"/>
      <c r="K1839" s="10"/>
      <c r="L1839" s="10"/>
      <c r="M1839" s="14"/>
      <c r="N1839" s="17" t="str">
        <f aca="false">IF($B1839="","",IF($L1839="已完成",IF($M1839="","",$M1839-$B1839),IF(设置!$B$6&lt;$B1839,"",IF((设置!$B$6-$B1839)&gt;=设置!$B$5,"超期"&amp;(设置!$B$6-$B1839)&amp;"天","已等"&amp;(设置!$B$6-$B1839)&amp;"天"))))</f>
        <v/>
      </c>
      <c r="O1839" s="18" t="str">
        <f aca="false">IF(OR($D1839="",$E1839=""),"",COUNTIFS($D$7:$D1839,$D1839,$E$7:$E1839,$E1839))</f>
        <v/>
      </c>
      <c r="P1839" s="16"/>
      <c r="Q1839" s="19"/>
      <c r="R1839" s="10"/>
      <c r="S1839" s="16"/>
      <c r="T1839" s="0" t="str">
        <f aca="false">IF(OR($D1839="",单元查询!$B$3=""),"",IF($D1839&lt;&gt;单元查询!$B$3,"",IF(OR(单元查询!$D$3="",$E1839&amp;""=单元查询!$D$3&amp;""),IF(ISNUMBER($B1839),$B1839*10000,0)+ROW(),"")))</f>
        <v/>
      </c>
      <c r="U1839" s="0" t="str">
        <f aca="false">IF(OR($B1839="",$L1839="已完成"),"",IF(ISNUMBER($B1839),IF(设置!$B$6&lt;$B1839,"",(设置!$B$6-$B1839)*100000+ROW()),""))</f>
        <v/>
      </c>
      <c r="V1839" s="0" t="str">
        <f aca="false">IF(ISNUMBER($O1839),IF($O1839&gt;=2,IF(COUNTIFS($D1839:$D$2006,$D1839,$E1839:$E$2006,$E1839)=1,ROW(),""),""),"")</f>
        <v/>
      </c>
    </row>
    <row r="1840" customFormat="false" ht="15" hidden="false" customHeight="true" outlineLevel="0" collapsed="false">
      <c r="A1840" s="13" t="str">
        <f aca="false">IF(AND($B1840="",$D1840="",$E1840="",$F1840=""),"",IF(OR($B1840="",$D1840="",$E1840=""),"待补",IF($D1840="公共区域","公",IF($D1840="商铺","S",SUBSTITUTE($D1840,"栋","")))&amp;"-"&amp;$E1840&amp;"-"&amp;TEXT(MONTH($B1840),"00")&amp;TEXT(DAY($B1840),"00")&amp;IF(ISNUMBER($O1840),IF($O1840&gt;1,"-"&amp;TEXT($O1840,"00"),""),"")))</f>
        <v/>
      </c>
      <c r="B1840" s="14"/>
      <c r="C1840" s="10"/>
      <c r="D1840" s="10"/>
      <c r="E1840" s="10"/>
      <c r="F1840" s="16"/>
      <c r="G1840" s="10"/>
      <c r="H1840" s="10"/>
      <c r="I1840" s="10"/>
      <c r="J1840" s="10"/>
      <c r="K1840" s="10"/>
      <c r="L1840" s="10"/>
      <c r="M1840" s="14"/>
      <c r="N1840" s="17" t="str">
        <f aca="false">IF($B1840="","",IF($L1840="已完成",IF($M1840="","",$M1840-$B1840),IF(设置!$B$6&lt;$B1840,"",IF((设置!$B$6-$B1840)&gt;=设置!$B$5,"超期"&amp;(设置!$B$6-$B1840)&amp;"天","已等"&amp;(设置!$B$6-$B1840)&amp;"天"))))</f>
        <v/>
      </c>
      <c r="O1840" s="18" t="str">
        <f aca="false">IF(OR($D1840="",$E1840=""),"",COUNTIFS($D$7:$D1840,$D1840,$E$7:$E1840,$E1840))</f>
        <v/>
      </c>
      <c r="P1840" s="16"/>
      <c r="Q1840" s="19"/>
      <c r="R1840" s="10"/>
      <c r="S1840" s="16"/>
      <c r="T1840" s="0" t="str">
        <f aca="false">IF(OR($D1840="",单元查询!$B$3=""),"",IF($D1840&lt;&gt;单元查询!$B$3,"",IF(OR(单元查询!$D$3="",$E1840&amp;""=单元查询!$D$3&amp;""),IF(ISNUMBER($B1840),$B1840*10000,0)+ROW(),"")))</f>
        <v/>
      </c>
      <c r="U1840" s="0" t="str">
        <f aca="false">IF(OR($B1840="",$L1840="已完成"),"",IF(ISNUMBER($B1840),IF(设置!$B$6&lt;$B1840,"",(设置!$B$6-$B1840)*100000+ROW()),""))</f>
        <v/>
      </c>
      <c r="V1840" s="0" t="str">
        <f aca="false">IF(ISNUMBER($O1840),IF($O1840&gt;=2,IF(COUNTIFS($D1840:$D$2006,$D1840,$E1840:$E$2006,$E1840)=1,ROW(),""),""),"")</f>
        <v/>
      </c>
    </row>
    <row r="1841" customFormat="false" ht="15" hidden="false" customHeight="true" outlineLevel="0" collapsed="false">
      <c r="A1841" s="13" t="str">
        <f aca="false">IF(AND($B1841="",$D1841="",$E1841="",$F1841=""),"",IF(OR($B1841="",$D1841="",$E1841=""),"待补",IF($D1841="公共区域","公",IF($D1841="商铺","S",SUBSTITUTE($D1841,"栋","")))&amp;"-"&amp;$E1841&amp;"-"&amp;TEXT(MONTH($B1841),"00")&amp;TEXT(DAY($B1841),"00")&amp;IF(ISNUMBER($O1841),IF($O1841&gt;1,"-"&amp;TEXT($O1841,"00"),""),"")))</f>
        <v/>
      </c>
      <c r="B1841" s="14"/>
      <c r="C1841" s="10"/>
      <c r="D1841" s="10"/>
      <c r="E1841" s="10"/>
      <c r="F1841" s="16"/>
      <c r="G1841" s="10"/>
      <c r="H1841" s="10"/>
      <c r="I1841" s="10"/>
      <c r="J1841" s="10"/>
      <c r="K1841" s="10"/>
      <c r="L1841" s="10"/>
      <c r="M1841" s="14"/>
      <c r="N1841" s="17" t="str">
        <f aca="false">IF($B1841="","",IF($L1841="已完成",IF($M1841="","",$M1841-$B1841),IF(设置!$B$6&lt;$B1841,"",IF((设置!$B$6-$B1841)&gt;=设置!$B$5,"超期"&amp;(设置!$B$6-$B1841)&amp;"天","已等"&amp;(设置!$B$6-$B1841)&amp;"天"))))</f>
        <v/>
      </c>
      <c r="O1841" s="18" t="str">
        <f aca="false">IF(OR($D1841="",$E1841=""),"",COUNTIFS($D$7:$D1841,$D1841,$E$7:$E1841,$E1841))</f>
        <v/>
      </c>
      <c r="P1841" s="16"/>
      <c r="Q1841" s="19"/>
      <c r="R1841" s="10"/>
      <c r="S1841" s="16"/>
      <c r="T1841" s="0" t="str">
        <f aca="false">IF(OR($D1841="",单元查询!$B$3=""),"",IF($D1841&lt;&gt;单元查询!$B$3,"",IF(OR(单元查询!$D$3="",$E1841&amp;""=单元查询!$D$3&amp;""),IF(ISNUMBER($B1841),$B1841*10000,0)+ROW(),"")))</f>
        <v/>
      </c>
      <c r="U1841" s="0" t="str">
        <f aca="false">IF(OR($B1841="",$L1841="已完成"),"",IF(ISNUMBER($B1841),IF(设置!$B$6&lt;$B1841,"",(设置!$B$6-$B1841)*100000+ROW()),""))</f>
        <v/>
      </c>
      <c r="V1841" s="0" t="str">
        <f aca="false">IF(ISNUMBER($O1841),IF($O1841&gt;=2,IF(COUNTIFS($D1841:$D$2006,$D1841,$E1841:$E$2006,$E1841)=1,ROW(),""),""),"")</f>
        <v/>
      </c>
    </row>
    <row r="1842" customFormat="false" ht="15" hidden="false" customHeight="true" outlineLevel="0" collapsed="false">
      <c r="A1842" s="13" t="str">
        <f aca="false">IF(AND($B1842="",$D1842="",$E1842="",$F1842=""),"",IF(OR($B1842="",$D1842="",$E1842=""),"待补",IF($D1842="公共区域","公",IF($D1842="商铺","S",SUBSTITUTE($D1842,"栋","")))&amp;"-"&amp;$E1842&amp;"-"&amp;TEXT(MONTH($B1842),"00")&amp;TEXT(DAY($B1842),"00")&amp;IF(ISNUMBER($O1842),IF($O1842&gt;1,"-"&amp;TEXT($O1842,"00"),""),"")))</f>
        <v/>
      </c>
      <c r="B1842" s="14"/>
      <c r="C1842" s="10"/>
      <c r="D1842" s="10"/>
      <c r="E1842" s="10"/>
      <c r="F1842" s="16"/>
      <c r="G1842" s="10"/>
      <c r="H1842" s="10"/>
      <c r="I1842" s="10"/>
      <c r="J1842" s="10"/>
      <c r="K1842" s="10"/>
      <c r="L1842" s="10"/>
      <c r="M1842" s="14"/>
      <c r="N1842" s="17" t="str">
        <f aca="false">IF($B1842="","",IF($L1842="已完成",IF($M1842="","",$M1842-$B1842),IF(设置!$B$6&lt;$B1842,"",IF((设置!$B$6-$B1842)&gt;=设置!$B$5,"超期"&amp;(设置!$B$6-$B1842)&amp;"天","已等"&amp;(设置!$B$6-$B1842)&amp;"天"))))</f>
        <v/>
      </c>
      <c r="O1842" s="18" t="str">
        <f aca="false">IF(OR($D1842="",$E1842=""),"",COUNTIFS($D$7:$D1842,$D1842,$E$7:$E1842,$E1842))</f>
        <v/>
      </c>
      <c r="P1842" s="16"/>
      <c r="Q1842" s="19"/>
      <c r="R1842" s="10"/>
      <c r="S1842" s="16"/>
      <c r="T1842" s="0" t="str">
        <f aca="false">IF(OR($D1842="",单元查询!$B$3=""),"",IF($D1842&lt;&gt;单元查询!$B$3,"",IF(OR(单元查询!$D$3="",$E1842&amp;""=单元查询!$D$3&amp;""),IF(ISNUMBER($B1842),$B1842*10000,0)+ROW(),"")))</f>
        <v/>
      </c>
      <c r="U1842" s="0" t="str">
        <f aca="false">IF(OR($B1842="",$L1842="已完成"),"",IF(ISNUMBER($B1842),IF(设置!$B$6&lt;$B1842,"",(设置!$B$6-$B1842)*100000+ROW()),""))</f>
        <v/>
      </c>
      <c r="V1842" s="0" t="str">
        <f aca="false">IF(ISNUMBER($O1842),IF($O1842&gt;=2,IF(COUNTIFS($D1842:$D$2006,$D1842,$E1842:$E$2006,$E1842)=1,ROW(),""),""),"")</f>
        <v/>
      </c>
    </row>
    <row r="1843" customFormat="false" ht="15" hidden="false" customHeight="true" outlineLevel="0" collapsed="false">
      <c r="A1843" s="13" t="str">
        <f aca="false">IF(AND($B1843="",$D1843="",$E1843="",$F1843=""),"",IF(OR($B1843="",$D1843="",$E1843=""),"待补",IF($D1843="公共区域","公",IF($D1843="商铺","S",SUBSTITUTE($D1843,"栋","")))&amp;"-"&amp;$E1843&amp;"-"&amp;TEXT(MONTH($B1843),"00")&amp;TEXT(DAY($B1843),"00")&amp;IF(ISNUMBER($O1843),IF($O1843&gt;1,"-"&amp;TEXT($O1843,"00"),""),"")))</f>
        <v/>
      </c>
      <c r="B1843" s="14"/>
      <c r="C1843" s="10"/>
      <c r="D1843" s="10"/>
      <c r="E1843" s="10"/>
      <c r="F1843" s="16"/>
      <c r="G1843" s="10"/>
      <c r="H1843" s="10"/>
      <c r="I1843" s="10"/>
      <c r="J1843" s="10"/>
      <c r="K1843" s="10"/>
      <c r="L1843" s="10"/>
      <c r="M1843" s="14"/>
      <c r="N1843" s="17" t="str">
        <f aca="false">IF($B1843="","",IF($L1843="已完成",IF($M1843="","",$M1843-$B1843),IF(设置!$B$6&lt;$B1843,"",IF((设置!$B$6-$B1843)&gt;=设置!$B$5,"超期"&amp;(设置!$B$6-$B1843)&amp;"天","已等"&amp;(设置!$B$6-$B1843)&amp;"天"))))</f>
        <v/>
      </c>
      <c r="O1843" s="18" t="str">
        <f aca="false">IF(OR($D1843="",$E1843=""),"",COUNTIFS($D$7:$D1843,$D1843,$E$7:$E1843,$E1843))</f>
        <v/>
      </c>
      <c r="P1843" s="16"/>
      <c r="Q1843" s="19"/>
      <c r="R1843" s="10"/>
      <c r="S1843" s="16"/>
      <c r="T1843" s="0" t="str">
        <f aca="false">IF(OR($D1843="",单元查询!$B$3=""),"",IF($D1843&lt;&gt;单元查询!$B$3,"",IF(OR(单元查询!$D$3="",$E1843&amp;""=单元查询!$D$3&amp;""),IF(ISNUMBER($B1843),$B1843*10000,0)+ROW(),"")))</f>
        <v/>
      </c>
      <c r="U1843" s="0" t="str">
        <f aca="false">IF(OR($B1843="",$L1843="已完成"),"",IF(ISNUMBER($B1843),IF(设置!$B$6&lt;$B1843,"",(设置!$B$6-$B1843)*100000+ROW()),""))</f>
        <v/>
      </c>
      <c r="V1843" s="0" t="str">
        <f aca="false">IF(ISNUMBER($O1843),IF($O1843&gt;=2,IF(COUNTIFS($D1843:$D$2006,$D1843,$E1843:$E$2006,$E1843)=1,ROW(),""),""),"")</f>
        <v/>
      </c>
    </row>
    <row r="1844" customFormat="false" ht="15" hidden="false" customHeight="true" outlineLevel="0" collapsed="false">
      <c r="A1844" s="13" t="str">
        <f aca="false">IF(AND($B1844="",$D1844="",$E1844="",$F1844=""),"",IF(OR($B1844="",$D1844="",$E1844=""),"待补",IF($D1844="公共区域","公",IF($D1844="商铺","S",SUBSTITUTE($D1844,"栋","")))&amp;"-"&amp;$E1844&amp;"-"&amp;TEXT(MONTH($B1844),"00")&amp;TEXT(DAY($B1844),"00")&amp;IF(ISNUMBER($O1844),IF($O1844&gt;1,"-"&amp;TEXT($O1844,"00"),""),"")))</f>
        <v/>
      </c>
      <c r="B1844" s="14"/>
      <c r="C1844" s="10"/>
      <c r="D1844" s="10"/>
      <c r="E1844" s="10"/>
      <c r="F1844" s="16"/>
      <c r="G1844" s="10"/>
      <c r="H1844" s="10"/>
      <c r="I1844" s="10"/>
      <c r="J1844" s="10"/>
      <c r="K1844" s="10"/>
      <c r="L1844" s="10"/>
      <c r="M1844" s="14"/>
      <c r="N1844" s="17" t="str">
        <f aca="false">IF($B1844="","",IF($L1844="已完成",IF($M1844="","",$M1844-$B1844),IF(设置!$B$6&lt;$B1844,"",IF((设置!$B$6-$B1844)&gt;=设置!$B$5,"超期"&amp;(设置!$B$6-$B1844)&amp;"天","已等"&amp;(设置!$B$6-$B1844)&amp;"天"))))</f>
        <v/>
      </c>
      <c r="O1844" s="18" t="str">
        <f aca="false">IF(OR($D1844="",$E1844=""),"",COUNTIFS($D$7:$D1844,$D1844,$E$7:$E1844,$E1844))</f>
        <v/>
      </c>
      <c r="P1844" s="16"/>
      <c r="Q1844" s="19"/>
      <c r="R1844" s="10"/>
      <c r="S1844" s="16"/>
      <c r="T1844" s="0" t="str">
        <f aca="false">IF(OR($D1844="",单元查询!$B$3=""),"",IF($D1844&lt;&gt;单元查询!$B$3,"",IF(OR(单元查询!$D$3="",$E1844&amp;""=单元查询!$D$3&amp;""),IF(ISNUMBER($B1844),$B1844*10000,0)+ROW(),"")))</f>
        <v/>
      </c>
      <c r="U1844" s="0" t="str">
        <f aca="false">IF(OR($B1844="",$L1844="已完成"),"",IF(ISNUMBER($B1844),IF(设置!$B$6&lt;$B1844,"",(设置!$B$6-$B1844)*100000+ROW()),""))</f>
        <v/>
      </c>
      <c r="V1844" s="0" t="str">
        <f aca="false">IF(ISNUMBER($O1844),IF($O1844&gt;=2,IF(COUNTIFS($D1844:$D$2006,$D1844,$E1844:$E$2006,$E1844)=1,ROW(),""),""),"")</f>
        <v/>
      </c>
    </row>
    <row r="1845" customFormat="false" ht="15" hidden="false" customHeight="true" outlineLevel="0" collapsed="false">
      <c r="A1845" s="13" t="str">
        <f aca="false">IF(AND($B1845="",$D1845="",$E1845="",$F1845=""),"",IF(OR($B1845="",$D1845="",$E1845=""),"待补",IF($D1845="公共区域","公",IF($D1845="商铺","S",SUBSTITUTE($D1845,"栋","")))&amp;"-"&amp;$E1845&amp;"-"&amp;TEXT(MONTH($B1845),"00")&amp;TEXT(DAY($B1845),"00")&amp;IF(ISNUMBER($O1845),IF($O1845&gt;1,"-"&amp;TEXT($O1845,"00"),""),"")))</f>
        <v/>
      </c>
      <c r="B1845" s="14"/>
      <c r="C1845" s="10"/>
      <c r="D1845" s="10"/>
      <c r="E1845" s="10"/>
      <c r="F1845" s="16"/>
      <c r="G1845" s="10"/>
      <c r="H1845" s="10"/>
      <c r="I1845" s="10"/>
      <c r="J1845" s="10"/>
      <c r="K1845" s="10"/>
      <c r="L1845" s="10"/>
      <c r="M1845" s="14"/>
      <c r="N1845" s="17" t="str">
        <f aca="false">IF($B1845="","",IF($L1845="已完成",IF($M1845="","",$M1845-$B1845),IF(设置!$B$6&lt;$B1845,"",IF((设置!$B$6-$B1845)&gt;=设置!$B$5,"超期"&amp;(设置!$B$6-$B1845)&amp;"天","已等"&amp;(设置!$B$6-$B1845)&amp;"天"))))</f>
        <v/>
      </c>
      <c r="O1845" s="18" t="str">
        <f aca="false">IF(OR($D1845="",$E1845=""),"",COUNTIFS($D$7:$D1845,$D1845,$E$7:$E1845,$E1845))</f>
        <v/>
      </c>
      <c r="P1845" s="16"/>
      <c r="Q1845" s="19"/>
      <c r="R1845" s="10"/>
      <c r="S1845" s="16"/>
      <c r="T1845" s="0" t="str">
        <f aca="false">IF(OR($D1845="",单元查询!$B$3=""),"",IF($D1845&lt;&gt;单元查询!$B$3,"",IF(OR(单元查询!$D$3="",$E1845&amp;""=单元查询!$D$3&amp;""),IF(ISNUMBER($B1845),$B1845*10000,0)+ROW(),"")))</f>
        <v/>
      </c>
      <c r="U1845" s="0" t="str">
        <f aca="false">IF(OR($B1845="",$L1845="已完成"),"",IF(ISNUMBER($B1845),IF(设置!$B$6&lt;$B1845,"",(设置!$B$6-$B1845)*100000+ROW()),""))</f>
        <v/>
      </c>
      <c r="V1845" s="0" t="str">
        <f aca="false">IF(ISNUMBER($O1845),IF($O1845&gt;=2,IF(COUNTIFS($D1845:$D$2006,$D1845,$E1845:$E$2006,$E1845)=1,ROW(),""),""),"")</f>
        <v/>
      </c>
    </row>
    <row r="1846" customFormat="false" ht="15" hidden="false" customHeight="true" outlineLevel="0" collapsed="false">
      <c r="A1846" s="13" t="str">
        <f aca="false">IF(AND($B1846="",$D1846="",$E1846="",$F1846=""),"",IF(OR($B1846="",$D1846="",$E1846=""),"待补",IF($D1846="公共区域","公",IF($D1846="商铺","S",SUBSTITUTE($D1846,"栋","")))&amp;"-"&amp;$E1846&amp;"-"&amp;TEXT(MONTH($B1846),"00")&amp;TEXT(DAY($B1846),"00")&amp;IF(ISNUMBER($O1846),IF($O1846&gt;1,"-"&amp;TEXT($O1846,"00"),""),"")))</f>
        <v/>
      </c>
      <c r="B1846" s="14"/>
      <c r="C1846" s="10"/>
      <c r="D1846" s="10"/>
      <c r="E1846" s="10"/>
      <c r="F1846" s="16"/>
      <c r="G1846" s="10"/>
      <c r="H1846" s="10"/>
      <c r="I1846" s="10"/>
      <c r="J1846" s="10"/>
      <c r="K1846" s="10"/>
      <c r="L1846" s="10"/>
      <c r="M1846" s="14"/>
      <c r="N1846" s="17" t="str">
        <f aca="false">IF($B1846="","",IF($L1846="已完成",IF($M1846="","",$M1846-$B1846),IF(设置!$B$6&lt;$B1846,"",IF((设置!$B$6-$B1846)&gt;=设置!$B$5,"超期"&amp;(设置!$B$6-$B1846)&amp;"天","已等"&amp;(设置!$B$6-$B1846)&amp;"天"))))</f>
        <v/>
      </c>
      <c r="O1846" s="18" t="str">
        <f aca="false">IF(OR($D1846="",$E1846=""),"",COUNTIFS($D$7:$D1846,$D1846,$E$7:$E1846,$E1846))</f>
        <v/>
      </c>
      <c r="P1846" s="16"/>
      <c r="Q1846" s="19"/>
      <c r="R1846" s="10"/>
      <c r="S1846" s="16"/>
      <c r="T1846" s="0" t="str">
        <f aca="false">IF(OR($D1846="",单元查询!$B$3=""),"",IF($D1846&lt;&gt;单元查询!$B$3,"",IF(OR(单元查询!$D$3="",$E1846&amp;""=单元查询!$D$3&amp;""),IF(ISNUMBER($B1846),$B1846*10000,0)+ROW(),"")))</f>
        <v/>
      </c>
      <c r="U1846" s="0" t="str">
        <f aca="false">IF(OR($B1846="",$L1846="已完成"),"",IF(ISNUMBER($B1846),IF(设置!$B$6&lt;$B1846,"",(设置!$B$6-$B1846)*100000+ROW()),""))</f>
        <v/>
      </c>
      <c r="V1846" s="0" t="str">
        <f aca="false">IF(ISNUMBER($O1846),IF($O1846&gt;=2,IF(COUNTIFS($D1846:$D$2006,$D1846,$E1846:$E$2006,$E1846)=1,ROW(),""),""),"")</f>
        <v/>
      </c>
    </row>
    <row r="1847" customFormat="false" ht="15" hidden="false" customHeight="true" outlineLevel="0" collapsed="false">
      <c r="A1847" s="13" t="str">
        <f aca="false">IF(AND($B1847="",$D1847="",$E1847="",$F1847=""),"",IF(OR($B1847="",$D1847="",$E1847=""),"待补",IF($D1847="公共区域","公",IF($D1847="商铺","S",SUBSTITUTE($D1847,"栋","")))&amp;"-"&amp;$E1847&amp;"-"&amp;TEXT(MONTH($B1847),"00")&amp;TEXT(DAY($B1847),"00")&amp;IF(ISNUMBER($O1847),IF($O1847&gt;1,"-"&amp;TEXT($O1847,"00"),""),"")))</f>
        <v/>
      </c>
      <c r="B1847" s="14"/>
      <c r="C1847" s="10"/>
      <c r="D1847" s="10"/>
      <c r="E1847" s="10"/>
      <c r="F1847" s="16"/>
      <c r="G1847" s="10"/>
      <c r="H1847" s="10"/>
      <c r="I1847" s="10"/>
      <c r="J1847" s="10"/>
      <c r="K1847" s="10"/>
      <c r="L1847" s="10"/>
      <c r="M1847" s="14"/>
      <c r="N1847" s="17" t="str">
        <f aca="false">IF($B1847="","",IF($L1847="已完成",IF($M1847="","",$M1847-$B1847),IF(设置!$B$6&lt;$B1847,"",IF((设置!$B$6-$B1847)&gt;=设置!$B$5,"超期"&amp;(设置!$B$6-$B1847)&amp;"天","已等"&amp;(设置!$B$6-$B1847)&amp;"天"))))</f>
        <v/>
      </c>
      <c r="O1847" s="18" t="str">
        <f aca="false">IF(OR($D1847="",$E1847=""),"",COUNTIFS($D$7:$D1847,$D1847,$E$7:$E1847,$E1847))</f>
        <v/>
      </c>
      <c r="P1847" s="16"/>
      <c r="Q1847" s="19"/>
      <c r="R1847" s="10"/>
      <c r="S1847" s="16"/>
      <c r="T1847" s="0" t="str">
        <f aca="false">IF(OR($D1847="",单元查询!$B$3=""),"",IF($D1847&lt;&gt;单元查询!$B$3,"",IF(OR(单元查询!$D$3="",$E1847&amp;""=单元查询!$D$3&amp;""),IF(ISNUMBER($B1847),$B1847*10000,0)+ROW(),"")))</f>
        <v/>
      </c>
      <c r="U1847" s="0" t="str">
        <f aca="false">IF(OR($B1847="",$L1847="已完成"),"",IF(ISNUMBER($B1847),IF(设置!$B$6&lt;$B1847,"",(设置!$B$6-$B1847)*100000+ROW()),""))</f>
        <v/>
      </c>
      <c r="V1847" s="0" t="str">
        <f aca="false">IF(ISNUMBER($O1847),IF($O1847&gt;=2,IF(COUNTIFS($D1847:$D$2006,$D1847,$E1847:$E$2006,$E1847)=1,ROW(),""),""),"")</f>
        <v/>
      </c>
    </row>
    <row r="1848" customFormat="false" ht="15" hidden="false" customHeight="true" outlineLevel="0" collapsed="false">
      <c r="A1848" s="13" t="str">
        <f aca="false">IF(AND($B1848="",$D1848="",$E1848="",$F1848=""),"",IF(OR($B1848="",$D1848="",$E1848=""),"待补",IF($D1848="公共区域","公",IF($D1848="商铺","S",SUBSTITUTE($D1848,"栋","")))&amp;"-"&amp;$E1848&amp;"-"&amp;TEXT(MONTH($B1848),"00")&amp;TEXT(DAY($B1848),"00")&amp;IF(ISNUMBER($O1848),IF($O1848&gt;1,"-"&amp;TEXT($O1848,"00"),""),"")))</f>
        <v/>
      </c>
      <c r="B1848" s="14"/>
      <c r="C1848" s="10"/>
      <c r="D1848" s="10"/>
      <c r="E1848" s="10"/>
      <c r="F1848" s="16"/>
      <c r="G1848" s="10"/>
      <c r="H1848" s="10"/>
      <c r="I1848" s="10"/>
      <c r="J1848" s="10"/>
      <c r="K1848" s="10"/>
      <c r="L1848" s="10"/>
      <c r="M1848" s="14"/>
      <c r="N1848" s="17" t="str">
        <f aca="false">IF($B1848="","",IF($L1848="已完成",IF($M1848="","",$M1848-$B1848),IF(设置!$B$6&lt;$B1848,"",IF((设置!$B$6-$B1848)&gt;=设置!$B$5,"超期"&amp;(设置!$B$6-$B1848)&amp;"天","已等"&amp;(设置!$B$6-$B1848)&amp;"天"))))</f>
        <v/>
      </c>
      <c r="O1848" s="18" t="str">
        <f aca="false">IF(OR($D1848="",$E1848=""),"",COUNTIFS($D$7:$D1848,$D1848,$E$7:$E1848,$E1848))</f>
        <v/>
      </c>
      <c r="P1848" s="16"/>
      <c r="Q1848" s="19"/>
      <c r="R1848" s="10"/>
      <c r="S1848" s="16"/>
      <c r="T1848" s="0" t="str">
        <f aca="false">IF(OR($D1848="",单元查询!$B$3=""),"",IF($D1848&lt;&gt;单元查询!$B$3,"",IF(OR(单元查询!$D$3="",$E1848&amp;""=单元查询!$D$3&amp;""),IF(ISNUMBER($B1848),$B1848*10000,0)+ROW(),"")))</f>
        <v/>
      </c>
      <c r="U1848" s="0" t="str">
        <f aca="false">IF(OR($B1848="",$L1848="已完成"),"",IF(ISNUMBER($B1848),IF(设置!$B$6&lt;$B1848,"",(设置!$B$6-$B1848)*100000+ROW()),""))</f>
        <v/>
      </c>
      <c r="V1848" s="0" t="str">
        <f aca="false">IF(ISNUMBER($O1848),IF($O1848&gt;=2,IF(COUNTIFS($D1848:$D$2006,$D1848,$E1848:$E$2006,$E1848)=1,ROW(),""),""),"")</f>
        <v/>
      </c>
    </row>
    <row r="1849" customFormat="false" ht="15" hidden="false" customHeight="true" outlineLevel="0" collapsed="false">
      <c r="A1849" s="13" t="str">
        <f aca="false">IF(AND($B1849="",$D1849="",$E1849="",$F1849=""),"",IF(OR($B1849="",$D1849="",$E1849=""),"待补",IF($D1849="公共区域","公",IF($D1849="商铺","S",SUBSTITUTE($D1849,"栋","")))&amp;"-"&amp;$E1849&amp;"-"&amp;TEXT(MONTH($B1849),"00")&amp;TEXT(DAY($B1849),"00")&amp;IF(ISNUMBER($O1849),IF($O1849&gt;1,"-"&amp;TEXT($O1849,"00"),""),"")))</f>
        <v/>
      </c>
      <c r="B1849" s="14"/>
      <c r="C1849" s="10"/>
      <c r="D1849" s="10"/>
      <c r="E1849" s="10"/>
      <c r="F1849" s="16"/>
      <c r="G1849" s="10"/>
      <c r="H1849" s="10"/>
      <c r="I1849" s="10"/>
      <c r="J1849" s="10"/>
      <c r="K1849" s="10"/>
      <c r="L1849" s="10"/>
      <c r="M1849" s="14"/>
      <c r="N1849" s="17" t="str">
        <f aca="false">IF($B1849="","",IF($L1849="已完成",IF($M1849="","",$M1849-$B1849),IF(设置!$B$6&lt;$B1849,"",IF((设置!$B$6-$B1849)&gt;=设置!$B$5,"超期"&amp;(设置!$B$6-$B1849)&amp;"天","已等"&amp;(设置!$B$6-$B1849)&amp;"天"))))</f>
        <v/>
      </c>
      <c r="O1849" s="18" t="str">
        <f aca="false">IF(OR($D1849="",$E1849=""),"",COUNTIFS($D$7:$D1849,$D1849,$E$7:$E1849,$E1849))</f>
        <v/>
      </c>
      <c r="P1849" s="16"/>
      <c r="Q1849" s="19"/>
      <c r="R1849" s="10"/>
      <c r="S1849" s="16"/>
      <c r="T1849" s="0" t="str">
        <f aca="false">IF(OR($D1849="",单元查询!$B$3=""),"",IF($D1849&lt;&gt;单元查询!$B$3,"",IF(OR(单元查询!$D$3="",$E1849&amp;""=单元查询!$D$3&amp;""),IF(ISNUMBER($B1849),$B1849*10000,0)+ROW(),"")))</f>
        <v/>
      </c>
      <c r="U1849" s="0" t="str">
        <f aca="false">IF(OR($B1849="",$L1849="已完成"),"",IF(ISNUMBER($B1849),IF(设置!$B$6&lt;$B1849,"",(设置!$B$6-$B1849)*100000+ROW()),""))</f>
        <v/>
      </c>
      <c r="V1849" s="0" t="str">
        <f aca="false">IF(ISNUMBER($O1849),IF($O1849&gt;=2,IF(COUNTIFS($D1849:$D$2006,$D1849,$E1849:$E$2006,$E1849)=1,ROW(),""),""),"")</f>
        <v/>
      </c>
    </row>
    <row r="1850" customFormat="false" ht="15" hidden="false" customHeight="true" outlineLevel="0" collapsed="false">
      <c r="A1850" s="13" t="str">
        <f aca="false">IF(AND($B1850="",$D1850="",$E1850="",$F1850=""),"",IF(OR($B1850="",$D1850="",$E1850=""),"待补",IF($D1850="公共区域","公",IF($D1850="商铺","S",SUBSTITUTE($D1850,"栋","")))&amp;"-"&amp;$E1850&amp;"-"&amp;TEXT(MONTH($B1850),"00")&amp;TEXT(DAY($B1850),"00")&amp;IF(ISNUMBER($O1850),IF($O1850&gt;1,"-"&amp;TEXT($O1850,"00"),""),"")))</f>
        <v/>
      </c>
      <c r="B1850" s="14"/>
      <c r="C1850" s="10"/>
      <c r="D1850" s="10"/>
      <c r="E1850" s="10"/>
      <c r="F1850" s="16"/>
      <c r="G1850" s="10"/>
      <c r="H1850" s="10"/>
      <c r="I1850" s="10"/>
      <c r="J1850" s="10"/>
      <c r="K1850" s="10"/>
      <c r="L1850" s="10"/>
      <c r="M1850" s="14"/>
      <c r="N1850" s="17" t="str">
        <f aca="false">IF($B1850="","",IF($L1850="已完成",IF($M1850="","",$M1850-$B1850),IF(设置!$B$6&lt;$B1850,"",IF((设置!$B$6-$B1850)&gt;=设置!$B$5,"超期"&amp;(设置!$B$6-$B1850)&amp;"天","已等"&amp;(设置!$B$6-$B1850)&amp;"天"))))</f>
        <v/>
      </c>
      <c r="O1850" s="18" t="str">
        <f aca="false">IF(OR($D1850="",$E1850=""),"",COUNTIFS($D$7:$D1850,$D1850,$E$7:$E1850,$E1850))</f>
        <v/>
      </c>
      <c r="P1850" s="16"/>
      <c r="Q1850" s="19"/>
      <c r="R1850" s="10"/>
      <c r="S1850" s="16"/>
      <c r="T1850" s="0" t="str">
        <f aca="false">IF(OR($D1850="",单元查询!$B$3=""),"",IF($D1850&lt;&gt;单元查询!$B$3,"",IF(OR(单元查询!$D$3="",$E1850&amp;""=单元查询!$D$3&amp;""),IF(ISNUMBER($B1850),$B1850*10000,0)+ROW(),"")))</f>
        <v/>
      </c>
      <c r="U1850" s="0" t="str">
        <f aca="false">IF(OR($B1850="",$L1850="已完成"),"",IF(ISNUMBER($B1850),IF(设置!$B$6&lt;$B1850,"",(设置!$B$6-$B1850)*100000+ROW()),""))</f>
        <v/>
      </c>
      <c r="V1850" s="0" t="str">
        <f aca="false">IF(ISNUMBER($O1850),IF($O1850&gt;=2,IF(COUNTIFS($D1850:$D$2006,$D1850,$E1850:$E$2006,$E1850)=1,ROW(),""),""),"")</f>
        <v/>
      </c>
    </row>
    <row r="1851" customFormat="false" ht="15" hidden="false" customHeight="true" outlineLevel="0" collapsed="false">
      <c r="A1851" s="13" t="str">
        <f aca="false">IF(AND($B1851="",$D1851="",$E1851="",$F1851=""),"",IF(OR($B1851="",$D1851="",$E1851=""),"待补",IF($D1851="公共区域","公",IF($D1851="商铺","S",SUBSTITUTE($D1851,"栋","")))&amp;"-"&amp;$E1851&amp;"-"&amp;TEXT(MONTH($B1851),"00")&amp;TEXT(DAY($B1851),"00")&amp;IF(ISNUMBER($O1851),IF($O1851&gt;1,"-"&amp;TEXT($O1851,"00"),""),"")))</f>
        <v/>
      </c>
      <c r="B1851" s="14"/>
      <c r="C1851" s="10"/>
      <c r="D1851" s="10"/>
      <c r="E1851" s="10"/>
      <c r="F1851" s="16"/>
      <c r="G1851" s="10"/>
      <c r="H1851" s="10"/>
      <c r="I1851" s="10"/>
      <c r="J1851" s="10"/>
      <c r="K1851" s="10"/>
      <c r="L1851" s="10"/>
      <c r="M1851" s="14"/>
      <c r="N1851" s="17" t="str">
        <f aca="false">IF($B1851="","",IF($L1851="已完成",IF($M1851="","",$M1851-$B1851),IF(设置!$B$6&lt;$B1851,"",IF((设置!$B$6-$B1851)&gt;=设置!$B$5,"超期"&amp;(设置!$B$6-$B1851)&amp;"天","已等"&amp;(设置!$B$6-$B1851)&amp;"天"))))</f>
        <v/>
      </c>
      <c r="O1851" s="18" t="str">
        <f aca="false">IF(OR($D1851="",$E1851=""),"",COUNTIFS($D$7:$D1851,$D1851,$E$7:$E1851,$E1851))</f>
        <v/>
      </c>
      <c r="P1851" s="16"/>
      <c r="Q1851" s="19"/>
      <c r="R1851" s="10"/>
      <c r="S1851" s="16"/>
      <c r="T1851" s="0" t="str">
        <f aca="false">IF(OR($D1851="",单元查询!$B$3=""),"",IF($D1851&lt;&gt;单元查询!$B$3,"",IF(OR(单元查询!$D$3="",$E1851&amp;""=单元查询!$D$3&amp;""),IF(ISNUMBER($B1851),$B1851*10000,0)+ROW(),"")))</f>
        <v/>
      </c>
      <c r="U1851" s="0" t="str">
        <f aca="false">IF(OR($B1851="",$L1851="已完成"),"",IF(ISNUMBER($B1851),IF(设置!$B$6&lt;$B1851,"",(设置!$B$6-$B1851)*100000+ROW()),""))</f>
        <v/>
      </c>
      <c r="V1851" s="0" t="str">
        <f aca="false">IF(ISNUMBER($O1851),IF($O1851&gt;=2,IF(COUNTIFS($D1851:$D$2006,$D1851,$E1851:$E$2006,$E1851)=1,ROW(),""),""),"")</f>
        <v/>
      </c>
    </row>
    <row r="1852" customFormat="false" ht="15" hidden="false" customHeight="true" outlineLevel="0" collapsed="false">
      <c r="A1852" s="13" t="str">
        <f aca="false">IF(AND($B1852="",$D1852="",$E1852="",$F1852=""),"",IF(OR($B1852="",$D1852="",$E1852=""),"待补",IF($D1852="公共区域","公",IF($D1852="商铺","S",SUBSTITUTE($D1852,"栋","")))&amp;"-"&amp;$E1852&amp;"-"&amp;TEXT(MONTH($B1852),"00")&amp;TEXT(DAY($B1852),"00")&amp;IF(ISNUMBER($O1852),IF($O1852&gt;1,"-"&amp;TEXT($O1852,"00"),""),"")))</f>
        <v/>
      </c>
      <c r="B1852" s="14"/>
      <c r="C1852" s="10"/>
      <c r="D1852" s="10"/>
      <c r="E1852" s="10"/>
      <c r="F1852" s="16"/>
      <c r="G1852" s="10"/>
      <c r="H1852" s="10"/>
      <c r="I1852" s="10"/>
      <c r="J1852" s="10"/>
      <c r="K1852" s="10"/>
      <c r="L1852" s="10"/>
      <c r="M1852" s="14"/>
      <c r="N1852" s="17" t="str">
        <f aca="false">IF($B1852="","",IF($L1852="已完成",IF($M1852="","",$M1852-$B1852),IF(设置!$B$6&lt;$B1852,"",IF((设置!$B$6-$B1852)&gt;=设置!$B$5,"超期"&amp;(设置!$B$6-$B1852)&amp;"天","已等"&amp;(设置!$B$6-$B1852)&amp;"天"))))</f>
        <v/>
      </c>
      <c r="O1852" s="18" t="str">
        <f aca="false">IF(OR($D1852="",$E1852=""),"",COUNTIFS($D$7:$D1852,$D1852,$E$7:$E1852,$E1852))</f>
        <v/>
      </c>
      <c r="P1852" s="16"/>
      <c r="Q1852" s="19"/>
      <c r="R1852" s="10"/>
      <c r="S1852" s="16"/>
      <c r="T1852" s="0" t="str">
        <f aca="false">IF(OR($D1852="",单元查询!$B$3=""),"",IF($D1852&lt;&gt;单元查询!$B$3,"",IF(OR(单元查询!$D$3="",$E1852&amp;""=单元查询!$D$3&amp;""),IF(ISNUMBER($B1852),$B1852*10000,0)+ROW(),"")))</f>
        <v/>
      </c>
      <c r="U1852" s="0" t="str">
        <f aca="false">IF(OR($B1852="",$L1852="已完成"),"",IF(ISNUMBER($B1852),IF(设置!$B$6&lt;$B1852,"",(设置!$B$6-$B1852)*100000+ROW()),""))</f>
        <v/>
      </c>
      <c r="V1852" s="0" t="str">
        <f aca="false">IF(ISNUMBER($O1852),IF($O1852&gt;=2,IF(COUNTIFS($D1852:$D$2006,$D1852,$E1852:$E$2006,$E1852)=1,ROW(),""),""),"")</f>
        <v/>
      </c>
    </row>
    <row r="1853" customFormat="false" ht="15" hidden="false" customHeight="true" outlineLevel="0" collapsed="false">
      <c r="A1853" s="13" t="str">
        <f aca="false">IF(AND($B1853="",$D1853="",$E1853="",$F1853=""),"",IF(OR($B1853="",$D1853="",$E1853=""),"待补",IF($D1853="公共区域","公",IF($D1853="商铺","S",SUBSTITUTE($D1853,"栋","")))&amp;"-"&amp;$E1853&amp;"-"&amp;TEXT(MONTH($B1853),"00")&amp;TEXT(DAY($B1853),"00")&amp;IF(ISNUMBER($O1853),IF($O1853&gt;1,"-"&amp;TEXT($O1853,"00"),""),"")))</f>
        <v/>
      </c>
      <c r="B1853" s="14"/>
      <c r="C1853" s="10"/>
      <c r="D1853" s="10"/>
      <c r="E1853" s="10"/>
      <c r="F1853" s="16"/>
      <c r="G1853" s="10"/>
      <c r="H1853" s="10"/>
      <c r="I1853" s="10"/>
      <c r="J1853" s="10"/>
      <c r="K1853" s="10"/>
      <c r="L1853" s="10"/>
      <c r="M1853" s="14"/>
      <c r="N1853" s="17" t="str">
        <f aca="false">IF($B1853="","",IF($L1853="已完成",IF($M1853="","",$M1853-$B1853),IF(设置!$B$6&lt;$B1853,"",IF((设置!$B$6-$B1853)&gt;=设置!$B$5,"超期"&amp;(设置!$B$6-$B1853)&amp;"天","已等"&amp;(设置!$B$6-$B1853)&amp;"天"))))</f>
        <v/>
      </c>
      <c r="O1853" s="18" t="str">
        <f aca="false">IF(OR($D1853="",$E1853=""),"",COUNTIFS($D$7:$D1853,$D1853,$E$7:$E1853,$E1853))</f>
        <v/>
      </c>
      <c r="P1853" s="16"/>
      <c r="Q1853" s="19"/>
      <c r="R1853" s="10"/>
      <c r="S1853" s="16"/>
      <c r="T1853" s="0" t="str">
        <f aca="false">IF(OR($D1853="",单元查询!$B$3=""),"",IF($D1853&lt;&gt;单元查询!$B$3,"",IF(OR(单元查询!$D$3="",$E1853&amp;""=单元查询!$D$3&amp;""),IF(ISNUMBER($B1853),$B1853*10000,0)+ROW(),"")))</f>
        <v/>
      </c>
      <c r="U1853" s="0" t="str">
        <f aca="false">IF(OR($B1853="",$L1853="已完成"),"",IF(ISNUMBER($B1853),IF(设置!$B$6&lt;$B1853,"",(设置!$B$6-$B1853)*100000+ROW()),""))</f>
        <v/>
      </c>
      <c r="V1853" s="0" t="str">
        <f aca="false">IF(ISNUMBER($O1853),IF($O1853&gt;=2,IF(COUNTIFS($D1853:$D$2006,$D1853,$E1853:$E$2006,$E1853)=1,ROW(),""),""),"")</f>
        <v/>
      </c>
    </row>
    <row r="1854" customFormat="false" ht="15" hidden="false" customHeight="true" outlineLevel="0" collapsed="false">
      <c r="A1854" s="13" t="str">
        <f aca="false">IF(AND($B1854="",$D1854="",$E1854="",$F1854=""),"",IF(OR($B1854="",$D1854="",$E1854=""),"待补",IF($D1854="公共区域","公",IF($D1854="商铺","S",SUBSTITUTE($D1854,"栋","")))&amp;"-"&amp;$E1854&amp;"-"&amp;TEXT(MONTH($B1854),"00")&amp;TEXT(DAY($B1854),"00")&amp;IF(ISNUMBER($O1854),IF($O1854&gt;1,"-"&amp;TEXT($O1854,"00"),""),"")))</f>
        <v/>
      </c>
      <c r="B1854" s="14"/>
      <c r="C1854" s="10"/>
      <c r="D1854" s="10"/>
      <c r="E1854" s="10"/>
      <c r="F1854" s="16"/>
      <c r="G1854" s="10"/>
      <c r="H1854" s="10"/>
      <c r="I1854" s="10"/>
      <c r="J1854" s="10"/>
      <c r="K1854" s="10"/>
      <c r="L1854" s="10"/>
      <c r="M1854" s="14"/>
      <c r="N1854" s="17" t="str">
        <f aca="false">IF($B1854="","",IF($L1854="已完成",IF($M1854="","",$M1854-$B1854),IF(设置!$B$6&lt;$B1854,"",IF((设置!$B$6-$B1854)&gt;=设置!$B$5,"超期"&amp;(设置!$B$6-$B1854)&amp;"天","已等"&amp;(设置!$B$6-$B1854)&amp;"天"))))</f>
        <v/>
      </c>
      <c r="O1854" s="18" t="str">
        <f aca="false">IF(OR($D1854="",$E1854=""),"",COUNTIFS($D$7:$D1854,$D1854,$E$7:$E1854,$E1854))</f>
        <v/>
      </c>
      <c r="P1854" s="16"/>
      <c r="Q1854" s="19"/>
      <c r="R1854" s="10"/>
      <c r="S1854" s="16"/>
      <c r="T1854" s="0" t="str">
        <f aca="false">IF(OR($D1854="",单元查询!$B$3=""),"",IF($D1854&lt;&gt;单元查询!$B$3,"",IF(OR(单元查询!$D$3="",$E1854&amp;""=单元查询!$D$3&amp;""),IF(ISNUMBER($B1854),$B1854*10000,0)+ROW(),"")))</f>
        <v/>
      </c>
      <c r="U1854" s="0" t="str">
        <f aca="false">IF(OR($B1854="",$L1854="已完成"),"",IF(ISNUMBER($B1854),IF(设置!$B$6&lt;$B1854,"",(设置!$B$6-$B1854)*100000+ROW()),""))</f>
        <v/>
      </c>
      <c r="V1854" s="0" t="str">
        <f aca="false">IF(ISNUMBER($O1854),IF($O1854&gt;=2,IF(COUNTIFS($D1854:$D$2006,$D1854,$E1854:$E$2006,$E1854)=1,ROW(),""),""),"")</f>
        <v/>
      </c>
    </row>
    <row r="1855" customFormat="false" ht="15" hidden="false" customHeight="true" outlineLevel="0" collapsed="false">
      <c r="A1855" s="13" t="str">
        <f aca="false">IF(AND($B1855="",$D1855="",$E1855="",$F1855=""),"",IF(OR($B1855="",$D1855="",$E1855=""),"待补",IF($D1855="公共区域","公",IF($D1855="商铺","S",SUBSTITUTE($D1855,"栋","")))&amp;"-"&amp;$E1855&amp;"-"&amp;TEXT(MONTH($B1855),"00")&amp;TEXT(DAY($B1855),"00")&amp;IF(ISNUMBER($O1855),IF($O1855&gt;1,"-"&amp;TEXT($O1855,"00"),""),"")))</f>
        <v/>
      </c>
      <c r="B1855" s="14"/>
      <c r="C1855" s="10"/>
      <c r="D1855" s="10"/>
      <c r="E1855" s="10"/>
      <c r="F1855" s="16"/>
      <c r="G1855" s="10"/>
      <c r="H1855" s="10"/>
      <c r="I1855" s="10"/>
      <c r="J1855" s="10"/>
      <c r="K1855" s="10"/>
      <c r="L1855" s="10"/>
      <c r="M1855" s="14"/>
      <c r="N1855" s="17" t="str">
        <f aca="false">IF($B1855="","",IF($L1855="已完成",IF($M1855="","",$M1855-$B1855),IF(设置!$B$6&lt;$B1855,"",IF((设置!$B$6-$B1855)&gt;=设置!$B$5,"超期"&amp;(设置!$B$6-$B1855)&amp;"天","已等"&amp;(设置!$B$6-$B1855)&amp;"天"))))</f>
        <v/>
      </c>
      <c r="O1855" s="18" t="str">
        <f aca="false">IF(OR($D1855="",$E1855=""),"",COUNTIFS($D$7:$D1855,$D1855,$E$7:$E1855,$E1855))</f>
        <v/>
      </c>
      <c r="P1855" s="16"/>
      <c r="Q1855" s="19"/>
      <c r="R1855" s="10"/>
      <c r="S1855" s="16"/>
      <c r="T1855" s="0" t="str">
        <f aca="false">IF(OR($D1855="",单元查询!$B$3=""),"",IF($D1855&lt;&gt;单元查询!$B$3,"",IF(OR(单元查询!$D$3="",$E1855&amp;""=单元查询!$D$3&amp;""),IF(ISNUMBER($B1855),$B1855*10000,0)+ROW(),"")))</f>
        <v/>
      </c>
      <c r="U1855" s="0" t="str">
        <f aca="false">IF(OR($B1855="",$L1855="已完成"),"",IF(ISNUMBER($B1855),IF(设置!$B$6&lt;$B1855,"",(设置!$B$6-$B1855)*100000+ROW()),""))</f>
        <v/>
      </c>
      <c r="V1855" s="0" t="str">
        <f aca="false">IF(ISNUMBER($O1855),IF($O1855&gt;=2,IF(COUNTIFS($D1855:$D$2006,$D1855,$E1855:$E$2006,$E1855)=1,ROW(),""),""),"")</f>
        <v/>
      </c>
    </row>
    <row r="1856" customFormat="false" ht="15" hidden="false" customHeight="true" outlineLevel="0" collapsed="false">
      <c r="A1856" s="13" t="str">
        <f aca="false">IF(AND($B1856="",$D1856="",$E1856="",$F1856=""),"",IF(OR($B1856="",$D1856="",$E1856=""),"待补",IF($D1856="公共区域","公",IF($D1856="商铺","S",SUBSTITUTE($D1856,"栋","")))&amp;"-"&amp;$E1856&amp;"-"&amp;TEXT(MONTH($B1856),"00")&amp;TEXT(DAY($B1856),"00")&amp;IF(ISNUMBER($O1856),IF($O1856&gt;1,"-"&amp;TEXT($O1856,"00"),""),"")))</f>
        <v/>
      </c>
      <c r="B1856" s="14"/>
      <c r="C1856" s="10"/>
      <c r="D1856" s="10"/>
      <c r="E1856" s="10"/>
      <c r="F1856" s="16"/>
      <c r="G1856" s="10"/>
      <c r="H1856" s="10"/>
      <c r="I1856" s="10"/>
      <c r="J1856" s="10"/>
      <c r="K1856" s="10"/>
      <c r="L1856" s="10"/>
      <c r="M1856" s="14"/>
      <c r="N1856" s="17" t="str">
        <f aca="false">IF($B1856="","",IF($L1856="已完成",IF($M1856="","",$M1856-$B1856),IF(设置!$B$6&lt;$B1856,"",IF((设置!$B$6-$B1856)&gt;=设置!$B$5,"超期"&amp;(设置!$B$6-$B1856)&amp;"天","已等"&amp;(设置!$B$6-$B1856)&amp;"天"))))</f>
        <v/>
      </c>
      <c r="O1856" s="18" t="str">
        <f aca="false">IF(OR($D1856="",$E1856=""),"",COUNTIFS($D$7:$D1856,$D1856,$E$7:$E1856,$E1856))</f>
        <v/>
      </c>
      <c r="P1856" s="16"/>
      <c r="Q1856" s="19"/>
      <c r="R1856" s="10"/>
      <c r="S1856" s="16"/>
      <c r="T1856" s="0" t="str">
        <f aca="false">IF(OR($D1856="",单元查询!$B$3=""),"",IF($D1856&lt;&gt;单元查询!$B$3,"",IF(OR(单元查询!$D$3="",$E1856&amp;""=单元查询!$D$3&amp;""),IF(ISNUMBER($B1856),$B1856*10000,0)+ROW(),"")))</f>
        <v/>
      </c>
      <c r="U1856" s="0" t="str">
        <f aca="false">IF(OR($B1856="",$L1856="已完成"),"",IF(ISNUMBER($B1856),IF(设置!$B$6&lt;$B1856,"",(设置!$B$6-$B1856)*100000+ROW()),""))</f>
        <v/>
      </c>
      <c r="V1856" s="0" t="str">
        <f aca="false">IF(ISNUMBER($O1856),IF($O1856&gt;=2,IF(COUNTIFS($D1856:$D$2006,$D1856,$E1856:$E$2006,$E1856)=1,ROW(),""),""),"")</f>
        <v/>
      </c>
    </row>
    <row r="1857" customFormat="false" ht="15" hidden="false" customHeight="true" outlineLevel="0" collapsed="false">
      <c r="A1857" s="13" t="str">
        <f aca="false">IF(AND($B1857="",$D1857="",$E1857="",$F1857=""),"",IF(OR($B1857="",$D1857="",$E1857=""),"待补",IF($D1857="公共区域","公",IF($D1857="商铺","S",SUBSTITUTE($D1857,"栋","")))&amp;"-"&amp;$E1857&amp;"-"&amp;TEXT(MONTH($B1857),"00")&amp;TEXT(DAY($B1857),"00")&amp;IF(ISNUMBER($O1857),IF($O1857&gt;1,"-"&amp;TEXT($O1857,"00"),""),"")))</f>
        <v/>
      </c>
      <c r="B1857" s="14"/>
      <c r="C1857" s="10"/>
      <c r="D1857" s="10"/>
      <c r="E1857" s="10"/>
      <c r="F1857" s="16"/>
      <c r="G1857" s="10"/>
      <c r="H1857" s="10"/>
      <c r="I1857" s="10"/>
      <c r="J1857" s="10"/>
      <c r="K1857" s="10"/>
      <c r="L1857" s="10"/>
      <c r="M1857" s="14"/>
      <c r="N1857" s="17" t="str">
        <f aca="false">IF($B1857="","",IF($L1857="已完成",IF($M1857="","",$M1857-$B1857),IF(设置!$B$6&lt;$B1857,"",IF((设置!$B$6-$B1857)&gt;=设置!$B$5,"超期"&amp;(设置!$B$6-$B1857)&amp;"天","已等"&amp;(设置!$B$6-$B1857)&amp;"天"))))</f>
        <v/>
      </c>
      <c r="O1857" s="18" t="str">
        <f aca="false">IF(OR($D1857="",$E1857=""),"",COUNTIFS($D$7:$D1857,$D1857,$E$7:$E1857,$E1857))</f>
        <v/>
      </c>
      <c r="P1857" s="16"/>
      <c r="Q1857" s="19"/>
      <c r="R1857" s="10"/>
      <c r="S1857" s="16"/>
      <c r="T1857" s="0" t="str">
        <f aca="false">IF(OR($D1857="",单元查询!$B$3=""),"",IF($D1857&lt;&gt;单元查询!$B$3,"",IF(OR(单元查询!$D$3="",$E1857&amp;""=单元查询!$D$3&amp;""),IF(ISNUMBER($B1857),$B1857*10000,0)+ROW(),"")))</f>
        <v/>
      </c>
      <c r="U1857" s="0" t="str">
        <f aca="false">IF(OR($B1857="",$L1857="已完成"),"",IF(ISNUMBER($B1857),IF(设置!$B$6&lt;$B1857,"",(设置!$B$6-$B1857)*100000+ROW()),""))</f>
        <v/>
      </c>
      <c r="V1857" s="0" t="str">
        <f aca="false">IF(ISNUMBER($O1857),IF($O1857&gt;=2,IF(COUNTIFS($D1857:$D$2006,$D1857,$E1857:$E$2006,$E1857)=1,ROW(),""),""),"")</f>
        <v/>
      </c>
    </row>
    <row r="1858" customFormat="false" ht="15" hidden="false" customHeight="true" outlineLevel="0" collapsed="false">
      <c r="A1858" s="13" t="str">
        <f aca="false">IF(AND($B1858="",$D1858="",$E1858="",$F1858=""),"",IF(OR($B1858="",$D1858="",$E1858=""),"待补",IF($D1858="公共区域","公",IF($D1858="商铺","S",SUBSTITUTE($D1858,"栋","")))&amp;"-"&amp;$E1858&amp;"-"&amp;TEXT(MONTH($B1858),"00")&amp;TEXT(DAY($B1858),"00")&amp;IF(ISNUMBER($O1858),IF($O1858&gt;1,"-"&amp;TEXT($O1858,"00"),""),"")))</f>
        <v/>
      </c>
      <c r="B1858" s="14"/>
      <c r="C1858" s="10"/>
      <c r="D1858" s="10"/>
      <c r="E1858" s="10"/>
      <c r="F1858" s="16"/>
      <c r="G1858" s="10"/>
      <c r="H1858" s="10"/>
      <c r="I1858" s="10"/>
      <c r="J1858" s="10"/>
      <c r="K1858" s="10"/>
      <c r="L1858" s="10"/>
      <c r="M1858" s="14"/>
      <c r="N1858" s="17" t="str">
        <f aca="false">IF($B1858="","",IF($L1858="已完成",IF($M1858="","",$M1858-$B1858),IF(设置!$B$6&lt;$B1858,"",IF((设置!$B$6-$B1858)&gt;=设置!$B$5,"超期"&amp;(设置!$B$6-$B1858)&amp;"天","已等"&amp;(设置!$B$6-$B1858)&amp;"天"))))</f>
        <v/>
      </c>
      <c r="O1858" s="18" t="str">
        <f aca="false">IF(OR($D1858="",$E1858=""),"",COUNTIFS($D$7:$D1858,$D1858,$E$7:$E1858,$E1858))</f>
        <v/>
      </c>
      <c r="P1858" s="16"/>
      <c r="Q1858" s="19"/>
      <c r="R1858" s="10"/>
      <c r="S1858" s="16"/>
      <c r="T1858" s="0" t="str">
        <f aca="false">IF(OR($D1858="",单元查询!$B$3=""),"",IF($D1858&lt;&gt;单元查询!$B$3,"",IF(OR(单元查询!$D$3="",$E1858&amp;""=单元查询!$D$3&amp;""),IF(ISNUMBER($B1858),$B1858*10000,0)+ROW(),"")))</f>
        <v/>
      </c>
      <c r="U1858" s="0" t="str">
        <f aca="false">IF(OR($B1858="",$L1858="已完成"),"",IF(ISNUMBER($B1858),IF(设置!$B$6&lt;$B1858,"",(设置!$B$6-$B1858)*100000+ROW()),""))</f>
        <v/>
      </c>
      <c r="V1858" s="0" t="str">
        <f aca="false">IF(ISNUMBER($O1858),IF($O1858&gt;=2,IF(COUNTIFS($D1858:$D$2006,$D1858,$E1858:$E$2006,$E1858)=1,ROW(),""),""),"")</f>
        <v/>
      </c>
    </row>
    <row r="1859" customFormat="false" ht="15" hidden="false" customHeight="true" outlineLevel="0" collapsed="false">
      <c r="A1859" s="13" t="str">
        <f aca="false">IF(AND($B1859="",$D1859="",$E1859="",$F1859=""),"",IF(OR($B1859="",$D1859="",$E1859=""),"待补",IF($D1859="公共区域","公",IF($D1859="商铺","S",SUBSTITUTE($D1859,"栋","")))&amp;"-"&amp;$E1859&amp;"-"&amp;TEXT(MONTH($B1859),"00")&amp;TEXT(DAY($B1859),"00")&amp;IF(ISNUMBER($O1859),IF($O1859&gt;1,"-"&amp;TEXT($O1859,"00"),""),"")))</f>
        <v/>
      </c>
      <c r="B1859" s="14"/>
      <c r="C1859" s="10"/>
      <c r="D1859" s="10"/>
      <c r="E1859" s="10"/>
      <c r="F1859" s="16"/>
      <c r="G1859" s="10"/>
      <c r="H1859" s="10"/>
      <c r="I1859" s="10"/>
      <c r="J1859" s="10"/>
      <c r="K1859" s="10"/>
      <c r="L1859" s="10"/>
      <c r="M1859" s="14"/>
      <c r="N1859" s="17" t="str">
        <f aca="false">IF($B1859="","",IF($L1859="已完成",IF($M1859="","",$M1859-$B1859),IF(设置!$B$6&lt;$B1859,"",IF((设置!$B$6-$B1859)&gt;=设置!$B$5,"超期"&amp;(设置!$B$6-$B1859)&amp;"天","已等"&amp;(设置!$B$6-$B1859)&amp;"天"))))</f>
        <v/>
      </c>
      <c r="O1859" s="18" t="str">
        <f aca="false">IF(OR($D1859="",$E1859=""),"",COUNTIFS($D$7:$D1859,$D1859,$E$7:$E1859,$E1859))</f>
        <v/>
      </c>
      <c r="P1859" s="16"/>
      <c r="Q1859" s="19"/>
      <c r="R1859" s="10"/>
      <c r="S1859" s="16"/>
      <c r="T1859" s="0" t="str">
        <f aca="false">IF(OR($D1859="",单元查询!$B$3=""),"",IF($D1859&lt;&gt;单元查询!$B$3,"",IF(OR(单元查询!$D$3="",$E1859&amp;""=单元查询!$D$3&amp;""),IF(ISNUMBER($B1859),$B1859*10000,0)+ROW(),"")))</f>
        <v/>
      </c>
      <c r="U1859" s="0" t="str">
        <f aca="false">IF(OR($B1859="",$L1859="已完成"),"",IF(ISNUMBER($B1859),IF(设置!$B$6&lt;$B1859,"",(设置!$B$6-$B1859)*100000+ROW()),""))</f>
        <v/>
      </c>
      <c r="V1859" s="0" t="str">
        <f aca="false">IF(ISNUMBER($O1859),IF($O1859&gt;=2,IF(COUNTIFS($D1859:$D$2006,$D1859,$E1859:$E$2006,$E1859)=1,ROW(),""),""),"")</f>
        <v/>
      </c>
    </row>
    <row r="1860" customFormat="false" ht="15" hidden="false" customHeight="true" outlineLevel="0" collapsed="false">
      <c r="A1860" s="13" t="str">
        <f aca="false">IF(AND($B1860="",$D1860="",$E1860="",$F1860=""),"",IF(OR($B1860="",$D1860="",$E1860=""),"待补",IF($D1860="公共区域","公",IF($D1860="商铺","S",SUBSTITUTE($D1860,"栋","")))&amp;"-"&amp;$E1860&amp;"-"&amp;TEXT(MONTH($B1860),"00")&amp;TEXT(DAY($B1860),"00")&amp;IF(ISNUMBER($O1860),IF($O1860&gt;1,"-"&amp;TEXT($O1860,"00"),""),"")))</f>
        <v/>
      </c>
      <c r="B1860" s="14"/>
      <c r="C1860" s="10"/>
      <c r="D1860" s="10"/>
      <c r="E1860" s="10"/>
      <c r="F1860" s="16"/>
      <c r="G1860" s="10"/>
      <c r="H1860" s="10"/>
      <c r="I1860" s="10"/>
      <c r="J1860" s="10"/>
      <c r="K1860" s="10"/>
      <c r="L1860" s="10"/>
      <c r="M1860" s="14"/>
      <c r="N1860" s="17" t="str">
        <f aca="false">IF($B1860="","",IF($L1860="已完成",IF($M1860="","",$M1860-$B1860),IF(设置!$B$6&lt;$B1860,"",IF((设置!$B$6-$B1860)&gt;=设置!$B$5,"超期"&amp;(设置!$B$6-$B1860)&amp;"天","已等"&amp;(设置!$B$6-$B1860)&amp;"天"))))</f>
        <v/>
      </c>
      <c r="O1860" s="18" t="str">
        <f aca="false">IF(OR($D1860="",$E1860=""),"",COUNTIFS($D$7:$D1860,$D1860,$E$7:$E1860,$E1860))</f>
        <v/>
      </c>
      <c r="P1860" s="16"/>
      <c r="Q1860" s="19"/>
      <c r="R1860" s="10"/>
      <c r="S1860" s="16"/>
      <c r="T1860" s="0" t="str">
        <f aca="false">IF(OR($D1860="",单元查询!$B$3=""),"",IF($D1860&lt;&gt;单元查询!$B$3,"",IF(OR(单元查询!$D$3="",$E1860&amp;""=单元查询!$D$3&amp;""),IF(ISNUMBER($B1860),$B1860*10000,0)+ROW(),"")))</f>
        <v/>
      </c>
      <c r="U1860" s="0" t="str">
        <f aca="false">IF(OR($B1860="",$L1860="已完成"),"",IF(ISNUMBER($B1860),IF(设置!$B$6&lt;$B1860,"",(设置!$B$6-$B1860)*100000+ROW()),""))</f>
        <v/>
      </c>
      <c r="V1860" s="0" t="str">
        <f aca="false">IF(ISNUMBER($O1860),IF($O1860&gt;=2,IF(COUNTIFS($D1860:$D$2006,$D1860,$E1860:$E$2006,$E1860)=1,ROW(),""),""),"")</f>
        <v/>
      </c>
    </row>
    <row r="1861" customFormat="false" ht="15" hidden="false" customHeight="true" outlineLevel="0" collapsed="false">
      <c r="A1861" s="13" t="str">
        <f aca="false">IF(AND($B1861="",$D1861="",$E1861="",$F1861=""),"",IF(OR($B1861="",$D1861="",$E1861=""),"待补",IF($D1861="公共区域","公",IF($D1861="商铺","S",SUBSTITUTE($D1861,"栋","")))&amp;"-"&amp;$E1861&amp;"-"&amp;TEXT(MONTH($B1861),"00")&amp;TEXT(DAY($B1861),"00")&amp;IF(ISNUMBER($O1861),IF($O1861&gt;1,"-"&amp;TEXT($O1861,"00"),""),"")))</f>
        <v/>
      </c>
      <c r="B1861" s="14"/>
      <c r="C1861" s="10"/>
      <c r="D1861" s="10"/>
      <c r="E1861" s="10"/>
      <c r="F1861" s="16"/>
      <c r="G1861" s="10"/>
      <c r="H1861" s="10"/>
      <c r="I1861" s="10"/>
      <c r="J1861" s="10"/>
      <c r="K1861" s="10"/>
      <c r="L1861" s="10"/>
      <c r="M1861" s="14"/>
      <c r="N1861" s="17" t="str">
        <f aca="false">IF($B1861="","",IF($L1861="已完成",IF($M1861="","",$M1861-$B1861),IF(设置!$B$6&lt;$B1861,"",IF((设置!$B$6-$B1861)&gt;=设置!$B$5,"超期"&amp;(设置!$B$6-$B1861)&amp;"天","已等"&amp;(设置!$B$6-$B1861)&amp;"天"))))</f>
        <v/>
      </c>
      <c r="O1861" s="18" t="str">
        <f aca="false">IF(OR($D1861="",$E1861=""),"",COUNTIFS($D$7:$D1861,$D1861,$E$7:$E1861,$E1861))</f>
        <v/>
      </c>
      <c r="P1861" s="16"/>
      <c r="Q1861" s="19"/>
      <c r="R1861" s="10"/>
      <c r="S1861" s="16"/>
      <c r="T1861" s="0" t="str">
        <f aca="false">IF(OR($D1861="",单元查询!$B$3=""),"",IF($D1861&lt;&gt;单元查询!$B$3,"",IF(OR(单元查询!$D$3="",$E1861&amp;""=单元查询!$D$3&amp;""),IF(ISNUMBER($B1861),$B1861*10000,0)+ROW(),"")))</f>
        <v/>
      </c>
      <c r="U1861" s="0" t="str">
        <f aca="false">IF(OR($B1861="",$L1861="已完成"),"",IF(ISNUMBER($B1861),IF(设置!$B$6&lt;$B1861,"",(设置!$B$6-$B1861)*100000+ROW()),""))</f>
        <v/>
      </c>
      <c r="V1861" s="0" t="str">
        <f aca="false">IF(ISNUMBER($O1861),IF($O1861&gt;=2,IF(COUNTIFS($D1861:$D$2006,$D1861,$E1861:$E$2006,$E1861)=1,ROW(),""),""),"")</f>
        <v/>
      </c>
    </row>
    <row r="1862" customFormat="false" ht="15" hidden="false" customHeight="true" outlineLevel="0" collapsed="false">
      <c r="A1862" s="13" t="str">
        <f aca="false">IF(AND($B1862="",$D1862="",$E1862="",$F1862=""),"",IF(OR($B1862="",$D1862="",$E1862=""),"待补",IF($D1862="公共区域","公",IF($D1862="商铺","S",SUBSTITUTE($D1862,"栋","")))&amp;"-"&amp;$E1862&amp;"-"&amp;TEXT(MONTH($B1862),"00")&amp;TEXT(DAY($B1862),"00")&amp;IF(ISNUMBER($O1862),IF($O1862&gt;1,"-"&amp;TEXT($O1862,"00"),""),"")))</f>
        <v/>
      </c>
      <c r="B1862" s="14"/>
      <c r="C1862" s="10"/>
      <c r="D1862" s="10"/>
      <c r="E1862" s="10"/>
      <c r="F1862" s="16"/>
      <c r="G1862" s="10"/>
      <c r="H1862" s="10"/>
      <c r="I1862" s="10"/>
      <c r="J1862" s="10"/>
      <c r="K1862" s="10"/>
      <c r="L1862" s="10"/>
      <c r="M1862" s="14"/>
      <c r="N1862" s="17" t="str">
        <f aca="false">IF($B1862="","",IF($L1862="已完成",IF($M1862="","",$M1862-$B1862),IF(设置!$B$6&lt;$B1862,"",IF((设置!$B$6-$B1862)&gt;=设置!$B$5,"超期"&amp;(设置!$B$6-$B1862)&amp;"天","已等"&amp;(设置!$B$6-$B1862)&amp;"天"))))</f>
        <v/>
      </c>
      <c r="O1862" s="18" t="str">
        <f aca="false">IF(OR($D1862="",$E1862=""),"",COUNTIFS($D$7:$D1862,$D1862,$E$7:$E1862,$E1862))</f>
        <v/>
      </c>
      <c r="P1862" s="16"/>
      <c r="Q1862" s="19"/>
      <c r="R1862" s="10"/>
      <c r="S1862" s="16"/>
      <c r="T1862" s="0" t="str">
        <f aca="false">IF(OR($D1862="",单元查询!$B$3=""),"",IF($D1862&lt;&gt;单元查询!$B$3,"",IF(OR(单元查询!$D$3="",$E1862&amp;""=单元查询!$D$3&amp;""),IF(ISNUMBER($B1862),$B1862*10000,0)+ROW(),"")))</f>
        <v/>
      </c>
      <c r="U1862" s="0" t="str">
        <f aca="false">IF(OR($B1862="",$L1862="已完成"),"",IF(ISNUMBER($B1862),IF(设置!$B$6&lt;$B1862,"",(设置!$B$6-$B1862)*100000+ROW()),""))</f>
        <v/>
      </c>
      <c r="V1862" s="0" t="str">
        <f aca="false">IF(ISNUMBER($O1862),IF($O1862&gt;=2,IF(COUNTIFS($D1862:$D$2006,$D1862,$E1862:$E$2006,$E1862)=1,ROW(),""),""),"")</f>
        <v/>
      </c>
    </row>
    <row r="1863" customFormat="false" ht="15" hidden="false" customHeight="true" outlineLevel="0" collapsed="false">
      <c r="A1863" s="13" t="str">
        <f aca="false">IF(AND($B1863="",$D1863="",$E1863="",$F1863=""),"",IF(OR($B1863="",$D1863="",$E1863=""),"待补",IF($D1863="公共区域","公",IF($D1863="商铺","S",SUBSTITUTE($D1863,"栋","")))&amp;"-"&amp;$E1863&amp;"-"&amp;TEXT(MONTH($B1863),"00")&amp;TEXT(DAY($B1863),"00")&amp;IF(ISNUMBER($O1863),IF($O1863&gt;1,"-"&amp;TEXT($O1863,"00"),""),"")))</f>
        <v/>
      </c>
      <c r="B1863" s="14"/>
      <c r="C1863" s="10"/>
      <c r="D1863" s="10"/>
      <c r="E1863" s="10"/>
      <c r="F1863" s="16"/>
      <c r="G1863" s="10"/>
      <c r="H1863" s="10"/>
      <c r="I1863" s="10"/>
      <c r="J1863" s="10"/>
      <c r="K1863" s="10"/>
      <c r="L1863" s="10"/>
      <c r="M1863" s="14"/>
      <c r="N1863" s="17" t="str">
        <f aca="false">IF($B1863="","",IF($L1863="已完成",IF($M1863="","",$M1863-$B1863),IF(设置!$B$6&lt;$B1863,"",IF((设置!$B$6-$B1863)&gt;=设置!$B$5,"超期"&amp;(设置!$B$6-$B1863)&amp;"天","已等"&amp;(设置!$B$6-$B1863)&amp;"天"))))</f>
        <v/>
      </c>
      <c r="O1863" s="18" t="str">
        <f aca="false">IF(OR($D1863="",$E1863=""),"",COUNTIFS($D$7:$D1863,$D1863,$E$7:$E1863,$E1863))</f>
        <v/>
      </c>
      <c r="P1863" s="16"/>
      <c r="Q1863" s="19"/>
      <c r="R1863" s="10"/>
      <c r="S1863" s="16"/>
      <c r="T1863" s="0" t="str">
        <f aca="false">IF(OR($D1863="",单元查询!$B$3=""),"",IF($D1863&lt;&gt;单元查询!$B$3,"",IF(OR(单元查询!$D$3="",$E1863&amp;""=单元查询!$D$3&amp;""),IF(ISNUMBER($B1863),$B1863*10000,0)+ROW(),"")))</f>
        <v/>
      </c>
      <c r="U1863" s="0" t="str">
        <f aca="false">IF(OR($B1863="",$L1863="已完成"),"",IF(ISNUMBER($B1863),IF(设置!$B$6&lt;$B1863,"",(设置!$B$6-$B1863)*100000+ROW()),""))</f>
        <v/>
      </c>
      <c r="V1863" s="0" t="str">
        <f aca="false">IF(ISNUMBER($O1863),IF($O1863&gt;=2,IF(COUNTIFS($D1863:$D$2006,$D1863,$E1863:$E$2006,$E1863)=1,ROW(),""),""),"")</f>
        <v/>
      </c>
    </row>
    <row r="1864" customFormat="false" ht="15" hidden="false" customHeight="true" outlineLevel="0" collapsed="false">
      <c r="A1864" s="13" t="str">
        <f aca="false">IF(AND($B1864="",$D1864="",$E1864="",$F1864=""),"",IF(OR($B1864="",$D1864="",$E1864=""),"待补",IF($D1864="公共区域","公",IF($D1864="商铺","S",SUBSTITUTE($D1864,"栋","")))&amp;"-"&amp;$E1864&amp;"-"&amp;TEXT(MONTH($B1864),"00")&amp;TEXT(DAY($B1864),"00")&amp;IF(ISNUMBER($O1864),IF($O1864&gt;1,"-"&amp;TEXT($O1864,"00"),""),"")))</f>
        <v/>
      </c>
      <c r="B1864" s="14"/>
      <c r="C1864" s="10"/>
      <c r="D1864" s="10"/>
      <c r="E1864" s="10"/>
      <c r="F1864" s="16"/>
      <c r="G1864" s="10"/>
      <c r="H1864" s="10"/>
      <c r="I1864" s="10"/>
      <c r="J1864" s="10"/>
      <c r="K1864" s="10"/>
      <c r="L1864" s="10"/>
      <c r="M1864" s="14"/>
      <c r="N1864" s="17" t="str">
        <f aca="false">IF($B1864="","",IF($L1864="已完成",IF($M1864="","",$M1864-$B1864),IF(设置!$B$6&lt;$B1864,"",IF((设置!$B$6-$B1864)&gt;=设置!$B$5,"超期"&amp;(设置!$B$6-$B1864)&amp;"天","已等"&amp;(设置!$B$6-$B1864)&amp;"天"))))</f>
        <v/>
      </c>
      <c r="O1864" s="18" t="str">
        <f aca="false">IF(OR($D1864="",$E1864=""),"",COUNTIFS($D$7:$D1864,$D1864,$E$7:$E1864,$E1864))</f>
        <v/>
      </c>
      <c r="P1864" s="16"/>
      <c r="Q1864" s="19"/>
      <c r="R1864" s="10"/>
      <c r="S1864" s="16"/>
      <c r="T1864" s="0" t="str">
        <f aca="false">IF(OR($D1864="",单元查询!$B$3=""),"",IF($D1864&lt;&gt;单元查询!$B$3,"",IF(OR(单元查询!$D$3="",$E1864&amp;""=单元查询!$D$3&amp;""),IF(ISNUMBER($B1864),$B1864*10000,0)+ROW(),"")))</f>
        <v/>
      </c>
      <c r="U1864" s="0" t="str">
        <f aca="false">IF(OR($B1864="",$L1864="已完成"),"",IF(ISNUMBER($B1864),IF(设置!$B$6&lt;$B1864,"",(设置!$B$6-$B1864)*100000+ROW()),""))</f>
        <v/>
      </c>
      <c r="V1864" s="0" t="str">
        <f aca="false">IF(ISNUMBER($O1864),IF($O1864&gt;=2,IF(COUNTIFS($D1864:$D$2006,$D1864,$E1864:$E$2006,$E1864)=1,ROW(),""),""),"")</f>
        <v/>
      </c>
    </row>
    <row r="1865" customFormat="false" ht="15" hidden="false" customHeight="true" outlineLevel="0" collapsed="false">
      <c r="A1865" s="13" t="str">
        <f aca="false">IF(AND($B1865="",$D1865="",$E1865="",$F1865=""),"",IF(OR($B1865="",$D1865="",$E1865=""),"待补",IF($D1865="公共区域","公",IF($D1865="商铺","S",SUBSTITUTE($D1865,"栋","")))&amp;"-"&amp;$E1865&amp;"-"&amp;TEXT(MONTH($B1865),"00")&amp;TEXT(DAY($B1865),"00")&amp;IF(ISNUMBER($O1865),IF($O1865&gt;1,"-"&amp;TEXT($O1865,"00"),""),"")))</f>
        <v/>
      </c>
      <c r="B1865" s="14"/>
      <c r="C1865" s="10"/>
      <c r="D1865" s="10"/>
      <c r="E1865" s="10"/>
      <c r="F1865" s="16"/>
      <c r="G1865" s="10"/>
      <c r="H1865" s="10"/>
      <c r="I1865" s="10"/>
      <c r="J1865" s="10"/>
      <c r="K1865" s="10"/>
      <c r="L1865" s="10"/>
      <c r="M1865" s="14"/>
      <c r="N1865" s="17" t="str">
        <f aca="false">IF($B1865="","",IF($L1865="已完成",IF($M1865="","",$M1865-$B1865),IF(设置!$B$6&lt;$B1865,"",IF((设置!$B$6-$B1865)&gt;=设置!$B$5,"超期"&amp;(设置!$B$6-$B1865)&amp;"天","已等"&amp;(设置!$B$6-$B1865)&amp;"天"))))</f>
        <v/>
      </c>
      <c r="O1865" s="18" t="str">
        <f aca="false">IF(OR($D1865="",$E1865=""),"",COUNTIFS($D$7:$D1865,$D1865,$E$7:$E1865,$E1865))</f>
        <v/>
      </c>
      <c r="P1865" s="16"/>
      <c r="Q1865" s="19"/>
      <c r="R1865" s="10"/>
      <c r="S1865" s="16"/>
      <c r="T1865" s="0" t="str">
        <f aca="false">IF(OR($D1865="",单元查询!$B$3=""),"",IF($D1865&lt;&gt;单元查询!$B$3,"",IF(OR(单元查询!$D$3="",$E1865&amp;""=单元查询!$D$3&amp;""),IF(ISNUMBER($B1865),$B1865*10000,0)+ROW(),"")))</f>
        <v/>
      </c>
      <c r="U1865" s="0" t="str">
        <f aca="false">IF(OR($B1865="",$L1865="已完成"),"",IF(ISNUMBER($B1865),IF(设置!$B$6&lt;$B1865,"",(设置!$B$6-$B1865)*100000+ROW()),""))</f>
        <v/>
      </c>
      <c r="V1865" s="0" t="str">
        <f aca="false">IF(ISNUMBER($O1865),IF($O1865&gt;=2,IF(COUNTIFS($D1865:$D$2006,$D1865,$E1865:$E$2006,$E1865)=1,ROW(),""),""),"")</f>
        <v/>
      </c>
    </row>
    <row r="1866" customFormat="false" ht="15" hidden="false" customHeight="true" outlineLevel="0" collapsed="false">
      <c r="A1866" s="13" t="str">
        <f aca="false">IF(AND($B1866="",$D1866="",$E1866="",$F1866=""),"",IF(OR($B1866="",$D1866="",$E1866=""),"待补",IF($D1866="公共区域","公",IF($D1866="商铺","S",SUBSTITUTE($D1866,"栋","")))&amp;"-"&amp;$E1866&amp;"-"&amp;TEXT(MONTH($B1866),"00")&amp;TEXT(DAY($B1866),"00")&amp;IF(ISNUMBER($O1866),IF($O1866&gt;1,"-"&amp;TEXT($O1866,"00"),""),"")))</f>
        <v/>
      </c>
      <c r="B1866" s="14"/>
      <c r="C1866" s="10"/>
      <c r="D1866" s="10"/>
      <c r="E1866" s="10"/>
      <c r="F1866" s="16"/>
      <c r="G1866" s="10"/>
      <c r="H1866" s="10"/>
      <c r="I1866" s="10"/>
      <c r="J1866" s="10"/>
      <c r="K1866" s="10"/>
      <c r="L1866" s="10"/>
      <c r="M1866" s="14"/>
      <c r="N1866" s="17" t="str">
        <f aca="false">IF($B1866="","",IF($L1866="已完成",IF($M1866="","",$M1866-$B1866),IF(设置!$B$6&lt;$B1866,"",IF((设置!$B$6-$B1866)&gt;=设置!$B$5,"超期"&amp;(设置!$B$6-$B1866)&amp;"天","已等"&amp;(设置!$B$6-$B1866)&amp;"天"))))</f>
        <v/>
      </c>
      <c r="O1866" s="18" t="str">
        <f aca="false">IF(OR($D1866="",$E1866=""),"",COUNTIFS($D$7:$D1866,$D1866,$E$7:$E1866,$E1866))</f>
        <v/>
      </c>
      <c r="P1866" s="16"/>
      <c r="Q1866" s="19"/>
      <c r="R1866" s="10"/>
      <c r="S1866" s="16"/>
      <c r="T1866" s="0" t="str">
        <f aca="false">IF(OR($D1866="",单元查询!$B$3=""),"",IF($D1866&lt;&gt;单元查询!$B$3,"",IF(OR(单元查询!$D$3="",$E1866&amp;""=单元查询!$D$3&amp;""),IF(ISNUMBER($B1866),$B1866*10000,0)+ROW(),"")))</f>
        <v/>
      </c>
      <c r="U1866" s="0" t="str">
        <f aca="false">IF(OR($B1866="",$L1866="已完成"),"",IF(ISNUMBER($B1866),IF(设置!$B$6&lt;$B1866,"",(设置!$B$6-$B1866)*100000+ROW()),""))</f>
        <v/>
      </c>
      <c r="V1866" s="0" t="str">
        <f aca="false">IF(ISNUMBER($O1866),IF($O1866&gt;=2,IF(COUNTIFS($D1866:$D$2006,$D1866,$E1866:$E$2006,$E1866)=1,ROW(),""),""),"")</f>
        <v/>
      </c>
    </row>
    <row r="1867" customFormat="false" ht="15" hidden="false" customHeight="true" outlineLevel="0" collapsed="false">
      <c r="A1867" s="13" t="str">
        <f aca="false">IF(AND($B1867="",$D1867="",$E1867="",$F1867=""),"",IF(OR($B1867="",$D1867="",$E1867=""),"待补",IF($D1867="公共区域","公",IF($D1867="商铺","S",SUBSTITUTE($D1867,"栋","")))&amp;"-"&amp;$E1867&amp;"-"&amp;TEXT(MONTH($B1867),"00")&amp;TEXT(DAY($B1867),"00")&amp;IF(ISNUMBER($O1867),IF($O1867&gt;1,"-"&amp;TEXT($O1867,"00"),""),"")))</f>
        <v/>
      </c>
      <c r="B1867" s="14"/>
      <c r="C1867" s="10"/>
      <c r="D1867" s="10"/>
      <c r="E1867" s="10"/>
      <c r="F1867" s="16"/>
      <c r="G1867" s="10"/>
      <c r="H1867" s="10"/>
      <c r="I1867" s="10"/>
      <c r="J1867" s="10"/>
      <c r="K1867" s="10"/>
      <c r="L1867" s="10"/>
      <c r="M1867" s="14"/>
      <c r="N1867" s="17" t="str">
        <f aca="false">IF($B1867="","",IF($L1867="已完成",IF($M1867="","",$M1867-$B1867),IF(设置!$B$6&lt;$B1867,"",IF((设置!$B$6-$B1867)&gt;=设置!$B$5,"超期"&amp;(设置!$B$6-$B1867)&amp;"天","已等"&amp;(设置!$B$6-$B1867)&amp;"天"))))</f>
        <v/>
      </c>
      <c r="O1867" s="18" t="str">
        <f aca="false">IF(OR($D1867="",$E1867=""),"",COUNTIFS($D$7:$D1867,$D1867,$E$7:$E1867,$E1867))</f>
        <v/>
      </c>
      <c r="P1867" s="16"/>
      <c r="Q1867" s="19"/>
      <c r="R1867" s="10"/>
      <c r="S1867" s="16"/>
      <c r="T1867" s="0" t="str">
        <f aca="false">IF(OR($D1867="",单元查询!$B$3=""),"",IF($D1867&lt;&gt;单元查询!$B$3,"",IF(OR(单元查询!$D$3="",$E1867&amp;""=单元查询!$D$3&amp;""),IF(ISNUMBER($B1867),$B1867*10000,0)+ROW(),"")))</f>
        <v/>
      </c>
      <c r="U1867" s="0" t="str">
        <f aca="false">IF(OR($B1867="",$L1867="已完成"),"",IF(ISNUMBER($B1867),IF(设置!$B$6&lt;$B1867,"",(设置!$B$6-$B1867)*100000+ROW()),""))</f>
        <v/>
      </c>
      <c r="V1867" s="0" t="str">
        <f aca="false">IF(ISNUMBER($O1867),IF($O1867&gt;=2,IF(COUNTIFS($D1867:$D$2006,$D1867,$E1867:$E$2006,$E1867)=1,ROW(),""),""),"")</f>
        <v/>
      </c>
    </row>
    <row r="1868" customFormat="false" ht="15" hidden="false" customHeight="true" outlineLevel="0" collapsed="false">
      <c r="A1868" s="13" t="str">
        <f aca="false">IF(AND($B1868="",$D1868="",$E1868="",$F1868=""),"",IF(OR($B1868="",$D1868="",$E1868=""),"待补",IF($D1868="公共区域","公",IF($D1868="商铺","S",SUBSTITUTE($D1868,"栋","")))&amp;"-"&amp;$E1868&amp;"-"&amp;TEXT(MONTH($B1868),"00")&amp;TEXT(DAY($B1868),"00")&amp;IF(ISNUMBER($O1868),IF($O1868&gt;1,"-"&amp;TEXT($O1868,"00"),""),"")))</f>
        <v/>
      </c>
      <c r="B1868" s="14"/>
      <c r="C1868" s="10"/>
      <c r="D1868" s="10"/>
      <c r="E1868" s="10"/>
      <c r="F1868" s="16"/>
      <c r="G1868" s="10"/>
      <c r="H1868" s="10"/>
      <c r="I1868" s="10"/>
      <c r="J1868" s="10"/>
      <c r="K1868" s="10"/>
      <c r="L1868" s="10"/>
      <c r="M1868" s="14"/>
      <c r="N1868" s="17" t="str">
        <f aca="false">IF($B1868="","",IF($L1868="已完成",IF($M1868="","",$M1868-$B1868),IF(设置!$B$6&lt;$B1868,"",IF((设置!$B$6-$B1868)&gt;=设置!$B$5,"超期"&amp;(设置!$B$6-$B1868)&amp;"天","已等"&amp;(设置!$B$6-$B1868)&amp;"天"))))</f>
        <v/>
      </c>
      <c r="O1868" s="18" t="str">
        <f aca="false">IF(OR($D1868="",$E1868=""),"",COUNTIFS($D$7:$D1868,$D1868,$E$7:$E1868,$E1868))</f>
        <v/>
      </c>
      <c r="P1868" s="16"/>
      <c r="Q1868" s="19"/>
      <c r="R1868" s="10"/>
      <c r="S1868" s="16"/>
      <c r="T1868" s="0" t="str">
        <f aca="false">IF(OR($D1868="",单元查询!$B$3=""),"",IF($D1868&lt;&gt;单元查询!$B$3,"",IF(OR(单元查询!$D$3="",$E1868&amp;""=单元查询!$D$3&amp;""),IF(ISNUMBER($B1868),$B1868*10000,0)+ROW(),"")))</f>
        <v/>
      </c>
      <c r="U1868" s="0" t="str">
        <f aca="false">IF(OR($B1868="",$L1868="已完成"),"",IF(ISNUMBER($B1868),IF(设置!$B$6&lt;$B1868,"",(设置!$B$6-$B1868)*100000+ROW()),""))</f>
        <v/>
      </c>
      <c r="V1868" s="0" t="str">
        <f aca="false">IF(ISNUMBER($O1868),IF($O1868&gt;=2,IF(COUNTIFS($D1868:$D$2006,$D1868,$E1868:$E$2006,$E1868)=1,ROW(),""),""),"")</f>
        <v/>
      </c>
    </row>
    <row r="1869" customFormat="false" ht="15" hidden="false" customHeight="true" outlineLevel="0" collapsed="false">
      <c r="A1869" s="13" t="str">
        <f aca="false">IF(AND($B1869="",$D1869="",$E1869="",$F1869=""),"",IF(OR($B1869="",$D1869="",$E1869=""),"待补",IF($D1869="公共区域","公",IF($D1869="商铺","S",SUBSTITUTE($D1869,"栋","")))&amp;"-"&amp;$E1869&amp;"-"&amp;TEXT(MONTH($B1869),"00")&amp;TEXT(DAY($B1869),"00")&amp;IF(ISNUMBER($O1869),IF($O1869&gt;1,"-"&amp;TEXT($O1869,"00"),""),"")))</f>
        <v/>
      </c>
      <c r="B1869" s="14"/>
      <c r="C1869" s="10"/>
      <c r="D1869" s="10"/>
      <c r="E1869" s="10"/>
      <c r="F1869" s="16"/>
      <c r="G1869" s="10"/>
      <c r="H1869" s="10"/>
      <c r="I1869" s="10"/>
      <c r="J1869" s="10"/>
      <c r="K1869" s="10"/>
      <c r="L1869" s="10"/>
      <c r="M1869" s="14"/>
      <c r="N1869" s="17" t="str">
        <f aca="false">IF($B1869="","",IF($L1869="已完成",IF($M1869="","",$M1869-$B1869),IF(设置!$B$6&lt;$B1869,"",IF((设置!$B$6-$B1869)&gt;=设置!$B$5,"超期"&amp;(设置!$B$6-$B1869)&amp;"天","已等"&amp;(设置!$B$6-$B1869)&amp;"天"))))</f>
        <v/>
      </c>
      <c r="O1869" s="18" t="str">
        <f aca="false">IF(OR($D1869="",$E1869=""),"",COUNTIFS($D$7:$D1869,$D1869,$E$7:$E1869,$E1869))</f>
        <v/>
      </c>
      <c r="P1869" s="16"/>
      <c r="Q1869" s="19"/>
      <c r="R1869" s="10"/>
      <c r="S1869" s="16"/>
      <c r="T1869" s="0" t="str">
        <f aca="false">IF(OR($D1869="",单元查询!$B$3=""),"",IF($D1869&lt;&gt;单元查询!$B$3,"",IF(OR(单元查询!$D$3="",$E1869&amp;""=单元查询!$D$3&amp;""),IF(ISNUMBER($B1869),$B1869*10000,0)+ROW(),"")))</f>
        <v/>
      </c>
      <c r="U1869" s="0" t="str">
        <f aca="false">IF(OR($B1869="",$L1869="已完成"),"",IF(ISNUMBER($B1869),IF(设置!$B$6&lt;$B1869,"",(设置!$B$6-$B1869)*100000+ROW()),""))</f>
        <v/>
      </c>
      <c r="V1869" s="0" t="str">
        <f aca="false">IF(ISNUMBER($O1869),IF($O1869&gt;=2,IF(COUNTIFS($D1869:$D$2006,$D1869,$E1869:$E$2006,$E1869)=1,ROW(),""),""),"")</f>
        <v/>
      </c>
    </row>
    <row r="1870" customFormat="false" ht="15" hidden="false" customHeight="true" outlineLevel="0" collapsed="false">
      <c r="A1870" s="13" t="str">
        <f aca="false">IF(AND($B1870="",$D1870="",$E1870="",$F1870=""),"",IF(OR($B1870="",$D1870="",$E1870=""),"待补",IF($D1870="公共区域","公",IF($D1870="商铺","S",SUBSTITUTE($D1870,"栋","")))&amp;"-"&amp;$E1870&amp;"-"&amp;TEXT(MONTH($B1870),"00")&amp;TEXT(DAY($B1870),"00")&amp;IF(ISNUMBER($O1870),IF($O1870&gt;1,"-"&amp;TEXT($O1870,"00"),""),"")))</f>
        <v/>
      </c>
      <c r="B1870" s="14"/>
      <c r="C1870" s="10"/>
      <c r="D1870" s="10"/>
      <c r="E1870" s="10"/>
      <c r="F1870" s="16"/>
      <c r="G1870" s="10"/>
      <c r="H1870" s="10"/>
      <c r="I1870" s="10"/>
      <c r="J1870" s="10"/>
      <c r="K1870" s="10"/>
      <c r="L1870" s="10"/>
      <c r="M1870" s="14"/>
      <c r="N1870" s="17" t="str">
        <f aca="false">IF($B1870="","",IF($L1870="已完成",IF($M1870="","",$M1870-$B1870),IF(设置!$B$6&lt;$B1870,"",IF((设置!$B$6-$B1870)&gt;=设置!$B$5,"超期"&amp;(设置!$B$6-$B1870)&amp;"天","已等"&amp;(设置!$B$6-$B1870)&amp;"天"))))</f>
        <v/>
      </c>
      <c r="O1870" s="18" t="str">
        <f aca="false">IF(OR($D1870="",$E1870=""),"",COUNTIFS($D$7:$D1870,$D1870,$E$7:$E1870,$E1870))</f>
        <v/>
      </c>
      <c r="P1870" s="16"/>
      <c r="Q1870" s="19"/>
      <c r="R1870" s="10"/>
      <c r="S1870" s="16"/>
      <c r="T1870" s="0" t="str">
        <f aca="false">IF(OR($D1870="",单元查询!$B$3=""),"",IF($D1870&lt;&gt;单元查询!$B$3,"",IF(OR(单元查询!$D$3="",$E1870&amp;""=单元查询!$D$3&amp;""),IF(ISNUMBER($B1870),$B1870*10000,0)+ROW(),"")))</f>
        <v/>
      </c>
      <c r="U1870" s="0" t="str">
        <f aca="false">IF(OR($B1870="",$L1870="已完成"),"",IF(ISNUMBER($B1870),IF(设置!$B$6&lt;$B1870,"",(设置!$B$6-$B1870)*100000+ROW()),""))</f>
        <v/>
      </c>
      <c r="V1870" s="0" t="str">
        <f aca="false">IF(ISNUMBER($O1870),IF($O1870&gt;=2,IF(COUNTIFS($D1870:$D$2006,$D1870,$E1870:$E$2006,$E1870)=1,ROW(),""),""),"")</f>
        <v/>
      </c>
    </row>
    <row r="1871" customFormat="false" ht="15" hidden="false" customHeight="true" outlineLevel="0" collapsed="false">
      <c r="A1871" s="13" t="str">
        <f aca="false">IF(AND($B1871="",$D1871="",$E1871="",$F1871=""),"",IF(OR($B1871="",$D1871="",$E1871=""),"待补",IF($D1871="公共区域","公",IF($D1871="商铺","S",SUBSTITUTE($D1871,"栋","")))&amp;"-"&amp;$E1871&amp;"-"&amp;TEXT(MONTH($B1871),"00")&amp;TEXT(DAY($B1871),"00")&amp;IF(ISNUMBER($O1871),IF($O1871&gt;1,"-"&amp;TEXT($O1871,"00"),""),"")))</f>
        <v/>
      </c>
      <c r="B1871" s="14"/>
      <c r="C1871" s="10"/>
      <c r="D1871" s="10"/>
      <c r="E1871" s="10"/>
      <c r="F1871" s="16"/>
      <c r="G1871" s="10"/>
      <c r="H1871" s="10"/>
      <c r="I1871" s="10"/>
      <c r="J1871" s="10"/>
      <c r="K1871" s="10"/>
      <c r="L1871" s="10"/>
      <c r="M1871" s="14"/>
      <c r="N1871" s="17" t="str">
        <f aca="false">IF($B1871="","",IF($L1871="已完成",IF($M1871="","",$M1871-$B1871),IF(设置!$B$6&lt;$B1871,"",IF((设置!$B$6-$B1871)&gt;=设置!$B$5,"超期"&amp;(设置!$B$6-$B1871)&amp;"天","已等"&amp;(设置!$B$6-$B1871)&amp;"天"))))</f>
        <v/>
      </c>
      <c r="O1871" s="18" t="str">
        <f aca="false">IF(OR($D1871="",$E1871=""),"",COUNTIFS($D$7:$D1871,$D1871,$E$7:$E1871,$E1871))</f>
        <v/>
      </c>
      <c r="P1871" s="16"/>
      <c r="Q1871" s="19"/>
      <c r="R1871" s="10"/>
      <c r="S1871" s="16"/>
      <c r="T1871" s="0" t="str">
        <f aca="false">IF(OR($D1871="",单元查询!$B$3=""),"",IF($D1871&lt;&gt;单元查询!$B$3,"",IF(OR(单元查询!$D$3="",$E1871&amp;""=单元查询!$D$3&amp;""),IF(ISNUMBER($B1871),$B1871*10000,0)+ROW(),"")))</f>
        <v/>
      </c>
      <c r="U1871" s="0" t="str">
        <f aca="false">IF(OR($B1871="",$L1871="已完成"),"",IF(ISNUMBER($B1871),IF(设置!$B$6&lt;$B1871,"",(设置!$B$6-$B1871)*100000+ROW()),""))</f>
        <v/>
      </c>
      <c r="V1871" s="0" t="str">
        <f aca="false">IF(ISNUMBER($O1871),IF($O1871&gt;=2,IF(COUNTIFS($D1871:$D$2006,$D1871,$E1871:$E$2006,$E1871)=1,ROW(),""),""),"")</f>
        <v/>
      </c>
    </row>
    <row r="1872" customFormat="false" ht="15" hidden="false" customHeight="true" outlineLevel="0" collapsed="false">
      <c r="A1872" s="13" t="str">
        <f aca="false">IF(AND($B1872="",$D1872="",$E1872="",$F1872=""),"",IF(OR($B1872="",$D1872="",$E1872=""),"待补",IF($D1872="公共区域","公",IF($D1872="商铺","S",SUBSTITUTE($D1872,"栋","")))&amp;"-"&amp;$E1872&amp;"-"&amp;TEXT(MONTH($B1872),"00")&amp;TEXT(DAY($B1872),"00")&amp;IF(ISNUMBER($O1872),IF($O1872&gt;1,"-"&amp;TEXT($O1872,"00"),""),"")))</f>
        <v/>
      </c>
      <c r="B1872" s="14"/>
      <c r="C1872" s="10"/>
      <c r="D1872" s="10"/>
      <c r="E1872" s="10"/>
      <c r="F1872" s="16"/>
      <c r="G1872" s="10"/>
      <c r="H1872" s="10"/>
      <c r="I1872" s="10"/>
      <c r="J1872" s="10"/>
      <c r="K1872" s="10"/>
      <c r="L1872" s="10"/>
      <c r="M1872" s="14"/>
      <c r="N1872" s="17" t="str">
        <f aca="false">IF($B1872="","",IF($L1872="已完成",IF($M1872="","",$M1872-$B1872),IF(设置!$B$6&lt;$B1872,"",IF((设置!$B$6-$B1872)&gt;=设置!$B$5,"超期"&amp;(设置!$B$6-$B1872)&amp;"天","已等"&amp;(设置!$B$6-$B1872)&amp;"天"))))</f>
        <v/>
      </c>
      <c r="O1872" s="18" t="str">
        <f aca="false">IF(OR($D1872="",$E1872=""),"",COUNTIFS($D$7:$D1872,$D1872,$E$7:$E1872,$E1872))</f>
        <v/>
      </c>
      <c r="P1872" s="16"/>
      <c r="Q1872" s="19"/>
      <c r="R1872" s="10"/>
      <c r="S1872" s="16"/>
      <c r="T1872" s="0" t="str">
        <f aca="false">IF(OR($D1872="",单元查询!$B$3=""),"",IF($D1872&lt;&gt;单元查询!$B$3,"",IF(OR(单元查询!$D$3="",$E1872&amp;""=单元查询!$D$3&amp;""),IF(ISNUMBER($B1872),$B1872*10000,0)+ROW(),"")))</f>
        <v/>
      </c>
      <c r="U1872" s="0" t="str">
        <f aca="false">IF(OR($B1872="",$L1872="已完成"),"",IF(ISNUMBER($B1872),IF(设置!$B$6&lt;$B1872,"",(设置!$B$6-$B1872)*100000+ROW()),""))</f>
        <v/>
      </c>
      <c r="V1872" s="0" t="str">
        <f aca="false">IF(ISNUMBER($O1872),IF($O1872&gt;=2,IF(COUNTIFS($D1872:$D$2006,$D1872,$E1872:$E$2006,$E1872)=1,ROW(),""),""),"")</f>
        <v/>
      </c>
    </row>
    <row r="1873" customFormat="false" ht="15" hidden="false" customHeight="true" outlineLevel="0" collapsed="false">
      <c r="A1873" s="13" t="str">
        <f aca="false">IF(AND($B1873="",$D1873="",$E1873="",$F1873=""),"",IF(OR($B1873="",$D1873="",$E1873=""),"待补",IF($D1873="公共区域","公",IF($D1873="商铺","S",SUBSTITUTE($D1873,"栋","")))&amp;"-"&amp;$E1873&amp;"-"&amp;TEXT(MONTH($B1873),"00")&amp;TEXT(DAY($B1873),"00")&amp;IF(ISNUMBER($O1873),IF($O1873&gt;1,"-"&amp;TEXT($O1873,"00"),""),"")))</f>
        <v/>
      </c>
      <c r="B1873" s="14"/>
      <c r="C1873" s="10"/>
      <c r="D1873" s="10"/>
      <c r="E1873" s="10"/>
      <c r="F1873" s="16"/>
      <c r="G1873" s="10"/>
      <c r="H1873" s="10"/>
      <c r="I1873" s="10"/>
      <c r="J1873" s="10"/>
      <c r="K1873" s="10"/>
      <c r="L1873" s="10"/>
      <c r="M1873" s="14"/>
      <c r="N1873" s="17" t="str">
        <f aca="false">IF($B1873="","",IF($L1873="已完成",IF($M1873="","",$M1873-$B1873),IF(设置!$B$6&lt;$B1873,"",IF((设置!$B$6-$B1873)&gt;=设置!$B$5,"超期"&amp;(设置!$B$6-$B1873)&amp;"天","已等"&amp;(设置!$B$6-$B1873)&amp;"天"))))</f>
        <v/>
      </c>
      <c r="O1873" s="18" t="str">
        <f aca="false">IF(OR($D1873="",$E1873=""),"",COUNTIFS($D$7:$D1873,$D1873,$E$7:$E1873,$E1873))</f>
        <v/>
      </c>
      <c r="P1873" s="16"/>
      <c r="Q1873" s="19"/>
      <c r="R1873" s="10"/>
      <c r="S1873" s="16"/>
      <c r="T1873" s="0" t="str">
        <f aca="false">IF(OR($D1873="",单元查询!$B$3=""),"",IF($D1873&lt;&gt;单元查询!$B$3,"",IF(OR(单元查询!$D$3="",$E1873&amp;""=单元查询!$D$3&amp;""),IF(ISNUMBER($B1873),$B1873*10000,0)+ROW(),"")))</f>
        <v/>
      </c>
      <c r="U1873" s="0" t="str">
        <f aca="false">IF(OR($B1873="",$L1873="已完成"),"",IF(ISNUMBER($B1873),IF(设置!$B$6&lt;$B1873,"",(设置!$B$6-$B1873)*100000+ROW()),""))</f>
        <v/>
      </c>
      <c r="V1873" s="0" t="str">
        <f aca="false">IF(ISNUMBER($O1873),IF($O1873&gt;=2,IF(COUNTIFS($D1873:$D$2006,$D1873,$E1873:$E$2006,$E1873)=1,ROW(),""),""),"")</f>
        <v/>
      </c>
    </row>
    <row r="1874" customFormat="false" ht="15" hidden="false" customHeight="true" outlineLevel="0" collapsed="false">
      <c r="A1874" s="13" t="str">
        <f aca="false">IF(AND($B1874="",$D1874="",$E1874="",$F1874=""),"",IF(OR($B1874="",$D1874="",$E1874=""),"待补",IF($D1874="公共区域","公",IF($D1874="商铺","S",SUBSTITUTE($D1874,"栋","")))&amp;"-"&amp;$E1874&amp;"-"&amp;TEXT(MONTH($B1874),"00")&amp;TEXT(DAY($B1874),"00")&amp;IF(ISNUMBER($O1874),IF($O1874&gt;1,"-"&amp;TEXT($O1874,"00"),""),"")))</f>
        <v/>
      </c>
      <c r="B1874" s="14"/>
      <c r="C1874" s="10"/>
      <c r="D1874" s="10"/>
      <c r="E1874" s="10"/>
      <c r="F1874" s="16"/>
      <c r="G1874" s="10"/>
      <c r="H1874" s="10"/>
      <c r="I1874" s="10"/>
      <c r="J1874" s="10"/>
      <c r="K1874" s="10"/>
      <c r="L1874" s="10"/>
      <c r="M1874" s="14"/>
      <c r="N1874" s="17" t="str">
        <f aca="false">IF($B1874="","",IF($L1874="已完成",IF($M1874="","",$M1874-$B1874),IF(设置!$B$6&lt;$B1874,"",IF((设置!$B$6-$B1874)&gt;=设置!$B$5,"超期"&amp;(设置!$B$6-$B1874)&amp;"天","已等"&amp;(设置!$B$6-$B1874)&amp;"天"))))</f>
        <v/>
      </c>
      <c r="O1874" s="18" t="str">
        <f aca="false">IF(OR($D1874="",$E1874=""),"",COUNTIFS($D$7:$D1874,$D1874,$E$7:$E1874,$E1874))</f>
        <v/>
      </c>
      <c r="P1874" s="16"/>
      <c r="Q1874" s="19"/>
      <c r="R1874" s="10"/>
      <c r="S1874" s="16"/>
      <c r="T1874" s="0" t="str">
        <f aca="false">IF(OR($D1874="",单元查询!$B$3=""),"",IF($D1874&lt;&gt;单元查询!$B$3,"",IF(OR(单元查询!$D$3="",$E1874&amp;""=单元查询!$D$3&amp;""),IF(ISNUMBER($B1874),$B1874*10000,0)+ROW(),"")))</f>
        <v/>
      </c>
      <c r="U1874" s="0" t="str">
        <f aca="false">IF(OR($B1874="",$L1874="已完成"),"",IF(ISNUMBER($B1874),IF(设置!$B$6&lt;$B1874,"",(设置!$B$6-$B1874)*100000+ROW()),""))</f>
        <v/>
      </c>
      <c r="V1874" s="0" t="str">
        <f aca="false">IF(ISNUMBER($O1874),IF($O1874&gt;=2,IF(COUNTIFS($D1874:$D$2006,$D1874,$E1874:$E$2006,$E1874)=1,ROW(),""),""),"")</f>
        <v/>
      </c>
    </row>
    <row r="1875" customFormat="false" ht="15" hidden="false" customHeight="true" outlineLevel="0" collapsed="false">
      <c r="A1875" s="13" t="str">
        <f aca="false">IF(AND($B1875="",$D1875="",$E1875="",$F1875=""),"",IF(OR($B1875="",$D1875="",$E1875=""),"待补",IF($D1875="公共区域","公",IF($D1875="商铺","S",SUBSTITUTE($D1875,"栋","")))&amp;"-"&amp;$E1875&amp;"-"&amp;TEXT(MONTH($B1875),"00")&amp;TEXT(DAY($B1875),"00")&amp;IF(ISNUMBER($O1875),IF($O1875&gt;1,"-"&amp;TEXT($O1875,"00"),""),"")))</f>
        <v/>
      </c>
      <c r="B1875" s="14"/>
      <c r="C1875" s="10"/>
      <c r="D1875" s="10"/>
      <c r="E1875" s="10"/>
      <c r="F1875" s="16"/>
      <c r="G1875" s="10"/>
      <c r="H1875" s="10"/>
      <c r="I1875" s="10"/>
      <c r="J1875" s="10"/>
      <c r="K1875" s="10"/>
      <c r="L1875" s="10"/>
      <c r="M1875" s="14"/>
      <c r="N1875" s="17" t="str">
        <f aca="false">IF($B1875="","",IF($L1875="已完成",IF($M1875="","",$M1875-$B1875),IF(设置!$B$6&lt;$B1875,"",IF((设置!$B$6-$B1875)&gt;=设置!$B$5,"超期"&amp;(设置!$B$6-$B1875)&amp;"天","已等"&amp;(设置!$B$6-$B1875)&amp;"天"))))</f>
        <v/>
      </c>
      <c r="O1875" s="18" t="str">
        <f aca="false">IF(OR($D1875="",$E1875=""),"",COUNTIFS($D$7:$D1875,$D1875,$E$7:$E1875,$E1875))</f>
        <v/>
      </c>
      <c r="P1875" s="16"/>
      <c r="Q1875" s="19"/>
      <c r="R1875" s="10"/>
      <c r="S1875" s="16"/>
      <c r="T1875" s="0" t="str">
        <f aca="false">IF(OR($D1875="",单元查询!$B$3=""),"",IF($D1875&lt;&gt;单元查询!$B$3,"",IF(OR(单元查询!$D$3="",$E1875&amp;""=单元查询!$D$3&amp;""),IF(ISNUMBER($B1875),$B1875*10000,0)+ROW(),"")))</f>
        <v/>
      </c>
      <c r="U1875" s="0" t="str">
        <f aca="false">IF(OR($B1875="",$L1875="已完成"),"",IF(ISNUMBER($B1875),IF(设置!$B$6&lt;$B1875,"",(设置!$B$6-$B1875)*100000+ROW()),""))</f>
        <v/>
      </c>
      <c r="V1875" s="0" t="str">
        <f aca="false">IF(ISNUMBER($O1875),IF($O1875&gt;=2,IF(COUNTIFS($D1875:$D$2006,$D1875,$E1875:$E$2006,$E1875)=1,ROW(),""),""),"")</f>
        <v/>
      </c>
    </row>
    <row r="1876" customFormat="false" ht="15" hidden="false" customHeight="true" outlineLevel="0" collapsed="false">
      <c r="A1876" s="13" t="str">
        <f aca="false">IF(AND($B1876="",$D1876="",$E1876="",$F1876=""),"",IF(OR($B1876="",$D1876="",$E1876=""),"待补",IF($D1876="公共区域","公",IF($D1876="商铺","S",SUBSTITUTE($D1876,"栋","")))&amp;"-"&amp;$E1876&amp;"-"&amp;TEXT(MONTH($B1876),"00")&amp;TEXT(DAY($B1876),"00")&amp;IF(ISNUMBER($O1876),IF($O1876&gt;1,"-"&amp;TEXT($O1876,"00"),""),"")))</f>
        <v/>
      </c>
      <c r="B1876" s="14"/>
      <c r="C1876" s="10"/>
      <c r="D1876" s="10"/>
      <c r="E1876" s="10"/>
      <c r="F1876" s="16"/>
      <c r="G1876" s="10"/>
      <c r="H1876" s="10"/>
      <c r="I1876" s="10"/>
      <c r="J1876" s="10"/>
      <c r="K1876" s="10"/>
      <c r="L1876" s="10"/>
      <c r="M1876" s="14"/>
      <c r="N1876" s="17" t="str">
        <f aca="false">IF($B1876="","",IF($L1876="已完成",IF($M1876="","",$M1876-$B1876),IF(设置!$B$6&lt;$B1876,"",IF((设置!$B$6-$B1876)&gt;=设置!$B$5,"超期"&amp;(设置!$B$6-$B1876)&amp;"天","已等"&amp;(设置!$B$6-$B1876)&amp;"天"))))</f>
        <v/>
      </c>
      <c r="O1876" s="18" t="str">
        <f aca="false">IF(OR($D1876="",$E1876=""),"",COUNTIFS($D$7:$D1876,$D1876,$E$7:$E1876,$E1876))</f>
        <v/>
      </c>
      <c r="P1876" s="16"/>
      <c r="Q1876" s="19"/>
      <c r="R1876" s="10"/>
      <c r="S1876" s="16"/>
      <c r="T1876" s="0" t="str">
        <f aca="false">IF(OR($D1876="",单元查询!$B$3=""),"",IF($D1876&lt;&gt;单元查询!$B$3,"",IF(OR(单元查询!$D$3="",$E1876&amp;""=单元查询!$D$3&amp;""),IF(ISNUMBER($B1876),$B1876*10000,0)+ROW(),"")))</f>
        <v/>
      </c>
      <c r="U1876" s="0" t="str">
        <f aca="false">IF(OR($B1876="",$L1876="已完成"),"",IF(ISNUMBER($B1876),IF(设置!$B$6&lt;$B1876,"",(设置!$B$6-$B1876)*100000+ROW()),""))</f>
        <v/>
      </c>
      <c r="V1876" s="0" t="str">
        <f aca="false">IF(ISNUMBER($O1876),IF($O1876&gt;=2,IF(COUNTIFS($D1876:$D$2006,$D1876,$E1876:$E$2006,$E1876)=1,ROW(),""),""),"")</f>
        <v/>
      </c>
    </row>
    <row r="1877" customFormat="false" ht="15" hidden="false" customHeight="true" outlineLevel="0" collapsed="false">
      <c r="A1877" s="13" t="str">
        <f aca="false">IF(AND($B1877="",$D1877="",$E1877="",$F1877=""),"",IF(OR($B1877="",$D1877="",$E1877=""),"待补",IF($D1877="公共区域","公",IF($D1877="商铺","S",SUBSTITUTE($D1877,"栋","")))&amp;"-"&amp;$E1877&amp;"-"&amp;TEXT(MONTH($B1877),"00")&amp;TEXT(DAY($B1877),"00")&amp;IF(ISNUMBER($O1877),IF($O1877&gt;1,"-"&amp;TEXT($O1877,"00"),""),"")))</f>
        <v/>
      </c>
      <c r="B1877" s="14"/>
      <c r="C1877" s="10"/>
      <c r="D1877" s="10"/>
      <c r="E1877" s="10"/>
      <c r="F1877" s="16"/>
      <c r="G1877" s="10"/>
      <c r="H1877" s="10"/>
      <c r="I1877" s="10"/>
      <c r="J1877" s="10"/>
      <c r="K1877" s="10"/>
      <c r="L1877" s="10"/>
      <c r="M1877" s="14"/>
      <c r="N1877" s="17" t="str">
        <f aca="false">IF($B1877="","",IF($L1877="已完成",IF($M1877="","",$M1877-$B1877),IF(设置!$B$6&lt;$B1877,"",IF((设置!$B$6-$B1877)&gt;=设置!$B$5,"超期"&amp;(设置!$B$6-$B1877)&amp;"天","已等"&amp;(设置!$B$6-$B1877)&amp;"天"))))</f>
        <v/>
      </c>
      <c r="O1877" s="18" t="str">
        <f aca="false">IF(OR($D1877="",$E1877=""),"",COUNTIFS($D$7:$D1877,$D1877,$E$7:$E1877,$E1877))</f>
        <v/>
      </c>
      <c r="P1877" s="16"/>
      <c r="Q1877" s="19"/>
      <c r="R1877" s="10"/>
      <c r="S1877" s="16"/>
      <c r="T1877" s="0" t="str">
        <f aca="false">IF(OR($D1877="",单元查询!$B$3=""),"",IF($D1877&lt;&gt;单元查询!$B$3,"",IF(OR(单元查询!$D$3="",$E1877&amp;""=单元查询!$D$3&amp;""),IF(ISNUMBER($B1877),$B1877*10000,0)+ROW(),"")))</f>
        <v/>
      </c>
      <c r="U1877" s="0" t="str">
        <f aca="false">IF(OR($B1877="",$L1877="已完成"),"",IF(ISNUMBER($B1877),IF(设置!$B$6&lt;$B1877,"",(设置!$B$6-$B1877)*100000+ROW()),""))</f>
        <v/>
      </c>
      <c r="V1877" s="0" t="str">
        <f aca="false">IF(ISNUMBER($O1877),IF($O1877&gt;=2,IF(COUNTIFS($D1877:$D$2006,$D1877,$E1877:$E$2006,$E1877)=1,ROW(),""),""),"")</f>
        <v/>
      </c>
    </row>
    <row r="1878" customFormat="false" ht="15" hidden="false" customHeight="true" outlineLevel="0" collapsed="false">
      <c r="A1878" s="13" t="str">
        <f aca="false">IF(AND($B1878="",$D1878="",$E1878="",$F1878=""),"",IF(OR($B1878="",$D1878="",$E1878=""),"待补",IF($D1878="公共区域","公",IF($D1878="商铺","S",SUBSTITUTE($D1878,"栋","")))&amp;"-"&amp;$E1878&amp;"-"&amp;TEXT(MONTH($B1878),"00")&amp;TEXT(DAY($B1878),"00")&amp;IF(ISNUMBER($O1878),IF($O1878&gt;1,"-"&amp;TEXT($O1878,"00"),""),"")))</f>
        <v/>
      </c>
      <c r="B1878" s="14"/>
      <c r="C1878" s="10"/>
      <c r="D1878" s="10"/>
      <c r="E1878" s="10"/>
      <c r="F1878" s="16"/>
      <c r="G1878" s="10"/>
      <c r="H1878" s="10"/>
      <c r="I1878" s="10"/>
      <c r="J1878" s="10"/>
      <c r="K1878" s="10"/>
      <c r="L1878" s="10"/>
      <c r="M1878" s="14"/>
      <c r="N1878" s="17" t="str">
        <f aca="false">IF($B1878="","",IF($L1878="已完成",IF($M1878="","",$M1878-$B1878),IF(设置!$B$6&lt;$B1878,"",IF((设置!$B$6-$B1878)&gt;=设置!$B$5,"超期"&amp;(设置!$B$6-$B1878)&amp;"天","已等"&amp;(设置!$B$6-$B1878)&amp;"天"))))</f>
        <v/>
      </c>
      <c r="O1878" s="18" t="str">
        <f aca="false">IF(OR($D1878="",$E1878=""),"",COUNTIFS($D$7:$D1878,$D1878,$E$7:$E1878,$E1878))</f>
        <v/>
      </c>
      <c r="P1878" s="16"/>
      <c r="Q1878" s="19"/>
      <c r="R1878" s="10"/>
      <c r="S1878" s="16"/>
      <c r="T1878" s="0" t="str">
        <f aca="false">IF(OR($D1878="",单元查询!$B$3=""),"",IF($D1878&lt;&gt;单元查询!$B$3,"",IF(OR(单元查询!$D$3="",$E1878&amp;""=单元查询!$D$3&amp;""),IF(ISNUMBER($B1878),$B1878*10000,0)+ROW(),"")))</f>
        <v/>
      </c>
      <c r="U1878" s="0" t="str">
        <f aca="false">IF(OR($B1878="",$L1878="已完成"),"",IF(ISNUMBER($B1878),IF(设置!$B$6&lt;$B1878,"",(设置!$B$6-$B1878)*100000+ROW()),""))</f>
        <v/>
      </c>
      <c r="V1878" s="0" t="str">
        <f aca="false">IF(ISNUMBER($O1878),IF($O1878&gt;=2,IF(COUNTIFS($D1878:$D$2006,$D1878,$E1878:$E$2006,$E1878)=1,ROW(),""),""),"")</f>
        <v/>
      </c>
    </row>
    <row r="1879" customFormat="false" ht="15" hidden="false" customHeight="true" outlineLevel="0" collapsed="false">
      <c r="A1879" s="13" t="str">
        <f aca="false">IF(AND($B1879="",$D1879="",$E1879="",$F1879=""),"",IF(OR($B1879="",$D1879="",$E1879=""),"待补",IF($D1879="公共区域","公",IF($D1879="商铺","S",SUBSTITUTE($D1879,"栋","")))&amp;"-"&amp;$E1879&amp;"-"&amp;TEXT(MONTH($B1879),"00")&amp;TEXT(DAY($B1879),"00")&amp;IF(ISNUMBER($O1879),IF($O1879&gt;1,"-"&amp;TEXT($O1879,"00"),""),"")))</f>
        <v/>
      </c>
      <c r="B1879" s="14"/>
      <c r="C1879" s="10"/>
      <c r="D1879" s="10"/>
      <c r="E1879" s="10"/>
      <c r="F1879" s="16"/>
      <c r="G1879" s="10"/>
      <c r="H1879" s="10"/>
      <c r="I1879" s="10"/>
      <c r="J1879" s="10"/>
      <c r="K1879" s="10"/>
      <c r="L1879" s="10"/>
      <c r="M1879" s="14"/>
      <c r="N1879" s="17" t="str">
        <f aca="false">IF($B1879="","",IF($L1879="已完成",IF($M1879="","",$M1879-$B1879),IF(设置!$B$6&lt;$B1879,"",IF((设置!$B$6-$B1879)&gt;=设置!$B$5,"超期"&amp;(设置!$B$6-$B1879)&amp;"天","已等"&amp;(设置!$B$6-$B1879)&amp;"天"))))</f>
        <v/>
      </c>
      <c r="O1879" s="18" t="str">
        <f aca="false">IF(OR($D1879="",$E1879=""),"",COUNTIFS($D$7:$D1879,$D1879,$E$7:$E1879,$E1879))</f>
        <v/>
      </c>
      <c r="P1879" s="16"/>
      <c r="Q1879" s="19"/>
      <c r="R1879" s="10"/>
      <c r="S1879" s="16"/>
      <c r="T1879" s="0" t="str">
        <f aca="false">IF(OR($D1879="",单元查询!$B$3=""),"",IF($D1879&lt;&gt;单元查询!$B$3,"",IF(OR(单元查询!$D$3="",$E1879&amp;""=单元查询!$D$3&amp;""),IF(ISNUMBER($B1879),$B1879*10000,0)+ROW(),"")))</f>
        <v/>
      </c>
      <c r="U1879" s="0" t="str">
        <f aca="false">IF(OR($B1879="",$L1879="已完成"),"",IF(ISNUMBER($B1879),IF(设置!$B$6&lt;$B1879,"",(设置!$B$6-$B1879)*100000+ROW()),""))</f>
        <v/>
      </c>
      <c r="V1879" s="0" t="str">
        <f aca="false">IF(ISNUMBER($O1879),IF($O1879&gt;=2,IF(COUNTIFS($D1879:$D$2006,$D1879,$E1879:$E$2006,$E1879)=1,ROW(),""),""),"")</f>
        <v/>
      </c>
    </row>
    <row r="1880" customFormat="false" ht="15" hidden="false" customHeight="true" outlineLevel="0" collapsed="false">
      <c r="A1880" s="13" t="str">
        <f aca="false">IF(AND($B1880="",$D1880="",$E1880="",$F1880=""),"",IF(OR($B1880="",$D1880="",$E1880=""),"待补",IF($D1880="公共区域","公",IF($D1880="商铺","S",SUBSTITUTE($D1880,"栋","")))&amp;"-"&amp;$E1880&amp;"-"&amp;TEXT(MONTH($B1880),"00")&amp;TEXT(DAY($B1880),"00")&amp;IF(ISNUMBER($O1880),IF($O1880&gt;1,"-"&amp;TEXT($O1880,"00"),""),"")))</f>
        <v/>
      </c>
      <c r="B1880" s="14"/>
      <c r="C1880" s="10"/>
      <c r="D1880" s="10"/>
      <c r="E1880" s="10"/>
      <c r="F1880" s="16"/>
      <c r="G1880" s="10"/>
      <c r="H1880" s="10"/>
      <c r="I1880" s="10"/>
      <c r="J1880" s="10"/>
      <c r="K1880" s="10"/>
      <c r="L1880" s="10"/>
      <c r="M1880" s="14"/>
      <c r="N1880" s="17" t="str">
        <f aca="false">IF($B1880="","",IF($L1880="已完成",IF($M1880="","",$M1880-$B1880),IF(设置!$B$6&lt;$B1880,"",IF((设置!$B$6-$B1880)&gt;=设置!$B$5,"超期"&amp;(设置!$B$6-$B1880)&amp;"天","已等"&amp;(设置!$B$6-$B1880)&amp;"天"))))</f>
        <v/>
      </c>
      <c r="O1880" s="18" t="str">
        <f aca="false">IF(OR($D1880="",$E1880=""),"",COUNTIFS($D$7:$D1880,$D1880,$E$7:$E1880,$E1880))</f>
        <v/>
      </c>
      <c r="P1880" s="16"/>
      <c r="Q1880" s="19"/>
      <c r="R1880" s="10"/>
      <c r="S1880" s="16"/>
      <c r="T1880" s="0" t="str">
        <f aca="false">IF(OR($D1880="",单元查询!$B$3=""),"",IF($D1880&lt;&gt;单元查询!$B$3,"",IF(OR(单元查询!$D$3="",$E1880&amp;""=单元查询!$D$3&amp;""),IF(ISNUMBER($B1880),$B1880*10000,0)+ROW(),"")))</f>
        <v/>
      </c>
      <c r="U1880" s="0" t="str">
        <f aca="false">IF(OR($B1880="",$L1880="已完成"),"",IF(ISNUMBER($B1880),IF(设置!$B$6&lt;$B1880,"",(设置!$B$6-$B1880)*100000+ROW()),""))</f>
        <v/>
      </c>
      <c r="V1880" s="0" t="str">
        <f aca="false">IF(ISNUMBER($O1880),IF($O1880&gt;=2,IF(COUNTIFS($D1880:$D$2006,$D1880,$E1880:$E$2006,$E1880)=1,ROW(),""),""),"")</f>
        <v/>
      </c>
    </row>
    <row r="1881" customFormat="false" ht="15" hidden="false" customHeight="true" outlineLevel="0" collapsed="false">
      <c r="A1881" s="13" t="str">
        <f aca="false">IF(AND($B1881="",$D1881="",$E1881="",$F1881=""),"",IF(OR($B1881="",$D1881="",$E1881=""),"待补",IF($D1881="公共区域","公",IF($D1881="商铺","S",SUBSTITUTE($D1881,"栋","")))&amp;"-"&amp;$E1881&amp;"-"&amp;TEXT(MONTH($B1881),"00")&amp;TEXT(DAY($B1881),"00")&amp;IF(ISNUMBER($O1881),IF($O1881&gt;1,"-"&amp;TEXT($O1881,"00"),""),"")))</f>
        <v/>
      </c>
      <c r="B1881" s="14"/>
      <c r="C1881" s="10"/>
      <c r="D1881" s="10"/>
      <c r="E1881" s="10"/>
      <c r="F1881" s="16"/>
      <c r="G1881" s="10"/>
      <c r="H1881" s="10"/>
      <c r="I1881" s="10"/>
      <c r="J1881" s="10"/>
      <c r="K1881" s="10"/>
      <c r="L1881" s="10"/>
      <c r="M1881" s="14"/>
      <c r="N1881" s="17" t="str">
        <f aca="false">IF($B1881="","",IF($L1881="已完成",IF($M1881="","",$M1881-$B1881),IF(设置!$B$6&lt;$B1881,"",IF((设置!$B$6-$B1881)&gt;=设置!$B$5,"超期"&amp;(设置!$B$6-$B1881)&amp;"天","已等"&amp;(设置!$B$6-$B1881)&amp;"天"))))</f>
        <v/>
      </c>
      <c r="O1881" s="18" t="str">
        <f aca="false">IF(OR($D1881="",$E1881=""),"",COUNTIFS($D$7:$D1881,$D1881,$E$7:$E1881,$E1881))</f>
        <v/>
      </c>
      <c r="P1881" s="16"/>
      <c r="Q1881" s="19"/>
      <c r="R1881" s="10"/>
      <c r="S1881" s="16"/>
      <c r="T1881" s="0" t="str">
        <f aca="false">IF(OR($D1881="",单元查询!$B$3=""),"",IF($D1881&lt;&gt;单元查询!$B$3,"",IF(OR(单元查询!$D$3="",$E1881&amp;""=单元查询!$D$3&amp;""),IF(ISNUMBER($B1881),$B1881*10000,0)+ROW(),"")))</f>
        <v/>
      </c>
      <c r="U1881" s="0" t="str">
        <f aca="false">IF(OR($B1881="",$L1881="已完成"),"",IF(ISNUMBER($B1881),IF(设置!$B$6&lt;$B1881,"",(设置!$B$6-$B1881)*100000+ROW()),""))</f>
        <v/>
      </c>
      <c r="V1881" s="0" t="str">
        <f aca="false">IF(ISNUMBER($O1881),IF($O1881&gt;=2,IF(COUNTIFS($D1881:$D$2006,$D1881,$E1881:$E$2006,$E1881)=1,ROW(),""),""),"")</f>
        <v/>
      </c>
    </row>
    <row r="1882" customFormat="false" ht="15" hidden="false" customHeight="true" outlineLevel="0" collapsed="false">
      <c r="A1882" s="13" t="str">
        <f aca="false">IF(AND($B1882="",$D1882="",$E1882="",$F1882=""),"",IF(OR($B1882="",$D1882="",$E1882=""),"待补",IF($D1882="公共区域","公",IF($D1882="商铺","S",SUBSTITUTE($D1882,"栋","")))&amp;"-"&amp;$E1882&amp;"-"&amp;TEXT(MONTH($B1882),"00")&amp;TEXT(DAY($B1882),"00")&amp;IF(ISNUMBER($O1882),IF($O1882&gt;1,"-"&amp;TEXT($O1882,"00"),""),"")))</f>
        <v/>
      </c>
      <c r="B1882" s="14"/>
      <c r="C1882" s="10"/>
      <c r="D1882" s="10"/>
      <c r="E1882" s="10"/>
      <c r="F1882" s="16"/>
      <c r="G1882" s="10"/>
      <c r="H1882" s="10"/>
      <c r="I1882" s="10"/>
      <c r="J1882" s="10"/>
      <c r="K1882" s="10"/>
      <c r="L1882" s="10"/>
      <c r="M1882" s="14"/>
      <c r="N1882" s="17" t="str">
        <f aca="false">IF($B1882="","",IF($L1882="已完成",IF($M1882="","",$M1882-$B1882),IF(设置!$B$6&lt;$B1882,"",IF((设置!$B$6-$B1882)&gt;=设置!$B$5,"超期"&amp;(设置!$B$6-$B1882)&amp;"天","已等"&amp;(设置!$B$6-$B1882)&amp;"天"))))</f>
        <v/>
      </c>
      <c r="O1882" s="18" t="str">
        <f aca="false">IF(OR($D1882="",$E1882=""),"",COUNTIFS($D$7:$D1882,$D1882,$E$7:$E1882,$E1882))</f>
        <v/>
      </c>
      <c r="P1882" s="16"/>
      <c r="Q1882" s="19"/>
      <c r="R1882" s="10"/>
      <c r="S1882" s="16"/>
      <c r="T1882" s="0" t="str">
        <f aca="false">IF(OR($D1882="",单元查询!$B$3=""),"",IF($D1882&lt;&gt;单元查询!$B$3,"",IF(OR(单元查询!$D$3="",$E1882&amp;""=单元查询!$D$3&amp;""),IF(ISNUMBER($B1882),$B1882*10000,0)+ROW(),"")))</f>
        <v/>
      </c>
      <c r="U1882" s="0" t="str">
        <f aca="false">IF(OR($B1882="",$L1882="已完成"),"",IF(ISNUMBER($B1882),IF(设置!$B$6&lt;$B1882,"",(设置!$B$6-$B1882)*100000+ROW()),""))</f>
        <v/>
      </c>
      <c r="V1882" s="0" t="str">
        <f aca="false">IF(ISNUMBER($O1882),IF($O1882&gt;=2,IF(COUNTIFS($D1882:$D$2006,$D1882,$E1882:$E$2006,$E1882)=1,ROW(),""),""),"")</f>
        <v/>
      </c>
    </row>
    <row r="1883" customFormat="false" ht="15" hidden="false" customHeight="true" outlineLevel="0" collapsed="false">
      <c r="A1883" s="13" t="str">
        <f aca="false">IF(AND($B1883="",$D1883="",$E1883="",$F1883=""),"",IF(OR($B1883="",$D1883="",$E1883=""),"待补",IF($D1883="公共区域","公",IF($D1883="商铺","S",SUBSTITUTE($D1883,"栋","")))&amp;"-"&amp;$E1883&amp;"-"&amp;TEXT(MONTH($B1883),"00")&amp;TEXT(DAY($B1883),"00")&amp;IF(ISNUMBER($O1883),IF($O1883&gt;1,"-"&amp;TEXT($O1883,"00"),""),"")))</f>
        <v/>
      </c>
      <c r="B1883" s="14"/>
      <c r="C1883" s="10"/>
      <c r="D1883" s="10"/>
      <c r="E1883" s="10"/>
      <c r="F1883" s="16"/>
      <c r="G1883" s="10"/>
      <c r="H1883" s="10"/>
      <c r="I1883" s="10"/>
      <c r="J1883" s="10"/>
      <c r="K1883" s="10"/>
      <c r="L1883" s="10"/>
      <c r="M1883" s="14"/>
      <c r="N1883" s="17" t="str">
        <f aca="false">IF($B1883="","",IF($L1883="已完成",IF($M1883="","",$M1883-$B1883),IF(设置!$B$6&lt;$B1883,"",IF((设置!$B$6-$B1883)&gt;=设置!$B$5,"超期"&amp;(设置!$B$6-$B1883)&amp;"天","已等"&amp;(设置!$B$6-$B1883)&amp;"天"))))</f>
        <v/>
      </c>
      <c r="O1883" s="18" t="str">
        <f aca="false">IF(OR($D1883="",$E1883=""),"",COUNTIFS($D$7:$D1883,$D1883,$E$7:$E1883,$E1883))</f>
        <v/>
      </c>
      <c r="P1883" s="16"/>
      <c r="Q1883" s="19"/>
      <c r="R1883" s="10"/>
      <c r="S1883" s="16"/>
      <c r="T1883" s="0" t="str">
        <f aca="false">IF(OR($D1883="",单元查询!$B$3=""),"",IF($D1883&lt;&gt;单元查询!$B$3,"",IF(OR(单元查询!$D$3="",$E1883&amp;""=单元查询!$D$3&amp;""),IF(ISNUMBER($B1883),$B1883*10000,0)+ROW(),"")))</f>
        <v/>
      </c>
      <c r="U1883" s="0" t="str">
        <f aca="false">IF(OR($B1883="",$L1883="已完成"),"",IF(ISNUMBER($B1883),IF(设置!$B$6&lt;$B1883,"",(设置!$B$6-$B1883)*100000+ROW()),""))</f>
        <v/>
      </c>
      <c r="V1883" s="0" t="str">
        <f aca="false">IF(ISNUMBER($O1883),IF($O1883&gt;=2,IF(COUNTIFS($D1883:$D$2006,$D1883,$E1883:$E$2006,$E1883)=1,ROW(),""),""),"")</f>
        <v/>
      </c>
    </row>
    <row r="1884" customFormat="false" ht="15" hidden="false" customHeight="true" outlineLevel="0" collapsed="false">
      <c r="A1884" s="13" t="str">
        <f aca="false">IF(AND($B1884="",$D1884="",$E1884="",$F1884=""),"",IF(OR($B1884="",$D1884="",$E1884=""),"待补",IF($D1884="公共区域","公",IF($D1884="商铺","S",SUBSTITUTE($D1884,"栋","")))&amp;"-"&amp;$E1884&amp;"-"&amp;TEXT(MONTH($B1884),"00")&amp;TEXT(DAY($B1884),"00")&amp;IF(ISNUMBER($O1884),IF($O1884&gt;1,"-"&amp;TEXT($O1884,"00"),""),"")))</f>
        <v/>
      </c>
      <c r="B1884" s="14"/>
      <c r="C1884" s="10"/>
      <c r="D1884" s="10"/>
      <c r="E1884" s="10"/>
      <c r="F1884" s="16"/>
      <c r="G1884" s="10"/>
      <c r="H1884" s="10"/>
      <c r="I1884" s="10"/>
      <c r="J1884" s="10"/>
      <c r="K1884" s="10"/>
      <c r="L1884" s="10"/>
      <c r="M1884" s="14"/>
      <c r="N1884" s="17" t="str">
        <f aca="false">IF($B1884="","",IF($L1884="已完成",IF($M1884="","",$M1884-$B1884),IF(设置!$B$6&lt;$B1884,"",IF((设置!$B$6-$B1884)&gt;=设置!$B$5,"超期"&amp;(设置!$B$6-$B1884)&amp;"天","已等"&amp;(设置!$B$6-$B1884)&amp;"天"))))</f>
        <v/>
      </c>
      <c r="O1884" s="18" t="str">
        <f aca="false">IF(OR($D1884="",$E1884=""),"",COUNTIFS($D$7:$D1884,$D1884,$E$7:$E1884,$E1884))</f>
        <v/>
      </c>
      <c r="P1884" s="16"/>
      <c r="Q1884" s="19"/>
      <c r="R1884" s="10"/>
      <c r="S1884" s="16"/>
      <c r="T1884" s="0" t="str">
        <f aca="false">IF(OR($D1884="",单元查询!$B$3=""),"",IF($D1884&lt;&gt;单元查询!$B$3,"",IF(OR(单元查询!$D$3="",$E1884&amp;""=单元查询!$D$3&amp;""),IF(ISNUMBER($B1884),$B1884*10000,0)+ROW(),"")))</f>
        <v/>
      </c>
      <c r="U1884" s="0" t="str">
        <f aca="false">IF(OR($B1884="",$L1884="已完成"),"",IF(ISNUMBER($B1884),IF(设置!$B$6&lt;$B1884,"",(设置!$B$6-$B1884)*100000+ROW()),""))</f>
        <v/>
      </c>
      <c r="V1884" s="0" t="str">
        <f aca="false">IF(ISNUMBER($O1884),IF($O1884&gt;=2,IF(COUNTIFS($D1884:$D$2006,$D1884,$E1884:$E$2006,$E1884)=1,ROW(),""),""),"")</f>
        <v/>
      </c>
    </row>
    <row r="1885" customFormat="false" ht="15" hidden="false" customHeight="true" outlineLevel="0" collapsed="false">
      <c r="A1885" s="13" t="str">
        <f aca="false">IF(AND($B1885="",$D1885="",$E1885="",$F1885=""),"",IF(OR($B1885="",$D1885="",$E1885=""),"待补",IF($D1885="公共区域","公",IF($D1885="商铺","S",SUBSTITUTE($D1885,"栋","")))&amp;"-"&amp;$E1885&amp;"-"&amp;TEXT(MONTH($B1885),"00")&amp;TEXT(DAY($B1885),"00")&amp;IF(ISNUMBER($O1885),IF($O1885&gt;1,"-"&amp;TEXT($O1885,"00"),""),"")))</f>
        <v/>
      </c>
      <c r="B1885" s="14"/>
      <c r="C1885" s="10"/>
      <c r="D1885" s="10"/>
      <c r="E1885" s="10"/>
      <c r="F1885" s="16"/>
      <c r="G1885" s="10"/>
      <c r="H1885" s="10"/>
      <c r="I1885" s="10"/>
      <c r="J1885" s="10"/>
      <c r="K1885" s="10"/>
      <c r="L1885" s="10"/>
      <c r="M1885" s="14"/>
      <c r="N1885" s="17" t="str">
        <f aca="false">IF($B1885="","",IF($L1885="已完成",IF($M1885="","",$M1885-$B1885),IF(设置!$B$6&lt;$B1885,"",IF((设置!$B$6-$B1885)&gt;=设置!$B$5,"超期"&amp;(设置!$B$6-$B1885)&amp;"天","已等"&amp;(设置!$B$6-$B1885)&amp;"天"))))</f>
        <v/>
      </c>
      <c r="O1885" s="18" t="str">
        <f aca="false">IF(OR($D1885="",$E1885=""),"",COUNTIFS($D$7:$D1885,$D1885,$E$7:$E1885,$E1885))</f>
        <v/>
      </c>
      <c r="P1885" s="16"/>
      <c r="Q1885" s="19"/>
      <c r="R1885" s="10"/>
      <c r="S1885" s="16"/>
      <c r="T1885" s="0" t="str">
        <f aca="false">IF(OR($D1885="",单元查询!$B$3=""),"",IF($D1885&lt;&gt;单元查询!$B$3,"",IF(OR(单元查询!$D$3="",$E1885&amp;""=单元查询!$D$3&amp;""),IF(ISNUMBER($B1885),$B1885*10000,0)+ROW(),"")))</f>
        <v/>
      </c>
      <c r="U1885" s="0" t="str">
        <f aca="false">IF(OR($B1885="",$L1885="已完成"),"",IF(ISNUMBER($B1885),IF(设置!$B$6&lt;$B1885,"",(设置!$B$6-$B1885)*100000+ROW()),""))</f>
        <v/>
      </c>
      <c r="V1885" s="0" t="str">
        <f aca="false">IF(ISNUMBER($O1885),IF($O1885&gt;=2,IF(COUNTIFS($D1885:$D$2006,$D1885,$E1885:$E$2006,$E1885)=1,ROW(),""),""),"")</f>
        <v/>
      </c>
    </row>
    <row r="1886" customFormat="false" ht="15" hidden="false" customHeight="true" outlineLevel="0" collapsed="false">
      <c r="A1886" s="13" t="str">
        <f aca="false">IF(AND($B1886="",$D1886="",$E1886="",$F1886=""),"",IF(OR($B1886="",$D1886="",$E1886=""),"待补",IF($D1886="公共区域","公",IF($D1886="商铺","S",SUBSTITUTE($D1886,"栋","")))&amp;"-"&amp;$E1886&amp;"-"&amp;TEXT(MONTH($B1886),"00")&amp;TEXT(DAY($B1886),"00")&amp;IF(ISNUMBER($O1886),IF($O1886&gt;1,"-"&amp;TEXT($O1886,"00"),""),"")))</f>
        <v/>
      </c>
      <c r="B1886" s="14"/>
      <c r="C1886" s="10"/>
      <c r="D1886" s="10"/>
      <c r="E1886" s="10"/>
      <c r="F1886" s="16"/>
      <c r="G1886" s="10"/>
      <c r="H1886" s="10"/>
      <c r="I1886" s="10"/>
      <c r="J1886" s="10"/>
      <c r="K1886" s="10"/>
      <c r="L1886" s="10"/>
      <c r="M1886" s="14"/>
      <c r="N1886" s="17" t="str">
        <f aca="false">IF($B1886="","",IF($L1886="已完成",IF($M1886="","",$M1886-$B1886),IF(设置!$B$6&lt;$B1886,"",IF((设置!$B$6-$B1886)&gt;=设置!$B$5,"超期"&amp;(设置!$B$6-$B1886)&amp;"天","已等"&amp;(设置!$B$6-$B1886)&amp;"天"))))</f>
        <v/>
      </c>
      <c r="O1886" s="18" t="str">
        <f aca="false">IF(OR($D1886="",$E1886=""),"",COUNTIFS($D$7:$D1886,$D1886,$E$7:$E1886,$E1886))</f>
        <v/>
      </c>
      <c r="P1886" s="16"/>
      <c r="Q1886" s="19"/>
      <c r="R1886" s="10"/>
      <c r="S1886" s="16"/>
      <c r="T1886" s="0" t="str">
        <f aca="false">IF(OR($D1886="",单元查询!$B$3=""),"",IF($D1886&lt;&gt;单元查询!$B$3,"",IF(OR(单元查询!$D$3="",$E1886&amp;""=单元查询!$D$3&amp;""),IF(ISNUMBER($B1886),$B1886*10000,0)+ROW(),"")))</f>
        <v/>
      </c>
      <c r="U1886" s="0" t="str">
        <f aca="false">IF(OR($B1886="",$L1886="已完成"),"",IF(ISNUMBER($B1886),IF(设置!$B$6&lt;$B1886,"",(设置!$B$6-$B1886)*100000+ROW()),""))</f>
        <v/>
      </c>
      <c r="V1886" s="0" t="str">
        <f aca="false">IF(ISNUMBER($O1886),IF($O1886&gt;=2,IF(COUNTIFS($D1886:$D$2006,$D1886,$E1886:$E$2006,$E1886)=1,ROW(),""),""),"")</f>
        <v/>
      </c>
    </row>
    <row r="1887" customFormat="false" ht="15" hidden="false" customHeight="true" outlineLevel="0" collapsed="false">
      <c r="A1887" s="13" t="str">
        <f aca="false">IF(AND($B1887="",$D1887="",$E1887="",$F1887=""),"",IF(OR($B1887="",$D1887="",$E1887=""),"待补",IF($D1887="公共区域","公",IF($D1887="商铺","S",SUBSTITUTE($D1887,"栋","")))&amp;"-"&amp;$E1887&amp;"-"&amp;TEXT(MONTH($B1887),"00")&amp;TEXT(DAY($B1887),"00")&amp;IF(ISNUMBER($O1887),IF($O1887&gt;1,"-"&amp;TEXT($O1887,"00"),""),"")))</f>
        <v/>
      </c>
      <c r="B1887" s="14"/>
      <c r="C1887" s="10"/>
      <c r="D1887" s="10"/>
      <c r="E1887" s="10"/>
      <c r="F1887" s="16"/>
      <c r="G1887" s="10"/>
      <c r="H1887" s="10"/>
      <c r="I1887" s="10"/>
      <c r="J1887" s="10"/>
      <c r="K1887" s="10"/>
      <c r="L1887" s="10"/>
      <c r="M1887" s="14"/>
      <c r="N1887" s="17" t="str">
        <f aca="false">IF($B1887="","",IF($L1887="已完成",IF($M1887="","",$M1887-$B1887),IF(设置!$B$6&lt;$B1887,"",IF((设置!$B$6-$B1887)&gt;=设置!$B$5,"超期"&amp;(设置!$B$6-$B1887)&amp;"天","已等"&amp;(设置!$B$6-$B1887)&amp;"天"))))</f>
        <v/>
      </c>
      <c r="O1887" s="18" t="str">
        <f aca="false">IF(OR($D1887="",$E1887=""),"",COUNTIFS($D$7:$D1887,$D1887,$E$7:$E1887,$E1887))</f>
        <v/>
      </c>
      <c r="P1887" s="16"/>
      <c r="Q1887" s="19"/>
      <c r="R1887" s="10"/>
      <c r="S1887" s="16"/>
      <c r="T1887" s="0" t="str">
        <f aca="false">IF(OR($D1887="",单元查询!$B$3=""),"",IF($D1887&lt;&gt;单元查询!$B$3,"",IF(OR(单元查询!$D$3="",$E1887&amp;""=单元查询!$D$3&amp;""),IF(ISNUMBER($B1887),$B1887*10000,0)+ROW(),"")))</f>
        <v/>
      </c>
      <c r="U1887" s="0" t="str">
        <f aca="false">IF(OR($B1887="",$L1887="已完成"),"",IF(ISNUMBER($B1887),IF(设置!$B$6&lt;$B1887,"",(设置!$B$6-$B1887)*100000+ROW()),""))</f>
        <v/>
      </c>
      <c r="V1887" s="0" t="str">
        <f aca="false">IF(ISNUMBER($O1887),IF($O1887&gt;=2,IF(COUNTIFS($D1887:$D$2006,$D1887,$E1887:$E$2006,$E1887)=1,ROW(),""),""),"")</f>
        <v/>
      </c>
    </row>
    <row r="1888" customFormat="false" ht="15" hidden="false" customHeight="true" outlineLevel="0" collapsed="false">
      <c r="A1888" s="13" t="str">
        <f aca="false">IF(AND($B1888="",$D1888="",$E1888="",$F1888=""),"",IF(OR($B1888="",$D1888="",$E1888=""),"待补",IF($D1888="公共区域","公",IF($D1888="商铺","S",SUBSTITUTE($D1888,"栋","")))&amp;"-"&amp;$E1888&amp;"-"&amp;TEXT(MONTH($B1888),"00")&amp;TEXT(DAY($B1888),"00")&amp;IF(ISNUMBER($O1888),IF($O1888&gt;1,"-"&amp;TEXT($O1888,"00"),""),"")))</f>
        <v/>
      </c>
      <c r="B1888" s="14"/>
      <c r="C1888" s="10"/>
      <c r="D1888" s="10"/>
      <c r="E1888" s="10"/>
      <c r="F1888" s="16"/>
      <c r="G1888" s="10"/>
      <c r="H1888" s="10"/>
      <c r="I1888" s="10"/>
      <c r="J1888" s="10"/>
      <c r="K1888" s="10"/>
      <c r="L1888" s="10"/>
      <c r="M1888" s="14"/>
      <c r="N1888" s="17" t="str">
        <f aca="false">IF($B1888="","",IF($L1888="已完成",IF($M1888="","",$M1888-$B1888),IF(设置!$B$6&lt;$B1888,"",IF((设置!$B$6-$B1888)&gt;=设置!$B$5,"超期"&amp;(设置!$B$6-$B1888)&amp;"天","已等"&amp;(设置!$B$6-$B1888)&amp;"天"))))</f>
        <v/>
      </c>
      <c r="O1888" s="18" t="str">
        <f aca="false">IF(OR($D1888="",$E1888=""),"",COUNTIFS($D$7:$D1888,$D1888,$E$7:$E1888,$E1888))</f>
        <v/>
      </c>
      <c r="P1888" s="16"/>
      <c r="Q1888" s="19"/>
      <c r="R1888" s="10"/>
      <c r="S1888" s="16"/>
      <c r="T1888" s="0" t="str">
        <f aca="false">IF(OR($D1888="",单元查询!$B$3=""),"",IF($D1888&lt;&gt;单元查询!$B$3,"",IF(OR(单元查询!$D$3="",$E1888&amp;""=单元查询!$D$3&amp;""),IF(ISNUMBER($B1888),$B1888*10000,0)+ROW(),"")))</f>
        <v/>
      </c>
      <c r="U1888" s="0" t="str">
        <f aca="false">IF(OR($B1888="",$L1888="已完成"),"",IF(ISNUMBER($B1888),IF(设置!$B$6&lt;$B1888,"",(设置!$B$6-$B1888)*100000+ROW()),""))</f>
        <v/>
      </c>
      <c r="V1888" s="0" t="str">
        <f aca="false">IF(ISNUMBER($O1888),IF($O1888&gt;=2,IF(COUNTIFS($D1888:$D$2006,$D1888,$E1888:$E$2006,$E1888)=1,ROW(),""),""),"")</f>
        <v/>
      </c>
    </row>
    <row r="1889" customFormat="false" ht="15" hidden="false" customHeight="true" outlineLevel="0" collapsed="false">
      <c r="A1889" s="13" t="str">
        <f aca="false">IF(AND($B1889="",$D1889="",$E1889="",$F1889=""),"",IF(OR($B1889="",$D1889="",$E1889=""),"待补",IF($D1889="公共区域","公",IF($D1889="商铺","S",SUBSTITUTE($D1889,"栋","")))&amp;"-"&amp;$E1889&amp;"-"&amp;TEXT(MONTH($B1889),"00")&amp;TEXT(DAY($B1889),"00")&amp;IF(ISNUMBER($O1889),IF($O1889&gt;1,"-"&amp;TEXT($O1889,"00"),""),"")))</f>
        <v/>
      </c>
      <c r="B1889" s="14"/>
      <c r="C1889" s="10"/>
      <c r="D1889" s="10"/>
      <c r="E1889" s="10"/>
      <c r="F1889" s="16"/>
      <c r="G1889" s="10"/>
      <c r="H1889" s="10"/>
      <c r="I1889" s="10"/>
      <c r="J1889" s="10"/>
      <c r="K1889" s="10"/>
      <c r="L1889" s="10"/>
      <c r="M1889" s="14"/>
      <c r="N1889" s="17" t="str">
        <f aca="false">IF($B1889="","",IF($L1889="已完成",IF($M1889="","",$M1889-$B1889),IF(设置!$B$6&lt;$B1889,"",IF((设置!$B$6-$B1889)&gt;=设置!$B$5,"超期"&amp;(设置!$B$6-$B1889)&amp;"天","已等"&amp;(设置!$B$6-$B1889)&amp;"天"))))</f>
        <v/>
      </c>
      <c r="O1889" s="18" t="str">
        <f aca="false">IF(OR($D1889="",$E1889=""),"",COUNTIFS($D$7:$D1889,$D1889,$E$7:$E1889,$E1889))</f>
        <v/>
      </c>
      <c r="P1889" s="16"/>
      <c r="Q1889" s="19"/>
      <c r="R1889" s="10"/>
      <c r="S1889" s="16"/>
      <c r="T1889" s="0" t="str">
        <f aca="false">IF(OR($D1889="",单元查询!$B$3=""),"",IF($D1889&lt;&gt;单元查询!$B$3,"",IF(OR(单元查询!$D$3="",$E1889&amp;""=单元查询!$D$3&amp;""),IF(ISNUMBER($B1889),$B1889*10000,0)+ROW(),"")))</f>
        <v/>
      </c>
      <c r="U1889" s="0" t="str">
        <f aca="false">IF(OR($B1889="",$L1889="已完成"),"",IF(ISNUMBER($B1889),IF(设置!$B$6&lt;$B1889,"",(设置!$B$6-$B1889)*100000+ROW()),""))</f>
        <v/>
      </c>
      <c r="V1889" s="0" t="str">
        <f aca="false">IF(ISNUMBER($O1889),IF($O1889&gt;=2,IF(COUNTIFS($D1889:$D$2006,$D1889,$E1889:$E$2006,$E1889)=1,ROW(),""),""),"")</f>
        <v/>
      </c>
    </row>
    <row r="1890" customFormat="false" ht="15" hidden="false" customHeight="true" outlineLevel="0" collapsed="false">
      <c r="A1890" s="13" t="str">
        <f aca="false">IF(AND($B1890="",$D1890="",$E1890="",$F1890=""),"",IF(OR($B1890="",$D1890="",$E1890=""),"待补",IF($D1890="公共区域","公",IF($D1890="商铺","S",SUBSTITUTE($D1890,"栋","")))&amp;"-"&amp;$E1890&amp;"-"&amp;TEXT(MONTH($B1890),"00")&amp;TEXT(DAY($B1890),"00")&amp;IF(ISNUMBER($O1890),IF($O1890&gt;1,"-"&amp;TEXT($O1890,"00"),""),"")))</f>
        <v/>
      </c>
      <c r="B1890" s="14"/>
      <c r="C1890" s="10"/>
      <c r="D1890" s="10"/>
      <c r="E1890" s="10"/>
      <c r="F1890" s="16"/>
      <c r="G1890" s="10"/>
      <c r="H1890" s="10"/>
      <c r="I1890" s="10"/>
      <c r="J1890" s="10"/>
      <c r="K1890" s="10"/>
      <c r="L1890" s="10"/>
      <c r="M1890" s="14"/>
      <c r="N1890" s="17" t="str">
        <f aca="false">IF($B1890="","",IF($L1890="已完成",IF($M1890="","",$M1890-$B1890),IF(设置!$B$6&lt;$B1890,"",IF((设置!$B$6-$B1890)&gt;=设置!$B$5,"超期"&amp;(设置!$B$6-$B1890)&amp;"天","已等"&amp;(设置!$B$6-$B1890)&amp;"天"))))</f>
        <v/>
      </c>
      <c r="O1890" s="18" t="str">
        <f aca="false">IF(OR($D1890="",$E1890=""),"",COUNTIFS($D$7:$D1890,$D1890,$E$7:$E1890,$E1890))</f>
        <v/>
      </c>
      <c r="P1890" s="16"/>
      <c r="Q1890" s="19"/>
      <c r="R1890" s="10"/>
      <c r="S1890" s="16"/>
      <c r="T1890" s="0" t="str">
        <f aca="false">IF(OR($D1890="",单元查询!$B$3=""),"",IF($D1890&lt;&gt;单元查询!$B$3,"",IF(OR(单元查询!$D$3="",$E1890&amp;""=单元查询!$D$3&amp;""),IF(ISNUMBER($B1890),$B1890*10000,0)+ROW(),"")))</f>
        <v/>
      </c>
      <c r="U1890" s="0" t="str">
        <f aca="false">IF(OR($B1890="",$L1890="已完成"),"",IF(ISNUMBER($B1890),IF(设置!$B$6&lt;$B1890,"",(设置!$B$6-$B1890)*100000+ROW()),""))</f>
        <v/>
      </c>
      <c r="V1890" s="0" t="str">
        <f aca="false">IF(ISNUMBER($O1890),IF($O1890&gt;=2,IF(COUNTIFS($D1890:$D$2006,$D1890,$E1890:$E$2006,$E1890)=1,ROW(),""),""),"")</f>
        <v/>
      </c>
    </row>
    <row r="1891" customFormat="false" ht="15" hidden="false" customHeight="true" outlineLevel="0" collapsed="false">
      <c r="A1891" s="13" t="str">
        <f aca="false">IF(AND($B1891="",$D1891="",$E1891="",$F1891=""),"",IF(OR($B1891="",$D1891="",$E1891=""),"待补",IF($D1891="公共区域","公",IF($D1891="商铺","S",SUBSTITUTE($D1891,"栋","")))&amp;"-"&amp;$E1891&amp;"-"&amp;TEXT(MONTH($B1891),"00")&amp;TEXT(DAY($B1891),"00")&amp;IF(ISNUMBER($O1891),IF($O1891&gt;1,"-"&amp;TEXT($O1891,"00"),""),"")))</f>
        <v/>
      </c>
      <c r="B1891" s="14"/>
      <c r="C1891" s="10"/>
      <c r="D1891" s="10"/>
      <c r="E1891" s="10"/>
      <c r="F1891" s="16"/>
      <c r="G1891" s="10"/>
      <c r="H1891" s="10"/>
      <c r="I1891" s="10"/>
      <c r="J1891" s="10"/>
      <c r="K1891" s="10"/>
      <c r="L1891" s="10"/>
      <c r="M1891" s="14"/>
      <c r="N1891" s="17" t="str">
        <f aca="false">IF($B1891="","",IF($L1891="已完成",IF($M1891="","",$M1891-$B1891),IF(设置!$B$6&lt;$B1891,"",IF((设置!$B$6-$B1891)&gt;=设置!$B$5,"超期"&amp;(设置!$B$6-$B1891)&amp;"天","已等"&amp;(设置!$B$6-$B1891)&amp;"天"))))</f>
        <v/>
      </c>
      <c r="O1891" s="18" t="str">
        <f aca="false">IF(OR($D1891="",$E1891=""),"",COUNTIFS($D$7:$D1891,$D1891,$E$7:$E1891,$E1891))</f>
        <v/>
      </c>
      <c r="P1891" s="16"/>
      <c r="Q1891" s="19"/>
      <c r="R1891" s="10"/>
      <c r="S1891" s="16"/>
      <c r="T1891" s="0" t="str">
        <f aca="false">IF(OR($D1891="",单元查询!$B$3=""),"",IF($D1891&lt;&gt;单元查询!$B$3,"",IF(OR(单元查询!$D$3="",$E1891&amp;""=单元查询!$D$3&amp;""),IF(ISNUMBER($B1891),$B1891*10000,0)+ROW(),"")))</f>
        <v/>
      </c>
      <c r="U1891" s="0" t="str">
        <f aca="false">IF(OR($B1891="",$L1891="已完成"),"",IF(ISNUMBER($B1891),IF(设置!$B$6&lt;$B1891,"",(设置!$B$6-$B1891)*100000+ROW()),""))</f>
        <v/>
      </c>
      <c r="V1891" s="0" t="str">
        <f aca="false">IF(ISNUMBER($O1891),IF($O1891&gt;=2,IF(COUNTIFS($D1891:$D$2006,$D1891,$E1891:$E$2006,$E1891)=1,ROW(),""),""),"")</f>
        <v/>
      </c>
    </row>
    <row r="1892" customFormat="false" ht="15" hidden="false" customHeight="true" outlineLevel="0" collapsed="false">
      <c r="A1892" s="13" t="str">
        <f aca="false">IF(AND($B1892="",$D1892="",$E1892="",$F1892=""),"",IF(OR($B1892="",$D1892="",$E1892=""),"待补",IF($D1892="公共区域","公",IF($D1892="商铺","S",SUBSTITUTE($D1892,"栋","")))&amp;"-"&amp;$E1892&amp;"-"&amp;TEXT(MONTH($B1892),"00")&amp;TEXT(DAY($B1892),"00")&amp;IF(ISNUMBER($O1892),IF($O1892&gt;1,"-"&amp;TEXT($O1892,"00"),""),"")))</f>
        <v/>
      </c>
      <c r="B1892" s="14"/>
      <c r="C1892" s="10"/>
      <c r="D1892" s="10"/>
      <c r="E1892" s="10"/>
      <c r="F1892" s="16"/>
      <c r="G1892" s="10"/>
      <c r="H1892" s="10"/>
      <c r="I1892" s="10"/>
      <c r="J1892" s="10"/>
      <c r="K1892" s="10"/>
      <c r="L1892" s="10"/>
      <c r="M1892" s="14"/>
      <c r="N1892" s="17" t="str">
        <f aca="false">IF($B1892="","",IF($L1892="已完成",IF($M1892="","",$M1892-$B1892),IF(设置!$B$6&lt;$B1892,"",IF((设置!$B$6-$B1892)&gt;=设置!$B$5,"超期"&amp;(设置!$B$6-$B1892)&amp;"天","已等"&amp;(设置!$B$6-$B1892)&amp;"天"))))</f>
        <v/>
      </c>
      <c r="O1892" s="18" t="str">
        <f aca="false">IF(OR($D1892="",$E1892=""),"",COUNTIFS($D$7:$D1892,$D1892,$E$7:$E1892,$E1892))</f>
        <v/>
      </c>
      <c r="P1892" s="16"/>
      <c r="Q1892" s="19"/>
      <c r="R1892" s="10"/>
      <c r="S1892" s="16"/>
      <c r="T1892" s="0" t="str">
        <f aca="false">IF(OR($D1892="",单元查询!$B$3=""),"",IF($D1892&lt;&gt;单元查询!$B$3,"",IF(OR(单元查询!$D$3="",$E1892&amp;""=单元查询!$D$3&amp;""),IF(ISNUMBER($B1892),$B1892*10000,0)+ROW(),"")))</f>
        <v/>
      </c>
      <c r="U1892" s="0" t="str">
        <f aca="false">IF(OR($B1892="",$L1892="已完成"),"",IF(ISNUMBER($B1892),IF(设置!$B$6&lt;$B1892,"",(设置!$B$6-$B1892)*100000+ROW()),""))</f>
        <v/>
      </c>
      <c r="V1892" s="0" t="str">
        <f aca="false">IF(ISNUMBER($O1892),IF($O1892&gt;=2,IF(COUNTIFS($D1892:$D$2006,$D1892,$E1892:$E$2006,$E1892)=1,ROW(),""),""),"")</f>
        <v/>
      </c>
    </row>
    <row r="1893" customFormat="false" ht="15" hidden="false" customHeight="true" outlineLevel="0" collapsed="false">
      <c r="A1893" s="13" t="str">
        <f aca="false">IF(AND($B1893="",$D1893="",$E1893="",$F1893=""),"",IF(OR($B1893="",$D1893="",$E1893=""),"待补",IF($D1893="公共区域","公",IF($D1893="商铺","S",SUBSTITUTE($D1893,"栋","")))&amp;"-"&amp;$E1893&amp;"-"&amp;TEXT(MONTH($B1893),"00")&amp;TEXT(DAY($B1893),"00")&amp;IF(ISNUMBER($O1893),IF($O1893&gt;1,"-"&amp;TEXT($O1893,"00"),""),"")))</f>
        <v/>
      </c>
      <c r="B1893" s="14"/>
      <c r="C1893" s="10"/>
      <c r="D1893" s="10"/>
      <c r="E1893" s="10"/>
      <c r="F1893" s="16"/>
      <c r="G1893" s="10"/>
      <c r="H1893" s="10"/>
      <c r="I1893" s="10"/>
      <c r="J1893" s="10"/>
      <c r="K1893" s="10"/>
      <c r="L1893" s="10"/>
      <c r="M1893" s="14"/>
      <c r="N1893" s="17" t="str">
        <f aca="false">IF($B1893="","",IF($L1893="已完成",IF($M1893="","",$M1893-$B1893),IF(设置!$B$6&lt;$B1893,"",IF((设置!$B$6-$B1893)&gt;=设置!$B$5,"超期"&amp;(设置!$B$6-$B1893)&amp;"天","已等"&amp;(设置!$B$6-$B1893)&amp;"天"))))</f>
        <v/>
      </c>
      <c r="O1893" s="18" t="str">
        <f aca="false">IF(OR($D1893="",$E1893=""),"",COUNTIFS($D$7:$D1893,$D1893,$E$7:$E1893,$E1893))</f>
        <v/>
      </c>
      <c r="P1893" s="16"/>
      <c r="Q1893" s="19"/>
      <c r="R1893" s="10"/>
      <c r="S1893" s="16"/>
      <c r="T1893" s="0" t="str">
        <f aca="false">IF(OR($D1893="",单元查询!$B$3=""),"",IF($D1893&lt;&gt;单元查询!$B$3,"",IF(OR(单元查询!$D$3="",$E1893&amp;""=单元查询!$D$3&amp;""),IF(ISNUMBER($B1893),$B1893*10000,0)+ROW(),"")))</f>
        <v/>
      </c>
      <c r="U1893" s="0" t="str">
        <f aca="false">IF(OR($B1893="",$L1893="已完成"),"",IF(ISNUMBER($B1893),IF(设置!$B$6&lt;$B1893,"",(设置!$B$6-$B1893)*100000+ROW()),""))</f>
        <v/>
      </c>
      <c r="V1893" s="0" t="str">
        <f aca="false">IF(ISNUMBER($O1893),IF($O1893&gt;=2,IF(COUNTIFS($D1893:$D$2006,$D1893,$E1893:$E$2006,$E1893)=1,ROW(),""),""),"")</f>
        <v/>
      </c>
    </row>
    <row r="1894" customFormat="false" ht="15" hidden="false" customHeight="true" outlineLevel="0" collapsed="false">
      <c r="A1894" s="13" t="str">
        <f aca="false">IF(AND($B1894="",$D1894="",$E1894="",$F1894=""),"",IF(OR($B1894="",$D1894="",$E1894=""),"待补",IF($D1894="公共区域","公",IF($D1894="商铺","S",SUBSTITUTE($D1894,"栋","")))&amp;"-"&amp;$E1894&amp;"-"&amp;TEXT(MONTH($B1894),"00")&amp;TEXT(DAY($B1894),"00")&amp;IF(ISNUMBER($O1894),IF($O1894&gt;1,"-"&amp;TEXT($O1894,"00"),""),"")))</f>
        <v/>
      </c>
      <c r="B1894" s="14"/>
      <c r="C1894" s="10"/>
      <c r="D1894" s="10"/>
      <c r="E1894" s="10"/>
      <c r="F1894" s="16"/>
      <c r="G1894" s="10"/>
      <c r="H1894" s="10"/>
      <c r="I1894" s="10"/>
      <c r="J1894" s="10"/>
      <c r="K1894" s="10"/>
      <c r="L1894" s="10"/>
      <c r="M1894" s="14"/>
      <c r="N1894" s="17" t="str">
        <f aca="false">IF($B1894="","",IF($L1894="已完成",IF($M1894="","",$M1894-$B1894),IF(设置!$B$6&lt;$B1894,"",IF((设置!$B$6-$B1894)&gt;=设置!$B$5,"超期"&amp;(设置!$B$6-$B1894)&amp;"天","已等"&amp;(设置!$B$6-$B1894)&amp;"天"))))</f>
        <v/>
      </c>
      <c r="O1894" s="18" t="str">
        <f aca="false">IF(OR($D1894="",$E1894=""),"",COUNTIFS($D$7:$D1894,$D1894,$E$7:$E1894,$E1894))</f>
        <v/>
      </c>
      <c r="P1894" s="16"/>
      <c r="Q1894" s="19"/>
      <c r="R1894" s="10"/>
      <c r="S1894" s="16"/>
      <c r="T1894" s="0" t="str">
        <f aca="false">IF(OR($D1894="",单元查询!$B$3=""),"",IF($D1894&lt;&gt;单元查询!$B$3,"",IF(OR(单元查询!$D$3="",$E1894&amp;""=单元查询!$D$3&amp;""),IF(ISNUMBER($B1894),$B1894*10000,0)+ROW(),"")))</f>
        <v/>
      </c>
      <c r="U1894" s="0" t="str">
        <f aca="false">IF(OR($B1894="",$L1894="已完成"),"",IF(ISNUMBER($B1894),IF(设置!$B$6&lt;$B1894,"",(设置!$B$6-$B1894)*100000+ROW()),""))</f>
        <v/>
      </c>
      <c r="V1894" s="0" t="str">
        <f aca="false">IF(ISNUMBER($O1894),IF($O1894&gt;=2,IF(COUNTIFS($D1894:$D$2006,$D1894,$E1894:$E$2006,$E1894)=1,ROW(),""),""),"")</f>
        <v/>
      </c>
    </row>
    <row r="1895" customFormat="false" ht="15" hidden="false" customHeight="true" outlineLevel="0" collapsed="false">
      <c r="A1895" s="13" t="str">
        <f aca="false">IF(AND($B1895="",$D1895="",$E1895="",$F1895=""),"",IF(OR($B1895="",$D1895="",$E1895=""),"待补",IF($D1895="公共区域","公",IF($D1895="商铺","S",SUBSTITUTE($D1895,"栋","")))&amp;"-"&amp;$E1895&amp;"-"&amp;TEXT(MONTH($B1895),"00")&amp;TEXT(DAY($B1895),"00")&amp;IF(ISNUMBER($O1895),IF($O1895&gt;1,"-"&amp;TEXT($O1895,"00"),""),"")))</f>
        <v/>
      </c>
      <c r="B1895" s="14"/>
      <c r="C1895" s="10"/>
      <c r="D1895" s="10"/>
      <c r="E1895" s="10"/>
      <c r="F1895" s="16"/>
      <c r="G1895" s="10"/>
      <c r="H1895" s="10"/>
      <c r="I1895" s="10"/>
      <c r="J1895" s="10"/>
      <c r="K1895" s="10"/>
      <c r="L1895" s="10"/>
      <c r="M1895" s="14"/>
      <c r="N1895" s="17" t="str">
        <f aca="false">IF($B1895="","",IF($L1895="已完成",IF($M1895="","",$M1895-$B1895),IF(设置!$B$6&lt;$B1895,"",IF((设置!$B$6-$B1895)&gt;=设置!$B$5,"超期"&amp;(设置!$B$6-$B1895)&amp;"天","已等"&amp;(设置!$B$6-$B1895)&amp;"天"))))</f>
        <v/>
      </c>
      <c r="O1895" s="18" t="str">
        <f aca="false">IF(OR($D1895="",$E1895=""),"",COUNTIFS($D$7:$D1895,$D1895,$E$7:$E1895,$E1895))</f>
        <v/>
      </c>
      <c r="P1895" s="16"/>
      <c r="Q1895" s="19"/>
      <c r="R1895" s="10"/>
      <c r="S1895" s="16"/>
      <c r="T1895" s="0" t="str">
        <f aca="false">IF(OR($D1895="",单元查询!$B$3=""),"",IF($D1895&lt;&gt;单元查询!$B$3,"",IF(OR(单元查询!$D$3="",$E1895&amp;""=单元查询!$D$3&amp;""),IF(ISNUMBER($B1895),$B1895*10000,0)+ROW(),"")))</f>
        <v/>
      </c>
      <c r="U1895" s="0" t="str">
        <f aca="false">IF(OR($B1895="",$L1895="已完成"),"",IF(ISNUMBER($B1895),IF(设置!$B$6&lt;$B1895,"",(设置!$B$6-$B1895)*100000+ROW()),""))</f>
        <v/>
      </c>
      <c r="V1895" s="0" t="str">
        <f aca="false">IF(ISNUMBER($O1895),IF($O1895&gt;=2,IF(COUNTIFS($D1895:$D$2006,$D1895,$E1895:$E$2006,$E1895)=1,ROW(),""),""),"")</f>
        <v/>
      </c>
    </row>
    <row r="1896" customFormat="false" ht="15" hidden="false" customHeight="true" outlineLevel="0" collapsed="false">
      <c r="A1896" s="13" t="str">
        <f aca="false">IF(AND($B1896="",$D1896="",$E1896="",$F1896=""),"",IF(OR($B1896="",$D1896="",$E1896=""),"待补",IF($D1896="公共区域","公",IF($D1896="商铺","S",SUBSTITUTE($D1896,"栋","")))&amp;"-"&amp;$E1896&amp;"-"&amp;TEXT(MONTH($B1896),"00")&amp;TEXT(DAY($B1896),"00")&amp;IF(ISNUMBER($O1896),IF($O1896&gt;1,"-"&amp;TEXT($O1896,"00"),""),"")))</f>
        <v/>
      </c>
      <c r="B1896" s="14"/>
      <c r="C1896" s="10"/>
      <c r="D1896" s="10"/>
      <c r="E1896" s="10"/>
      <c r="F1896" s="16"/>
      <c r="G1896" s="10"/>
      <c r="H1896" s="10"/>
      <c r="I1896" s="10"/>
      <c r="J1896" s="10"/>
      <c r="K1896" s="10"/>
      <c r="L1896" s="10"/>
      <c r="M1896" s="14"/>
      <c r="N1896" s="17" t="str">
        <f aca="false">IF($B1896="","",IF($L1896="已完成",IF($M1896="","",$M1896-$B1896),IF(设置!$B$6&lt;$B1896,"",IF((设置!$B$6-$B1896)&gt;=设置!$B$5,"超期"&amp;(设置!$B$6-$B1896)&amp;"天","已等"&amp;(设置!$B$6-$B1896)&amp;"天"))))</f>
        <v/>
      </c>
      <c r="O1896" s="18" t="str">
        <f aca="false">IF(OR($D1896="",$E1896=""),"",COUNTIFS($D$7:$D1896,$D1896,$E$7:$E1896,$E1896))</f>
        <v/>
      </c>
      <c r="P1896" s="16"/>
      <c r="Q1896" s="19"/>
      <c r="R1896" s="10"/>
      <c r="S1896" s="16"/>
      <c r="T1896" s="0" t="str">
        <f aca="false">IF(OR($D1896="",单元查询!$B$3=""),"",IF($D1896&lt;&gt;单元查询!$B$3,"",IF(OR(单元查询!$D$3="",$E1896&amp;""=单元查询!$D$3&amp;""),IF(ISNUMBER($B1896),$B1896*10000,0)+ROW(),"")))</f>
        <v/>
      </c>
      <c r="U1896" s="0" t="str">
        <f aca="false">IF(OR($B1896="",$L1896="已完成"),"",IF(ISNUMBER($B1896),IF(设置!$B$6&lt;$B1896,"",(设置!$B$6-$B1896)*100000+ROW()),""))</f>
        <v/>
      </c>
      <c r="V1896" s="0" t="str">
        <f aca="false">IF(ISNUMBER($O1896),IF($O1896&gt;=2,IF(COUNTIFS($D1896:$D$2006,$D1896,$E1896:$E$2006,$E1896)=1,ROW(),""),""),"")</f>
        <v/>
      </c>
    </row>
    <row r="1897" customFormat="false" ht="15" hidden="false" customHeight="true" outlineLevel="0" collapsed="false">
      <c r="A1897" s="13" t="str">
        <f aca="false">IF(AND($B1897="",$D1897="",$E1897="",$F1897=""),"",IF(OR($B1897="",$D1897="",$E1897=""),"待补",IF($D1897="公共区域","公",IF($D1897="商铺","S",SUBSTITUTE($D1897,"栋","")))&amp;"-"&amp;$E1897&amp;"-"&amp;TEXT(MONTH($B1897),"00")&amp;TEXT(DAY($B1897),"00")&amp;IF(ISNUMBER($O1897),IF($O1897&gt;1,"-"&amp;TEXT($O1897,"00"),""),"")))</f>
        <v/>
      </c>
      <c r="B1897" s="14"/>
      <c r="C1897" s="10"/>
      <c r="D1897" s="10"/>
      <c r="E1897" s="10"/>
      <c r="F1897" s="16"/>
      <c r="G1897" s="10"/>
      <c r="H1897" s="10"/>
      <c r="I1897" s="10"/>
      <c r="J1897" s="10"/>
      <c r="K1897" s="10"/>
      <c r="L1897" s="10"/>
      <c r="M1897" s="14"/>
      <c r="N1897" s="17" t="str">
        <f aca="false">IF($B1897="","",IF($L1897="已完成",IF($M1897="","",$M1897-$B1897),IF(设置!$B$6&lt;$B1897,"",IF((设置!$B$6-$B1897)&gt;=设置!$B$5,"超期"&amp;(设置!$B$6-$B1897)&amp;"天","已等"&amp;(设置!$B$6-$B1897)&amp;"天"))))</f>
        <v/>
      </c>
      <c r="O1897" s="18" t="str">
        <f aca="false">IF(OR($D1897="",$E1897=""),"",COUNTIFS($D$7:$D1897,$D1897,$E$7:$E1897,$E1897))</f>
        <v/>
      </c>
      <c r="P1897" s="16"/>
      <c r="Q1897" s="19"/>
      <c r="R1897" s="10"/>
      <c r="S1897" s="16"/>
      <c r="T1897" s="0" t="str">
        <f aca="false">IF(OR($D1897="",单元查询!$B$3=""),"",IF($D1897&lt;&gt;单元查询!$B$3,"",IF(OR(单元查询!$D$3="",$E1897&amp;""=单元查询!$D$3&amp;""),IF(ISNUMBER($B1897),$B1897*10000,0)+ROW(),"")))</f>
        <v/>
      </c>
      <c r="U1897" s="0" t="str">
        <f aca="false">IF(OR($B1897="",$L1897="已完成"),"",IF(ISNUMBER($B1897),IF(设置!$B$6&lt;$B1897,"",(设置!$B$6-$B1897)*100000+ROW()),""))</f>
        <v/>
      </c>
      <c r="V1897" s="0" t="str">
        <f aca="false">IF(ISNUMBER($O1897),IF($O1897&gt;=2,IF(COUNTIFS($D1897:$D$2006,$D1897,$E1897:$E$2006,$E1897)=1,ROW(),""),""),"")</f>
        <v/>
      </c>
    </row>
    <row r="1898" customFormat="false" ht="15" hidden="false" customHeight="true" outlineLevel="0" collapsed="false">
      <c r="A1898" s="13" t="str">
        <f aca="false">IF(AND($B1898="",$D1898="",$E1898="",$F1898=""),"",IF(OR($B1898="",$D1898="",$E1898=""),"待补",IF($D1898="公共区域","公",IF($D1898="商铺","S",SUBSTITUTE($D1898,"栋","")))&amp;"-"&amp;$E1898&amp;"-"&amp;TEXT(MONTH($B1898),"00")&amp;TEXT(DAY($B1898),"00")&amp;IF(ISNUMBER($O1898),IF($O1898&gt;1,"-"&amp;TEXT($O1898,"00"),""),"")))</f>
        <v/>
      </c>
      <c r="B1898" s="14"/>
      <c r="C1898" s="10"/>
      <c r="D1898" s="10"/>
      <c r="E1898" s="10"/>
      <c r="F1898" s="16"/>
      <c r="G1898" s="10"/>
      <c r="H1898" s="10"/>
      <c r="I1898" s="10"/>
      <c r="J1898" s="10"/>
      <c r="K1898" s="10"/>
      <c r="L1898" s="10"/>
      <c r="M1898" s="14"/>
      <c r="N1898" s="17" t="str">
        <f aca="false">IF($B1898="","",IF($L1898="已完成",IF($M1898="","",$M1898-$B1898),IF(设置!$B$6&lt;$B1898,"",IF((设置!$B$6-$B1898)&gt;=设置!$B$5,"超期"&amp;(设置!$B$6-$B1898)&amp;"天","已等"&amp;(设置!$B$6-$B1898)&amp;"天"))))</f>
        <v/>
      </c>
      <c r="O1898" s="18" t="str">
        <f aca="false">IF(OR($D1898="",$E1898=""),"",COUNTIFS($D$7:$D1898,$D1898,$E$7:$E1898,$E1898))</f>
        <v/>
      </c>
      <c r="P1898" s="16"/>
      <c r="Q1898" s="19"/>
      <c r="R1898" s="10"/>
      <c r="S1898" s="16"/>
      <c r="T1898" s="0" t="str">
        <f aca="false">IF(OR($D1898="",单元查询!$B$3=""),"",IF($D1898&lt;&gt;单元查询!$B$3,"",IF(OR(单元查询!$D$3="",$E1898&amp;""=单元查询!$D$3&amp;""),IF(ISNUMBER($B1898),$B1898*10000,0)+ROW(),"")))</f>
        <v/>
      </c>
      <c r="U1898" s="0" t="str">
        <f aca="false">IF(OR($B1898="",$L1898="已完成"),"",IF(ISNUMBER($B1898),IF(设置!$B$6&lt;$B1898,"",(设置!$B$6-$B1898)*100000+ROW()),""))</f>
        <v/>
      </c>
      <c r="V1898" s="0" t="str">
        <f aca="false">IF(ISNUMBER($O1898),IF($O1898&gt;=2,IF(COUNTIFS($D1898:$D$2006,$D1898,$E1898:$E$2006,$E1898)=1,ROW(),""),""),"")</f>
        <v/>
      </c>
    </row>
    <row r="1899" customFormat="false" ht="15" hidden="false" customHeight="true" outlineLevel="0" collapsed="false">
      <c r="A1899" s="13" t="str">
        <f aca="false">IF(AND($B1899="",$D1899="",$E1899="",$F1899=""),"",IF(OR($B1899="",$D1899="",$E1899=""),"待补",IF($D1899="公共区域","公",IF($D1899="商铺","S",SUBSTITUTE($D1899,"栋","")))&amp;"-"&amp;$E1899&amp;"-"&amp;TEXT(MONTH($B1899),"00")&amp;TEXT(DAY($B1899),"00")&amp;IF(ISNUMBER($O1899),IF($O1899&gt;1,"-"&amp;TEXT($O1899,"00"),""),"")))</f>
        <v/>
      </c>
      <c r="B1899" s="14"/>
      <c r="C1899" s="10"/>
      <c r="D1899" s="10"/>
      <c r="E1899" s="10"/>
      <c r="F1899" s="16"/>
      <c r="G1899" s="10"/>
      <c r="H1899" s="10"/>
      <c r="I1899" s="10"/>
      <c r="J1899" s="10"/>
      <c r="K1899" s="10"/>
      <c r="L1899" s="10"/>
      <c r="M1899" s="14"/>
      <c r="N1899" s="17" t="str">
        <f aca="false">IF($B1899="","",IF($L1899="已完成",IF($M1899="","",$M1899-$B1899),IF(设置!$B$6&lt;$B1899,"",IF((设置!$B$6-$B1899)&gt;=设置!$B$5,"超期"&amp;(设置!$B$6-$B1899)&amp;"天","已等"&amp;(设置!$B$6-$B1899)&amp;"天"))))</f>
        <v/>
      </c>
      <c r="O1899" s="18" t="str">
        <f aca="false">IF(OR($D1899="",$E1899=""),"",COUNTIFS($D$7:$D1899,$D1899,$E$7:$E1899,$E1899))</f>
        <v/>
      </c>
      <c r="P1899" s="16"/>
      <c r="Q1899" s="19"/>
      <c r="R1899" s="10"/>
      <c r="S1899" s="16"/>
      <c r="T1899" s="0" t="str">
        <f aca="false">IF(OR($D1899="",单元查询!$B$3=""),"",IF($D1899&lt;&gt;单元查询!$B$3,"",IF(OR(单元查询!$D$3="",$E1899&amp;""=单元查询!$D$3&amp;""),IF(ISNUMBER($B1899),$B1899*10000,0)+ROW(),"")))</f>
        <v/>
      </c>
      <c r="U1899" s="0" t="str">
        <f aca="false">IF(OR($B1899="",$L1899="已完成"),"",IF(ISNUMBER($B1899),IF(设置!$B$6&lt;$B1899,"",(设置!$B$6-$B1899)*100000+ROW()),""))</f>
        <v/>
      </c>
      <c r="V1899" s="0" t="str">
        <f aca="false">IF(ISNUMBER($O1899),IF($O1899&gt;=2,IF(COUNTIFS($D1899:$D$2006,$D1899,$E1899:$E$2006,$E1899)=1,ROW(),""),""),"")</f>
        <v/>
      </c>
    </row>
    <row r="1900" customFormat="false" ht="15" hidden="false" customHeight="true" outlineLevel="0" collapsed="false">
      <c r="A1900" s="13" t="str">
        <f aca="false">IF(AND($B1900="",$D1900="",$E1900="",$F1900=""),"",IF(OR($B1900="",$D1900="",$E1900=""),"待补",IF($D1900="公共区域","公",IF($D1900="商铺","S",SUBSTITUTE($D1900,"栋","")))&amp;"-"&amp;$E1900&amp;"-"&amp;TEXT(MONTH($B1900),"00")&amp;TEXT(DAY($B1900),"00")&amp;IF(ISNUMBER($O1900),IF($O1900&gt;1,"-"&amp;TEXT($O1900,"00"),""),"")))</f>
        <v/>
      </c>
      <c r="B1900" s="14"/>
      <c r="C1900" s="10"/>
      <c r="D1900" s="10"/>
      <c r="E1900" s="10"/>
      <c r="F1900" s="16"/>
      <c r="G1900" s="10"/>
      <c r="H1900" s="10"/>
      <c r="I1900" s="10"/>
      <c r="J1900" s="10"/>
      <c r="K1900" s="10"/>
      <c r="L1900" s="10"/>
      <c r="M1900" s="14"/>
      <c r="N1900" s="17" t="str">
        <f aca="false">IF($B1900="","",IF($L1900="已完成",IF($M1900="","",$M1900-$B1900),IF(设置!$B$6&lt;$B1900,"",IF((设置!$B$6-$B1900)&gt;=设置!$B$5,"超期"&amp;(设置!$B$6-$B1900)&amp;"天","已等"&amp;(设置!$B$6-$B1900)&amp;"天"))))</f>
        <v/>
      </c>
      <c r="O1900" s="18" t="str">
        <f aca="false">IF(OR($D1900="",$E1900=""),"",COUNTIFS($D$7:$D1900,$D1900,$E$7:$E1900,$E1900))</f>
        <v/>
      </c>
      <c r="P1900" s="16"/>
      <c r="Q1900" s="19"/>
      <c r="R1900" s="10"/>
      <c r="S1900" s="16"/>
      <c r="T1900" s="0" t="str">
        <f aca="false">IF(OR($D1900="",单元查询!$B$3=""),"",IF($D1900&lt;&gt;单元查询!$B$3,"",IF(OR(单元查询!$D$3="",$E1900&amp;""=单元查询!$D$3&amp;""),IF(ISNUMBER($B1900),$B1900*10000,0)+ROW(),"")))</f>
        <v/>
      </c>
      <c r="U1900" s="0" t="str">
        <f aca="false">IF(OR($B1900="",$L1900="已完成"),"",IF(ISNUMBER($B1900),IF(设置!$B$6&lt;$B1900,"",(设置!$B$6-$B1900)*100000+ROW()),""))</f>
        <v/>
      </c>
      <c r="V1900" s="0" t="str">
        <f aca="false">IF(ISNUMBER($O1900),IF($O1900&gt;=2,IF(COUNTIFS($D1900:$D$2006,$D1900,$E1900:$E$2006,$E1900)=1,ROW(),""),""),"")</f>
        <v/>
      </c>
    </row>
    <row r="1901" customFormat="false" ht="15" hidden="false" customHeight="true" outlineLevel="0" collapsed="false">
      <c r="A1901" s="13" t="str">
        <f aca="false">IF(AND($B1901="",$D1901="",$E1901="",$F1901=""),"",IF(OR($B1901="",$D1901="",$E1901=""),"待补",IF($D1901="公共区域","公",IF($D1901="商铺","S",SUBSTITUTE($D1901,"栋","")))&amp;"-"&amp;$E1901&amp;"-"&amp;TEXT(MONTH($B1901),"00")&amp;TEXT(DAY($B1901),"00")&amp;IF(ISNUMBER($O1901),IF($O1901&gt;1,"-"&amp;TEXT($O1901,"00"),""),"")))</f>
        <v/>
      </c>
      <c r="B1901" s="14"/>
      <c r="C1901" s="10"/>
      <c r="D1901" s="10"/>
      <c r="E1901" s="10"/>
      <c r="F1901" s="16"/>
      <c r="G1901" s="10"/>
      <c r="H1901" s="10"/>
      <c r="I1901" s="10"/>
      <c r="J1901" s="10"/>
      <c r="K1901" s="10"/>
      <c r="L1901" s="10"/>
      <c r="M1901" s="14"/>
      <c r="N1901" s="17" t="str">
        <f aca="false">IF($B1901="","",IF($L1901="已完成",IF($M1901="","",$M1901-$B1901),IF(设置!$B$6&lt;$B1901,"",IF((设置!$B$6-$B1901)&gt;=设置!$B$5,"超期"&amp;(设置!$B$6-$B1901)&amp;"天","已等"&amp;(设置!$B$6-$B1901)&amp;"天"))))</f>
        <v/>
      </c>
      <c r="O1901" s="18" t="str">
        <f aca="false">IF(OR($D1901="",$E1901=""),"",COUNTIFS($D$7:$D1901,$D1901,$E$7:$E1901,$E1901))</f>
        <v/>
      </c>
      <c r="P1901" s="16"/>
      <c r="Q1901" s="19"/>
      <c r="R1901" s="10"/>
      <c r="S1901" s="16"/>
      <c r="T1901" s="0" t="str">
        <f aca="false">IF(OR($D1901="",单元查询!$B$3=""),"",IF($D1901&lt;&gt;单元查询!$B$3,"",IF(OR(单元查询!$D$3="",$E1901&amp;""=单元查询!$D$3&amp;""),IF(ISNUMBER($B1901),$B1901*10000,0)+ROW(),"")))</f>
        <v/>
      </c>
      <c r="U1901" s="0" t="str">
        <f aca="false">IF(OR($B1901="",$L1901="已完成"),"",IF(ISNUMBER($B1901),IF(设置!$B$6&lt;$B1901,"",(设置!$B$6-$B1901)*100000+ROW()),""))</f>
        <v/>
      </c>
      <c r="V1901" s="0" t="str">
        <f aca="false">IF(ISNUMBER($O1901),IF($O1901&gt;=2,IF(COUNTIFS($D1901:$D$2006,$D1901,$E1901:$E$2006,$E1901)=1,ROW(),""),""),"")</f>
        <v/>
      </c>
    </row>
    <row r="1902" customFormat="false" ht="15" hidden="false" customHeight="true" outlineLevel="0" collapsed="false">
      <c r="A1902" s="13" t="str">
        <f aca="false">IF(AND($B1902="",$D1902="",$E1902="",$F1902=""),"",IF(OR($B1902="",$D1902="",$E1902=""),"待补",IF($D1902="公共区域","公",IF($D1902="商铺","S",SUBSTITUTE($D1902,"栋","")))&amp;"-"&amp;$E1902&amp;"-"&amp;TEXT(MONTH($B1902),"00")&amp;TEXT(DAY($B1902),"00")&amp;IF(ISNUMBER($O1902),IF($O1902&gt;1,"-"&amp;TEXT($O1902,"00"),""),"")))</f>
        <v/>
      </c>
      <c r="B1902" s="14"/>
      <c r="C1902" s="10"/>
      <c r="D1902" s="10"/>
      <c r="E1902" s="10"/>
      <c r="F1902" s="16"/>
      <c r="G1902" s="10"/>
      <c r="H1902" s="10"/>
      <c r="I1902" s="10"/>
      <c r="J1902" s="10"/>
      <c r="K1902" s="10"/>
      <c r="L1902" s="10"/>
      <c r="M1902" s="14"/>
      <c r="N1902" s="17" t="str">
        <f aca="false">IF($B1902="","",IF($L1902="已完成",IF($M1902="","",$M1902-$B1902),IF(设置!$B$6&lt;$B1902,"",IF((设置!$B$6-$B1902)&gt;=设置!$B$5,"超期"&amp;(设置!$B$6-$B1902)&amp;"天","已等"&amp;(设置!$B$6-$B1902)&amp;"天"))))</f>
        <v/>
      </c>
      <c r="O1902" s="18" t="str">
        <f aca="false">IF(OR($D1902="",$E1902=""),"",COUNTIFS($D$7:$D1902,$D1902,$E$7:$E1902,$E1902))</f>
        <v/>
      </c>
      <c r="P1902" s="16"/>
      <c r="Q1902" s="19"/>
      <c r="R1902" s="10"/>
      <c r="S1902" s="16"/>
      <c r="T1902" s="0" t="str">
        <f aca="false">IF(OR($D1902="",单元查询!$B$3=""),"",IF($D1902&lt;&gt;单元查询!$B$3,"",IF(OR(单元查询!$D$3="",$E1902&amp;""=单元查询!$D$3&amp;""),IF(ISNUMBER($B1902),$B1902*10000,0)+ROW(),"")))</f>
        <v/>
      </c>
      <c r="U1902" s="0" t="str">
        <f aca="false">IF(OR($B1902="",$L1902="已完成"),"",IF(ISNUMBER($B1902),IF(设置!$B$6&lt;$B1902,"",(设置!$B$6-$B1902)*100000+ROW()),""))</f>
        <v/>
      </c>
      <c r="V1902" s="0" t="str">
        <f aca="false">IF(ISNUMBER($O1902),IF($O1902&gt;=2,IF(COUNTIFS($D1902:$D$2006,$D1902,$E1902:$E$2006,$E1902)=1,ROW(),""),""),"")</f>
        <v/>
      </c>
    </row>
    <row r="1903" customFormat="false" ht="15" hidden="false" customHeight="true" outlineLevel="0" collapsed="false">
      <c r="A1903" s="13" t="str">
        <f aca="false">IF(AND($B1903="",$D1903="",$E1903="",$F1903=""),"",IF(OR($B1903="",$D1903="",$E1903=""),"待补",IF($D1903="公共区域","公",IF($D1903="商铺","S",SUBSTITUTE($D1903,"栋","")))&amp;"-"&amp;$E1903&amp;"-"&amp;TEXT(MONTH($B1903),"00")&amp;TEXT(DAY($B1903),"00")&amp;IF(ISNUMBER($O1903),IF($O1903&gt;1,"-"&amp;TEXT($O1903,"00"),""),"")))</f>
        <v/>
      </c>
      <c r="B1903" s="14"/>
      <c r="C1903" s="10"/>
      <c r="D1903" s="10"/>
      <c r="E1903" s="10"/>
      <c r="F1903" s="16"/>
      <c r="G1903" s="10"/>
      <c r="H1903" s="10"/>
      <c r="I1903" s="10"/>
      <c r="J1903" s="10"/>
      <c r="K1903" s="10"/>
      <c r="L1903" s="10"/>
      <c r="M1903" s="14"/>
      <c r="N1903" s="17" t="str">
        <f aca="false">IF($B1903="","",IF($L1903="已完成",IF($M1903="","",$M1903-$B1903),IF(设置!$B$6&lt;$B1903,"",IF((设置!$B$6-$B1903)&gt;=设置!$B$5,"超期"&amp;(设置!$B$6-$B1903)&amp;"天","已等"&amp;(设置!$B$6-$B1903)&amp;"天"))))</f>
        <v/>
      </c>
      <c r="O1903" s="18" t="str">
        <f aca="false">IF(OR($D1903="",$E1903=""),"",COUNTIFS($D$7:$D1903,$D1903,$E$7:$E1903,$E1903))</f>
        <v/>
      </c>
      <c r="P1903" s="16"/>
      <c r="Q1903" s="19"/>
      <c r="R1903" s="10"/>
      <c r="S1903" s="16"/>
      <c r="T1903" s="0" t="str">
        <f aca="false">IF(OR($D1903="",单元查询!$B$3=""),"",IF($D1903&lt;&gt;单元查询!$B$3,"",IF(OR(单元查询!$D$3="",$E1903&amp;""=单元查询!$D$3&amp;""),IF(ISNUMBER($B1903),$B1903*10000,0)+ROW(),"")))</f>
        <v/>
      </c>
      <c r="U1903" s="0" t="str">
        <f aca="false">IF(OR($B1903="",$L1903="已完成"),"",IF(ISNUMBER($B1903),IF(设置!$B$6&lt;$B1903,"",(设置!$B$6-$B1903)*100000+ROW()),""))</f>
        <v/>
      </c>
      <c r="V1903" s="0" t="str">
        <f aca="false">IF(ISNUMBER($O1903),IF($O1903&gt;=2,IF(COUNTIFS($D1903:$D$2006,$D1903,$E1903:$E$2006,$E1903)=1,ROW(),""),""),"")</f>
        <v/>
      </c>
    </row>
    <row r="1904" customFormat="false" ht="15" hidden="false" customHeight="true" outlineLevel="0" collapsed="false">
      <c r="A1904" s="13" t="str">
        <f aca="false">IF(AND($B1904="",$D1904="",$E1904="",$F1904=""),"",IF(OR($B1904="",$D1904="",$E1904=""),"待补",IF($D1904="公共区域","公",IF($D1904="商铺","S",SUBSTITUTE($D1904,"栋","")))&amp;"-"&amp;$E1904&amp;"-"&amp;TEXT(MONTH($B1904),"00")&amp;TEXT(DAY($B1904),"00")&amp;IF(ISNUMBER($O1904),IF($O1904&gt;1,"-"&amp;TEXT($O1904,"00"),""),"")))</f>
        <v/>
      </c>
      <c r="B1904" s="14"/>
      <c r="C1904" s="10"/>
      <c r="D1904" s="10"/>
      <c r="E1904" s="10"/>
      <c r="F1904" s="16"/>
      <c r="G1904" s="10"/>
      <c r="H1904" s="10"/>
      <c r="I1904" s="10"/>
      <c r="J1904" s="10"/>
      <c r="K1904" s="10"/>
      <c r="L1904" s="10"/>
      <c r="M1904" s="14"/>
      <c r="N1904" s="17" t="str">
        <f aca="false">IF($B1904="","",IF($L1904="已完成",IF($M1904="","",$M1904-$B1904),IF(设置!$B$6&lt;$B1904,"",IF((设置!$B$6-$B1904)&gt;=设置!$B$5,"超期"&amp;(设置!$B$6-$B1904)&amp;"天","已等"&amp;(设置!$B$6-$B1904)&amp;"天"))))</f>
        <v/>
      </c>
      <c r="O1904" s="18" t="str">
        <f aca="false">IF(OR($D1904="",$E1904=""),"",COUNTIFS($D$7:$D1904,$D1904,$E$7:$E1904,$E1904))</f>
        <v/>
      </c>
      <c r="P1904" s="16"/>
      <c r="Q1904" s="19"/>
      <c r="R1904" s="10"/>
      <c r="S1904" s="16"/>
      <c r="T1904" s="0" t="str">
        <f aca="false">IF(OR($D1904="",单元查询!$B$3=""),"",IF($D1904&lt;&gt;单元查询!$B$3,"",IF(OR(单元查询!$D$3="",$E1904&amp;""=单元查询!$D$3&amp;""),IF(ISNUMBER($B1904),$B1904*10000,0)+ROW(),"")))</f>
        <v/>
      </c>
      <c r="U1904" s="0" t="str">
        <f aca="false">IF(OR($B1904="",$L1904="已完成"),"",IF(ISNUMBER($B1904),IF(设置!$B$6&lt;$B1904,"",(设置!$B$6-$B1904)*100000+ROW()),""))</f>
        <v/>
      </c>
      <c r="V1904" s="0" t="str">
        <f aca="false">IF(ISNUMBER($O1904),IF($O1904&gt;=2,IF(COUNTIFS($D1904:$D$2006,$D1904,$E1904:$E$2006,$E1904)=1,ROW(),""),""),"")</f>
        <v/>
      </c>
    </row>
    <row r="1905" customFormat="false" ht="15" hidden="false" customHeight="true" outlineLevel="0" collapsed="false">
      <c r="A1905" s="13" t="str">
        <f aca="false">IF(AND($B1905="",$D1905="",$E1905="",$F1905=""),"",IF(OR($B1905="",$D1905="",$E1905=""),"待补",IF($D1905="公共区域","公",IF($D1905="商铺","S",SUBSTITUTE($D1905,"栋","")))&amp;"-"&amp;$E1905&amp;"-"&amp;TEXT(MONTH($B1905),"00")&amp;TEXT(DAY($B1905),"00")&amp;IF(ISNUMBER($O1905),IF($O1905&gt;1,"-"&amp;TEXT($O1905,"00"),""),"")))</f>
        <v/>
      </c>
      <c r="B1905" s="14"/>
      <c r="C1905" s="10"/>
      <c r="D1905" s="10"/>
      <c r="E1905" s="10"/>
      <c r="F1905" s="16"/>
      <c r="G1905" s="10"/>
      <c r="H1905" s="10"/>
      <c r="I1905" s="10"/>
      <c r="J1905" s="10"/>
      <c r="K1905" s="10"/>
      <c r="L1905" s="10"/>
      <c r="M1905" s="14"/>
      <c r="N1905" s="17" t="str">
        <f aca="false">IF($B1905="","",IF($L1905="已完成",IF($M1905="","",$M1905-$B1905),IF(设置!$B$6&lt;$B1905,"",IF((设置!$B$6-$B1905)&gt;=设置!$B$5,"超期"&amp;(设置!$B$6-$B1905)&amp;"天","已等"&amp;(设置!$B$6-$B1905)&amp;"天"))))</f>
        <v/>
      </c>
      <c r="O1905" s="18" t="str">
        <f aca="false">IF(OR($D1905="",$E1905=""),"",COUNTIFS($D$7:$D1905,$D1905,$E$7:$E1905,$E1905))</f>
        <v/>
      </c>
      <c r="P1905" s="16"/>
      <c r="Q1905" s="19"/>
      <c r="R1905" s="10"/>
      <c r="S1905" s="16"/>
      <c r="T1905" s="0" t="str">
        <f aca="false">IF(OR($D1905="",单元查询!$B$3=""),"",IF($D1905&lt;&gt;单元查询!$B$3,"",IF(OR(单元查询!$D$3="",$E1905&amp;""=单元查询!$D$3&amp;""),IF(ISNUMBER($B1905),$B1905*10000,0)+ROW(),"")))</f>
        <v/>
      </c>
      <c r="U1905" s="0" t="str">
        <f aca="false">IF(OR($B1905="",$L1905="已完成"),"",IF(ISNUMBER($B1905),IF(设置!$B$6&lt;$B1905,"",(设置!$B$6-$B1905)*100000+ROW()),""))</f>
        <v/>
      </c>
      <c r="V1905" s="0" t="str">
        <f aca="false">IF(ISNUMBER($O1905),IF($O1905&gt;=2,IF(COUNTIFS($D1905:$D$2006,$D1905,$E1905:$E$2006,$E1905)=1,ROW(),""),""),"")</f>
        <v/>
      </c>
    </row>
    <row r="1906" customFormat="false" ht="15" hidden="false" customHeight="true" outlineLevel="0" collapsed="false">
      <c r="A1906" s="13" t="str">
        <f aca="false">IF(AND($B1906="",$D1906="",$E1906="",$F1906=""),"",IF(OR($B1906="",$D1906="",$E1906=""),"待补",IF($D1906="公共区域","公",IF($D1906="商铺","S",SUBSTITUTE($D1906,"栋","")))&amp;"-"&amp;$E1906&amp;"-"&amp;TEXT(MONTH($B1906),"00")&amp;TEXT(DAY($B1906),"00")&amp;IF(ISNUMBER($O1906),IF($O1906&gt;1,"-"&amp;TEXT($O1906,"00"),""),"")))</f>
        <v/>
      </c>
      <c r="B1906" s="14"/>
      <c r="C1906" s="10"/>
      <c r="D1906" s="10"/>
      <c r="E1906" s="10"/>
      <c r="F1906" s="16"/>
      <c r="G1906" s="10"/>
      <c r="H1906" s="10"/>
      <c r="I1906" s="10"/>
      <c r="J1906" s="10"/>
      <c r="K1906" s="10"/>
      <c r="L1906" s="10"/>
      <c r="M1906" s="14"/>
      <c r="N1906" s="17" t="str">
        <f aca="false">IF($B1906="","",IF($L1906="已完成",IF($M1906="","",$M1906-$B1906),IF(设置!$B$6&lt;$B1906,"",IF((设置!$B$6-$B1906)&gt;=设置!$B$5,"超期"&amp;(设置!$B$6-$B1906)&amp;"天","已等"&amp;(设置!$B$6-$B1906)&amp;"天"))))</f>
        <v/>
      </c>
      <c r="O1906" s="18" t="str">
        <f aca="false">IF(OR($D1906="",$E1906=""),"",COUNTIFS($D$7:$D1906,$D1906,$E$7:$E1906,$E1906))</f>
        <v/>
      </c>
      <c r="P1906" s="16"/>
      <c r="Q1906" s="19"/>
      <c r="R1906" s="10"/>
      <c r="S1906" s="16"/>
      <c r="T1906" s="0" t="str">
        <f aca="false">IF(OR($D1906="",单元查询!$B$3=""),"",IF($D1906&lt;&gt;单元查询!$B$3,"",IF(OR(单元查询!$D$3="",$E1906&amp;""=单元查询!$D$3&amp;""),IF(ISNUMBER($B1906),$B1906*10000,0)+ROW(),"")))</f>
        <v/>
      </c>
      <c r="U1906" s="0" t="str">
        <f aca="false">IF(OR($B1906="",$L1906="已完成"),"",IF(ISNUMBER($B1906),IF(设置!$B$6&lt;$B1906,"",(设置!$B$6-$B1906)*100000+ROW()),""))</f>
        <v/>
      </c>
      <c r="V1906" s="0" t="str">
        <f aca="false">IF(ISNUMBER($O1906),IF($O1906&gt;=2,IF(COUNTIFS($D1906:$D$2006,$D1906,$E1906:$E$2006,$E1906)=1,ROW(),""),""),"")</f>
        <v/>
      </c>
    </row>
    <row r="1907" customFormat="false" ht="15" hidden="false" customHeight="true" outlineLevel="0" collapsed="false">
      <c r="A1907" s="13" t="str">
        <f aca="false">IF(AND($B1907="",$D1907="",$E1907="",$F1907=""),"",IF(OR($B1907="",$D1907="",$E1907=""),"待补",IF($D1907="公共区域","公",IF($D1907="商铺","S",SUBSTITUTE($D1907,"栋","")))&amp;"-"&amp;$E1907&amp;"-"&amp;TEXT(MONTH($B1907),"00")&amp;TEXT(DAY($B1907),"00")&amp;IF(ISNUMBER($O1907),IF($O1907&gt;1,"-"&amp;TEXT($O1907,"00"),""),"")))</f>
        <v/>
      </c>
      <c r="B1907" s="14"/>
      <c r="C1907" s="10"/>
      <c r="D1907" s="10"/>
      <c r="E1907" s="10"/>
      <c r="F1907" s="16"/>
      <c r="G1907" s="10"/>
      <c r="H1907" s="10"/>
      <c r="I1907" s="10"/>
      <c r="J1907" s="10"/>
      <c r="K1907" s="10"/>
      <c r="L1907" s="10"/>
      <c r="M1907" s="14"/>
      <c r="N1907" s="17" t="str">
        <f aca="false">IF($B1907="","",IF($L1907="已完成",IF($M1907="","",$M1907-$B1907),IF(设置!$B$6&lt;$B1907,"",IF((设置!$B$6-$B1907)&gt;=设置!$B$5,"超期"&amp;(设置!$B$6-$B1907)&amp;"天","已等"&amp;(设置!$B$6-$B1907)&amp;"天"))))</f>
        <v/>
      </c>
      <c r="O1907" s="18" t="str">
        <f aca="false">IF(OR($D1907="",$E1907=""),"",COUNTIFS($D$7:$D1907,$D1907,$E$7:$E1907,$E1907))</f>
        <v/>
      </c>
      <c r="P1907" s="16"/>
      <c r="Q1907" s="19"/>
      <c r="R1907" s="10"/>
      <c r="S1907" s="16"/>
      <c r="T1907" s="0" t="str">
        <f aca="false">IF(OR($D1907="",单元查询!$B$3=""),"",IF($D1907&lt;&gt;单元查询!$B$3,"",IF(OR(单元查询!$D$3="",$E1907&amp;""=单元查询!$D$3&amp;""),IF(ISNUMBER($B1907),$B1907*10000,0)+ROW(),"")))</f>
        <v/>
      </c>
      <c r="U1907" s="0" t="str">
        <f aca="false">IF(OR($B1907="",$L1907="已完成"),"",IF(ISNUMBER($B1907),IF(设置!$B$6&lt;$B1907,"",(设置!$B$6-$B1907)*100000+ROW()),""))</f>
        <v/>
      </c>
      <c r="V1907" s="0" t="str">
        <f aca="false">IF(ISNUMBER($O1907),IF($O1907&gt;=2,IF(COUNTIFS($D1907:$D$2006,$D1907,$E1907:$E$2006,$E1907)=1,ROW(),""),""),"")</f>
        <v/>
      </c>
    </row>
    <row r="1908" customFormat="false" ht="15" hidden="false" customHeight="true" outlineLevel="0" collapsed="false">
      <c r="A1908" s="13" t="str">
        <f aca="false">IF(AND($B1908="",$D1908="",$E1908="",$F1908=""),"",IF(OR($B1908="",$D1908="",$E1908=""),"待补",IF($D1908="公共区域","公",IF($D1908="商铺","S",SUBSTITUTE($D1908,"栋","")))&amp;"-"&amp;$E1908&amp;"-"&amp;TEXT(MONTH($B1908),"00")&amp;TEXT(DAY($B1908),"00")&amp;IF(ISNUMBER($O1908),IF($O1908&gt;1,"-"&amp;TEXT($O1908,"00"),""),"")))</f>
        <v/>
      </c>
      <c r="B1908" s="14"/>
      <c r="C1908" s="10"/>
      <c r="D1908" s="10"/>
      <c r="E1908" s="10"/>
      <c r="F1908" s="16"/>
      <c r="G1908" s="10"/>
      <c r="H1908" s="10"/>
      <c r="I1908" s="10"/>
      <c r="J1908" s="10"/>
      <c r="K1908" s="10"/>
      <c r="L1908" s="10"/>
      <c r="M1908" s="14"/>
      <c r="N1908" s="17" t="str">
        <f aca="false">IF($B1908="","",IF($L1908="已完成",IF($M1908="","",$M1908-$B1908),IF(设置!$B$6&lt;$B1908,"",IF((设置!$B$6-$B1908)&gt;=设置!$B$5,"超期"&amp;(设置!$B$6-$B1908)&amp;"天","已等"&amp;(设置!$B$6-$B1908)&amp;"天"))))</f>
        <v/>
      </c>
      <c r="O1908" s="18" t="str">
        <f aca="false">IF(OR($D1908="",$E1908=""),"",COUNTIFS($D$7:$D1908,$D1908,$E$7:$E1908,$E1908))</f>
        <v/>
      </c>
      <c r="P1908" s="16"/>
      <c r="Q1908" s="19"/>
      <c r="R1908" s="10"/>
      <c r="S1908" s="16"/>
      <c r="T1908" s="0" t="str">
        <f aca="false">IF(OR($D1908="",单元查询!$B$3=""),"",IF($D1908&lt;&gt;单元查询!$B$3,"",IF(OR(单元查询!$D$3="",$E1908&amp;""=单元查询!$D$3&amp;""),IF(ISNUMBER($B1908),$B1908*10000,0)+ROW(),"")))</f>
        <v/>
      </c>
      <c r="U1908" s="0" t="str">
        <f aca="false">IF(OR($B1908="",$L1908="已完成"),"",IF(ISNUMBER($B1908),IF(设置!$B$6&lt;$B1908,"",(设置!$B$6-$B1908)*100000+ROW()),""))</f>
        <v/>
      </c>
      <c r="V1908" s="0" t="str">
        <f aca="false">IF(ISNUMBER($O1908),IF($O1908&gt;=2,IF(COUNTIFS($D1908:$D$2006,$D1908,$E1908:$E$2006,$E1908)=1,ROW(),""),""),"")</f>
        <v/>
      </c>
    </row>
    <row r="1909" customFormat="false" ht="15" hidden="false" customHeight="true" outlineLevel="0" collapsed="false">
      <c r="A1909" s="13" t="str">
        <f aca="false">IF(AND($B1909="",$D1909="",$E1909="",$F1909=""),"",IF(OR($B1909="",$D1909="",$E1909=""),"待补",IF($D1909="公共区域","公",IF($D1909="商铺","S",SUBSTITUTE($D1909,"栋","")))&amp;"-"&amp;$E1909&amp;"-"&amp;TEXT(MONTH($B1909),"00")&amp;TEXT(DAY($B1909),"00")&amp;IF(ISNUMBER($O1909),IF($O1909&gt;1,"-"&amp;TEXT($O1909,"00"),""),"")))</f>
        <v/>
      </c>
      <c r="B1909" s="14"/>
      <c r="C1909" s="10"/>
      <c r="D1909" s="10"/>
      <c r="E1909" s="10"/>
      <c r="F1909" s="16"/>
      <c r="G1909" s="10"/>
      <c r="H1909" s="10"/>
      <c r="I1909" s="10"/>
      <c r="J1909" s="10"/>
      <c r="K1909" s="10"/>
      <c r="L1909" s="10"/>
      <c r="M1909" s="14"/>
      <c r="N1909" s="17" t="str">
        <f aca="false">IF($B1909="","",IF($L1909="已完成",IF($M1909="","",$M1909-$B1909),IF(设置!$B$6&lt;$B1909,"",IF((设置!$B$6-$B1909)&gt;=设置!$B$5,"超期"&amp;(设置!$B$6-$B1909)&amp;"天","已等"&amp;(设置!$B$6-$B1909)&amp;"天"))))</f>
        <v/>
      </c>
      <c r="O1909" s="18" t="str">
        <f aca="false">IF(OR($D1909="",$E1909=""),"",COUNTIFS($D$7:$D1909,$D1909,$E$7:$E1909,$E1909))</f>
        <v/>
      </c>
      <c r="P1909" s="16"/>
      <c r="Q1909" s="19"/>
      <c r="R1909" s="10"/>
      <c r="S1909" s="16"/>
      <c r="T1909" s="0" t="str">
        <f aca="false">IF(OR($D1909="",单元查询!$B$3=""),"",IF($D1909&lt;&gt;单元查询!$B$3,"",IF(OR(单元查询!$D$3="",$E1909&amp;""=单元查询!$D$3&amp;""),IF(ISNUMBER($B1909),$B1909*10000,0)+ROW(),"")))</f>
        <v/>
      </c>
      <c r="U1909" s="0" t="str">
        <f aca="false">IF(OR($B1909="",$L1909="已完成"),"",IF(ISNUMBER($B1909),IF(设置!$B$6&lt;$B1909,"",(设置!$B$6-$B1909)*100000+ROW()),""))</f>
        <v/>
      </c>
      <c r="V1909" s="0" t="str">
        <f aca="false">IF(ISNUMBER($O1909),IF($O1909&gt;=2,IF(COUNTIFS($D1909:$D$2006,$D1909,$E1909:$E$2006,$E1909)=1,ROW(),""),""),"")</f>
        <v/>
      </c>
    </row>
    <row r="1910" customFormat="false" ht="15" hidden="false" customHeight="true" outlineLevel="0" collapsed="false">
      <c r="A1910" s="13" t="str">
        <f aca="false">IF(AND($B1910="",$D1910="",$E1910="",$F1910=""),"",IF(OR($B1910="",$D1910="",$E1910=""),"待补",IF($D1910="公共区域","公",IF($D1910="商铺","S",SUBSTITUTE($D1910,"栋","")))&amp;"-"&amp;$E1910&amp;"-"&amp;TEXT(MONTH($B1910),"00")&amp;TEXT(DAY($B1910),"00")&amp;IF(ISNUMBER($O1910),IF($O1910&gt;1,"-"&amp;TEXT($O1910,"00"),""),"")))</f>
        <v/>
      </c>
      <c r="B1910" s="14"/>
      <c r="C1910" s="10"/>
      <c r="D1910" s="10"/>
      <c r="E1910" s="10"/>
      <c r="F1910" s="16"/>
      <c r="G1910" s="10"/>
      <c r="H1910" s="10"/>
      <c r="I1910" s="10"/>
      <c r="J1910" s="10"/>
      <c r="K1910" s="10"/>
      <c r="L1910" s="10"/>
      <c r="M1910" s="14"/>
      <c r="N1910" s="17" t="str">
        <f aca="false">IF($B1910="","",IF($L1910="已完成",IF($M1910="","",$M1910-$B1910),IF(设置!$B$6&lt;$B1910,"",IF((设置!$B$6-$B1910)&gt;=设置!$B$5,"超期"&amp;(设置!$B$6-$B1910)&amp;"天","已等"&amp;(设置!$B$6-$B1910)&amp;"天"))))</f>
        <v/>
      </c>
      <c r="O1910" s="18" t="str">
        <f aca="false">IF(OR($D1910="",$E1910=""),"",COUNTIFS($D$7:$D1910,$D1910,$E$7:$E1910,$E1910))</f>
        <v/>
      </c>
      <c r="P1910" s="16"/>
      <c r="Q1910" s="19"/>
      <c r="R1910" s="10"/>
      <c r="S1910" s="16"/>
      <c r="T1910" s="0" t="str">
        <f aca="false">IF(OR($D1910="",单元查询!$B$3=""),"",IF($D1910&lt;&gt;单元查询!$B$3,"",IF(OR(单元查询!$D$3="",$E1910&amp;""=单元查询!$D$3&amp;""),IF(ISNUMBER($B1910),$B1910*10000,0)+ROW(),"")))</f>
        <v/>
      </c>
      <c r="U1910" s="0" t="str">
        <f aca="false">IF(OR($B1910="",$L1910="已完成"),"",IF(ISNUMBER($B1910),IF(设置!$B$6&lt;$B1910,"",(设置!$B$6-$B1910)*100000+ROW()),""))</f>
        <v/>
      </c>
      <c r="V1910" s="0" t="str">
        <f aca="false">IF(ISNUMBER($O1910),IF($O1910&gt;=2,IF(COUNTIFS($D1910:$D$2006,$D1910,$E1910:$E$2006,$E1910)=1,ROW(),""),""),"")</f>
        <v/>
      </c>
    </row>
    <row r="1911" customFormat="false" ht="15" hidden="false" customHeight="true" outlineLevel="0" collapsed="false">
      <c r="A1911" s="13" t="str">
        <f aca="false">IF(AND($B1911="",$D1911="",$E1911="",$F1911=""),"",IF(OR($B1911="",$D1911="",$E1911=""),"待补",IF($D1911="公共区域","公",IF($D1911="商铺","S",SUBSTITUTE($D1911,"栋","")))&amp;"-"&amp;$E1911&amp;"-"&amp;TEXT(MONTH($B1911),"00")&amp;TEXT(DAY($B1911),"00")&amp;IF(ISNUMBER($O1911),IF($O1911&gt;1,"-"&amp;TEXT($O1911,"00"),""),"")))</f>
        <v/>
      </c>
      <c r="B1911" s="14"/>
      <c r="C1911" s="10"/>
      <c r="D1911" s="10"/>
      <c r="E1911" s="10"/>
      <c r="F1911" s="16"/>
      <c r="G1911" s="10"/>
      <c r="H1911" s="10"/>
      <c r="I1911" s="10"/>
      <c r="J1911" s="10"/>
      <c r="K1911" s="10"/>
      <c r="L1911" s="10"/>
      <c r="M1911" s="14"/>
      <c r="N1911" s="17" t="str">
        <f aca="false">IF($B1911="","",IF($L1911="已完成",IF($M1911="","",$M1911-$B1911),IF(设置!$B$6&lt;$B1911,"",IF((设置!$B$6-$B1911)&gt;=设置!$B$5,"超期"&amp;(设置!$B$6-$B1911)&amp;"天","已等"&amp;(设置!$B$6-$B1911)&amp;"天"))))</f>
        <v/>
      </c>
      <c r="O1911" s="18" t="str">
        <f aca="false">IF(OR($D1911="",$E1911=""),"",COUNTIFS($D$7:$D1911,$D1911,$E$7:$E1911,$E1911))</f>
        <v/>
      </c>
      <c r="P1911" s="16"/>
      <c r="Q1911" s="19"/>
      <c r="R1911" s="10"/>
      <c r="S1911" s="16"/>
      <c r="T1911" s="0" t="str">
        <f aca="false">IF(OR($D1911="",单元查询!$B$3=""),"",IF($D1911&lt;&gt;单元查询!$B$3,"",IF(OR(单元查询!$D$3="",$E1911&amp;""=单元查询!$D$3&amp;""),IF(ISNUMBER($B1911),$B1911*10000,0)+ROW(),"")))</f>
        <v/>
      </c>
      <c r="U1911" s="0" t="str">
        <f aca="false">IF(OR($B1911="",$L1911="已完成"),"",IF(ISNUMBER($B1911),IF(设置!$B$6&lt;$B1911,"",(设置!$B$6-$B1911)*100000+ROW()),""))</f>
        <v/>
      </c>
      <c r="V1911" s="0" t="str">
        <f aca="false">IF(ISNUMBER($O1911),IF($O1911&gt;=2,IF(COUNTIFS($D1911:$D$2006,$D1911,$E1911:$E$2006,$E1911)=1,ROW(),""),""),"")</f>
        <v/>
      </c>
    </row>
    <row r="1912" customFormat="false" ht="15" hidden="false" customHeight="true" outlineLevel="0" collapsed="false">
      <c r="A1912" s="13" t="str">
        <f aca="false">IF(AND($B1912="",$D1912="",$E1912="",$F1912=""),"",IF(OR($B1912="",$D1912="",$E1912=""),"待补",IF($D1912="公共区域","公",IF($D1912="商铺","S",SUBSTITUTE($D1912,"栋","")))&amp;"-"&amp;$E1912&amp;"-"&amp;TEXT(MONTH($B1912),"00")&amp;TEXT(DAY($B1912),"00")&amp;IF(ISNUMBER($O1912),IF($O1912&gt;1,"-"&amp;TEXT($O1912,"00"),""),"")))</f>
        <v/>
      </c>
      <c r="B1912" s="14"/>
      <c r="C1912" s="10"/>
      <c r="D1912" s="10"/>
      <c r="E1912" s="10"/>
      <c r="F1912" s="16"/>
      <c r="G1912" s="10"/>
      <c r="H1912" s="10"/>
      <c r="I1912" s="10"/>
      <c r="J1912" s="10"/>
      <c r="K1912" s="10"/>
      <c r="L1912" s="10"/>
      <c r="M1912" s="14"/>
      <c r="N1912" s="17" t="str">
        <f aca="false">IF($B1912="","",IF($L1912="已完成",IF($M1912="","",$M1912-$B1912),IF(设置!$B$6&lt;$B1912,"",IF((设置!$B$6-$B1912)&gt;=设置!$B$5,"超期"&amp;(设置!$B$6-$B1912)&amp;"天","已等"&amp;(设置!$B$6-$B1912)&amp;"天"))))</f>
        <v/>
      </c>
      <c r="O1912" s="18" t="str">
        <f aca="false">IF(OR($D1912="",$E1912=""),"",COUNTIFS($D$7:$D1912,$D1912,$E$7:$E1912,$E1912))</f>
        <v/>
      </c>
      <c r="P1912" s="16"/>
      <c r="Q1912" s="19"/>
      <c r="R1912" s="10"/>
      <c r="S1912" s="16"/>
      <c r="T1912" s="0" t="str">
        <f aca="false">IF(OR($D1912="",单元查询!$B$3=""),"",IF($D1912&lt;&gt;单元查询!$B$3,"",IF(OR(单元查询!$D$3="",$E1912&amp;""=单元查询!$D$3&amp;""),IF(ISNUMBER($B1912),$B1912*10000,0)+ROW(),"")))</f>
        <v/>
      </c>
      <c r="U1912" s="0" t="str">
        <f aca="false">IF(OR($B1912="",$L1912="已完成"),"",IF(ISNUMBER($B1912),IF(设置!$B$6&lt;$B1912,"",(设置!$B$6-$B1912)*100000+ROW()),""))</f>
        <v/>
      </c>
      <c r="V1912" s="0" t="str">
        <f aca="false">IF(ISNUMBER($O1912),IF($O1912&gt;=2,IF(COUNTIFS($D1912:$D$2006,$D1912,$E1912:$E$2006,$E1912)=1,ROW(),""),""),"")</f>
        <v/>
      </c>
    </row>
    <row r="1913" customFormat="false" ht="15" hidden="false" customHeight="true" outlineLevel="0" collapsed="false">
      <c r="A1913" s="13" t="str">
        <f aca="false">IF(AND($B1913="",$D1913="",$E1913="",$F1913=""),"",IF(OR($B1913="",$D1913="",$E1913=""),"待补",IF($D1913="公共区域","公",IF($D1913="商铺","S",SUBSTITUTE($D1913,"栋","")))&amp;"-"&amp;$E1913&amp;"-"&amp;TEXT(MONTH($B1913),"00")&amp;TEXT(DAY($B1913),"00")&amp;IF(ISNUMBER($O1913),IF($O1913&gt;1,"-"&amp;TEXT($O1913,"00"),""),"")))</f>
        <v/>
      </c>
      <c r="B1913" s="14"/>
      <c r="C1913" s="10"/>
      <c r="D1913" s="10"/>
      <c r="E1913" s="10"/>
      <c r="F1913" s="16"/>
      <c r="G1913" s="10"/>
      <c r="H1913" s="10"/>
      <c r="I1913" s="10"/>
      <c r="J1913" s="10"/>
      <c r="K1913" s="10"/>
      <c r="L1913" s="10"/>
      <c r="M1913" s="14"/>
      <c r="N1913" s="17" t="str">
        <f aca="false">IF($B1913="","",IF($L1913="已完成",IF($M1913="","",$M1913-$B1913),IF(设置!$B$6&lt;$B1913,"",IF((设置!$B$6-$B1913)&gt;=设置!$B$5,"超期"&amp;(设置!$B$6-$B1913)&amp;"天","已等"&amp;(设置!$B$6-$B1913)&amp;"天"))))</f>
        <v/>
      </c>
      <c r="O1913" s="18" t="str">
        <f aca="false">IF(OR($D1913="",$E1913=""),"",COUNTIFS($D$7:$D1913,$D1913,$E$7:$E1913,$E1913))</f>
        <v/>
      </c>
      <c r="P1913" s="16"/>
      <c r="Q1913" s="19"/>
      <c r="R1913" s="10"/>
      <c r="S1913" s="16"/>
      <c r="T1913" s="0" t="str">
        <f aca="false">IF(OR($D1913="",单元查询!$B$3=""),"",IF($D1913&lt;&gt;单元查询!$B$3,"",IF(OR(单元查询!$D$3="",$E1913&amp;""=单元查询!$D$3&amp;""),IF(ISNUMBER($B1913),$B1913*10000,0)+ROW(),"")))</f>
        <v/>
      </c>
      <c r="U1913" s="0" t="str">
        <f aca="false">IF(OR($B1913="",$L1913="已完成"),"",IF(ISNUMBER($B1913),IF(设置!$B$6&lt;$B1913,"",(设置!$B$6-$B1913)*100000+ROW()),""))</f>
        <v/>
      </c>
      <c r="V1913" s="0" t="str">
        <f aca="false">IF(ISNUMBER($O1913),IF($O1913&gt;=2,IF(COUNTIFS($D1913:$D$2006,$D1913,$E1913:$E$2006,$E1913)=1,ROW(),""),""),"")</f>
        <v/>
      </c>
    </row>
    <row r="1914" customFormat="false" ht="15" hidden="false" customHeight="true" outlineLevel="0" collapsed="false">
      <c r="A1914" s="13" t="str">
        <f aca="false">IF(AND($B1914="",$D1914="",$E1914="",$F1914=""),"",IF(OR($B1914="",$D1914="",$E1914=""),"待补",IF($D1914="公共区域","公",IF($D1914="商铺","S",SUBSTITUTE($D1914,"栋","")))&amp;"-"&amp;$E1914&amp;"-"&amp;TEXT(MONTH($B1914),"00")&amp;TEXT(DAY($B1914),"00")&amp;IF(ISNUMBER($O1914),IF($O1914&gt;1,"-"&amp;TEXT($O1914,"00"),""),"")))</f>
        <v/>
      </c>
      <c r="B1914" s="14"/>
      <c r="C1914" s="10"/>
      <c r="D1914" s="10"/>
      <c r="E1914" s="10"/>
      <c r="F1914" s="16"/>
      <c r="G1914" s="10"/>
      <c r="H1914" s="10"/>
      <c r="I1914" s="10"/>
      <c r="J1914" s="10"/>
      <c r="K1914" s="10"/>
      <c r="L1914" s="10"/>
      <c r="M1914" s="14"/>
      <c r="N1914" s="17" t="str">
        <f aca="false">IF($B1914="","",IF($L1914="已完成",IF($M1914="","",$M1914-$B1914),IF(设置!$B$6&lt;$B1914,"",IF((设置!$B$6-$B1914)&gt;=设置!$B$5,"超期"&amp;(设置!$B$6-$B1914)&amp;"天","已等"&amp;(设置!$B$6-$B1914)&amp;"天"))))</f>
        <v/>
      </c>
      <c r="O1914" s="18" t="str">
        <f aca="false">IF(OR($D1914="",$E1914=""),"",COUNTIFS($D$7:$D1914,$D1914,$E$7:$E1914,$E1914))</f>
        <v/>
      </c>
      <c r="P1914" s="16"/>
      <c r="Q1914" s="19"/>
      <c r="R1914" s="10"/>
      <c r="S1914" s="16"/>
      <c r="T1914" s="0" t="str">
        <f aca="false">IF(OR($D1914="",单元查询!$B$3=""),"",IF($D1914&lt;&gt;单元查询!$B$3,"",IF(OR(单元查询!$D$3="",$E1914&amp;""=单元查询!$D$3&amp;""),IF(ISNUMBER($B1914),$B1914*10000,0)+ROW(),"")))</f>
        <v/>
      </c>
      <c r="U1914" s="0" t="str">
        <f aca="false">IF(OR($B1914="",$L1914="已完成"),"",IF(ISNUMBER($B1914),IF(设置!$B$6&lt;$B1914,"",(设置!$B$6-$B1914)*100000+ROW()),""))</f>
        <v/>
      </c>
      <c r="V1914" s="0" t="str">
        <f aca="false">IF(ISNUMBER($O1914),IF($O1914&gt;=2,IF(COUNTIFS($D1914:$D$2006,$D1914,$E1914:$E$2006,$E1914)=1,ROW(),""),""),"")</f>
        <v/>
      </c>
    </row>
    <row r="1915" customFormat="false" ht="15" hidden="false" customHeight="true" outlineLevel="0" collapsed="false">
      <c r="A1915" s="13" t="str">
        <f aca="false">IF(AND($B1915="",$D1915="",$E1915="",$F1915=""),"",IF(OR($B1915="",$D1915="",$E1915=""),"待补",IF($D1915="公共区域","公",IF($D1915="商铺","S",SUBSTITUTE($D1915,"栋","")))&amp;"-"&amp;$E1915&amp;"-"&amp;TEXT(MONTH($B1915),"00")&amp;TEXT(DAY($B1915),"00")&amp;IF(ISNUMBER($O1915),IF($O1915&gt;1,"-"&amp;TEXT($O1915,"00"),""),"")))</f>
        <v/>
      </c>
      <c r="B1915" s="14"/>
      <c r="C1915" s="10"/>
      <c r="D1915" s="10"/>
      <c r="E1915" s="10"/>
      <c r="F1915" s="16"/>
      <c r="G1915" s="10"/>
      <c r="H1915" s="10"/>
      <c r="I1915" s="10"/>
      <c r="J1915" s="10"/>
      <c r="K1915" s="10"/>
      <c r="L1915" s="10"/>
      <c r="M1915" s="14"/>
      <c r="N1915" s="17" t="str">
        <f aca="false">IF($B1915="","",IF($L1915="已完成",IF($M1915="","",$M1915-$B1915),IF(设置!$B$6&lt;$B1915,"",IF((设置!$B$6-$B1915)&gt;=设置!$B$5,"超期"&amp;(设置!$B$6-$B1915)&amp;"天","已等"&amp;(设置!$B$6-$B1915)&amp;"天"))))</f>
        <v/>
      </c>
      <c r="O1915" s="18" t="str">
        <f aca="false">IF(OR($D1915="",$E1915=""),"",COUNTIFS($D$7:$D1915,$D1915,$E$7:$E1915,$E1915))</f>
        <v/>
      </c>
      <c r="P1915" s="16"/>
      <c r="Q1915" s="19"/>
      <c r="R1915" s="10"/>
      <c r="S1915" s="16"/>
      <c r="T1915" s="0" t="str">
        <f aca="false">IF(OR($D1915="",单元查询!$B$3=""),"",IF($D1915&lt;&gt;单元查询!$B$3,"",IF(OR(单元查询!$D$3="",$E1915&amp;""=单元查询!$D$3&amp;""),IF(ISNUMBER($B1915),$B1915*10000,0)+ROW(),"")))</f>
        <v/>
      </c>
      <c r="U1915" s="0" t="str">
        <f aca="false">IF(OR($B1915="",$L1915="已完成"),"",IF(ISNUMBER($B1915),IF(设置!$B$6&lt;$B1915,"",(设置!$B$6-$B1915)*100000+ROW()),""))</f>
        <v/>
      </c>
      <c r="V1915" s="0" t="str">
        <f aca="false">IF(ISNUMBER($O1915),IF($O1915&gt;=2,IF(COUNTIFS($D1915:$D$2006,$D1915,$E1915:$E$2006,$E1915)=1,ROW(),""),""),"")</f>
        <v/>
      </c>
    </row>
    <row r="1916" customFormat="false" ht="15" hidden="false" customHeight="true" outlineLevel="0" collapsed="false">
      <c r="A1916" s="13" t="str">
        <f aca="false">IF(AND($B1916="",$D1916="",$E1916="",$F1916=""),"",IF(OR($B1916="",$D1916="",$E1916=""),"待补",IF($D1916="公共区域","公",IF($D1916="商铺","S",SUBSTITUTE($D1916,"栋","")))&amp;"-"&amp;$E1916&amp;"-"&amp;TEXT(MONTH($B1916),"00")&amp;TEXT(DAY($B1916),"00")&amp;IF(ISNUMBER($O1916),IF($O1916&gt;1,"-"&amp;TEXT($O1916,"00"),""),"")))</f>
        <v/>
      </c>
      <c r="B1916" s="14"/>
      <c r="C1916" s="10"/>
      <c r="D1916" s="10"/>
      <c r="E1916" s="10"/>
      <c r="F1916" s="16"/>
      <c r="G1916" s="10"/>
      <c r="H1916" s="10"/>
      <c r="I1916" s="10"/>
      <c r="J1916" s="10"/>
      <c r="K1916" s="10"/>
      <c r="L1916" s="10"/>
      <c r="M1916" s="14"/>
      <c r="N1916" s="17" t="str">
        <f aca="false">IF($B1916="","",IF($L1916="已完成",IF($M1916="","",$M1916-$B1916),IF(设置!$B$6&lt;$B1916,"",IF((设置!$B$6-$B1916)&gt;=设置!$B$5,"超期"&amp;(设置!$B$6-$B1916)&amp;"天","已等"&amp;(设置!$B$6-$B1916)&amp;"天"))))</f>
        <v/>
      </c>
      <c r="O1916" s="18" t="str">
        <f aca="false">IF(OR($D1916="",$E1916=""),"",COUNTIFS($D$7:$D1916,$D1916,$E$7:$E1916,$E1916))</f>
        <v/>
      </c>
      <c r="P1916" s="16"/>
      <c r="Q1916" s="19"/>
      <c r="R1916" s="10"/>
      <c r="S1916" s="16"/>
      <c r="T1916" s="0" t="str">
        <f aca="false">IF(OR($D1916="",单元查询!$B$3=""),"",IF($D1916&lt;&gt;单元查询!$B$3,"",IF(OR(单元查询!$D$3="",$E1916&amp;""=单元查询!$D$3&amp;""),IF(ISNUMBER($B1916),$B1916*10000,0)+ROW(),"")))</f>
        <v/>
      </c>
      <c r="U1916" s="0" t="str">
        <f aca="false">IF(OR($B1916="",$L1916="已完成"),"",IF(ISNUMBER($B1916),IF(设置!$B$6&lt;$B1916,"",(设置!$B$6-$B1916)*100000+ROW()),""))</f>
        <v/>
      </c>
      <c r="V1916" s="0" t="str">
        <f aca="false">IF(ISNUMBER($O1916),IF($O1916&gt;=2,IF(COUNTIFS($D1916:$D$2006,$D1916,$E1916:$E$2006,$E1916)=1,ROW(),""),""),"")</f>
        <v/>
      </c>
    </row>
    <row r="1917" customFormat="false" ht="15" hidden="false" customHeight="true" outlineLevel="0" collapsed="false">
      <c r="A1917" s="13" t="str">
        <f aca="false">IF(AND($B1917="",$D1917="",$E1917="",$F1917=""),"",IF(OR($B1917="",$D1917="",$E1917=""),"待补",IF($D1917="公共区域","公",IF($D1917="商铺","S",SUBSTITUTE($D1917,"栋","")))&amp;"-"&amp;$E1917&amp;"-"&amp;TEXT(MONTH($B1917),"00")&amp;TEXT(DAY($B1917),"00")&amp;IF(ISNUMBER($O1917),IF($O1917&gt;1,"-"&amp;TEXT($O1917,"00"),""),"")))</f>
        <v/>
      </c>
      <c r="B1917" s="14"/>
      <c r="C1917" s="10"/>
      <c r="D1917" s="10"/>
      <c r="E1917" s="10"/>
      <c r="F1917" s="16"/>
      <c r="G1917" s="10"/>
      <c r="H1917" s="10"/>
      <c r="I1917" s="10"/>
      <c r="J1917" s="10"/>
      <c r="K1917" s="10"/>
      <c r="L1917" s="10"/>
      <c r="M1917" s="14"/>
      <c r="N1917" s="17" t="str">
        <f aca="false">IF($B1917="","",IF($L1917="已完成",IF($M1917="","",$M1917-$B1917),IF(设置!$B$6&lt;$B1917,"",IF((设置!$B$6-$B1917)&gt;=设置!$B$5,"超期"&amp;(设置!$B$6-$B1917)&amp;"天","已等"&amp;(设置!$B$6-$B1917)&amp;"天"))))</f>
        <v/>
      </c>
      <c r="O1917" s="18" t="str">
        <f aca="false">IF(OR($D1917="",$E1917=""),"",COUNTIFS($D$7:$D1917,$D1917,$E$7:$E1917,$E1917))</f>
        <v/>
      </c>
      <c r="P1917" s="16"/>
      <c r="Q1917" s="19"/>
      <c r="R1917" s="10"/>
      <c r="S1917" s="16"/>
      <c r="T1917" s="0" t="str">
        <f aca="false">IF(OR($D1917="",单元查询!$B$3=""),"",IF($D1917&lt;&gt;单元查询!$B$3,"",IF(OR(单元查询!$D$3="",$E1917&amp;""=单元查询!$D$3&amp;""),IF(ISNUMBER($B1917),$B1917*10000,0)+ROW(),"")))</f>
        <v/>
      </c>
      <c r="U1917" s="0" t="str">
        <f aca="false">IF(OR($B1917="",$L1917="已完成"),"",IF(ISNUMBER($B1917),IF(设置!$B$6&lt;$B1917,"",(设置!$B$6-$B1917)*100000+ROW()),""))</f>
        <v/>
      </c>
      <c r="V1917" s="0" t="str">
        <f aca="false">IF(ISNUMBER($O1917),IF($O1917&gt;=2,IF(COUNTIFS($D1917:$D$2006,$D1917,$E1917:$E$2006,$E1917)=1,ROW(),""),""),"")</f>
        <v/>
      </c>
    </row>
    <row r="1918" customFormat="false" ht="15" hidden="false" customHeight="true" outlineLevel="0" collapsed="false">
      <c r="A1918" s="13" t="str">
        <f aca="false">IF(AND($B1918="",$D1918="",$E1918="",$F1918=""),"",IF(OR($B1918="",$D1918="",$E1918=""),"待补",IF($D1918="公共区域","公",IF($D1918="商铺","S",SUBSTITUTE($D1918,"栋","")))&amp;"-"&amp;$E1918&amp;"-"&amp;TEXT(MONTH($B1918),"00")&amp;TEXT(DAY($B1918),"00")&amp;IF(ISNUMBER($O1918),IF($O1918&gt;1,"-"&amp;TEXT($O1918,"00"),""),"")))</f>
        <v/>
      </c>
      <c r="B1918" s="14"/>
      <c r="C1918" s="10"/>
      <c r="D1918" s="10"/>
      <c r="E1918" s="10"/>
      <c r="F1918" s="16"/>
      <c r="G1918" s="10"/>
      <c r="H1918" s="10"/>
      <c r="I1918" s="10"/>
      <c r="J1918" s="10"/>
      <c r="K1918" s="10"/>
      <c r="L1918" s="10"/>
      <c r="M1918" s="14"/>
      <c r="N1918" s="17" t="str">
        <f aca="false">IF($B1918="","",IF($L1918="已完成",IF($M1918="","",$M1918-$B1918),IF(设置!$B$6&lt;$B1918,"",IF((设置!$B$6-$B1918)&gt;=设置!$B$5,"超期"&amp;(设置!$B$6-$B1918)&amp;"天","已等"&amp;(设置!$B$6-$B1918)&amp;"天"))))</f>
        <v/>
      </c>
      <c r="O1918" s="18" t="str">
        <f aca="false">IF(OR($D1918="",$E1918=""),"",COUNTIFS($D$7:$D1918,$D1918,$E$7:$E1918,$E1918))</f>
        <v/>
      </c>
      <c r="P1918" s="16"/>
      <c r="Q1918" s="19"/>
      <c r="R1918" s="10"/>
      <c r="S1918" s="16"/>
      <c r="T1918" s="0" t="str">
        <f aca="false">IF(OR($D1918="",单元查询!$B$3=""),"",IF($D1918&lt;&gt;单元查询!$B$3,"",IF(OR(单元查询!$D$3="",$E1918&amp;""=单元查询!$D$3&amp;""),IF(ISNUMBER($B1918),$B1918*10000,0)+ROW(),"")))</f>
        <v/>
      </c>
      <c r="U1918" s="0" t="str">
        <f aca="false">IF(OR($B1918="",$L1918="已完成"),"",IF(ISNUMBER($B1918),IF(设置!$B$6&lt;$B1918,"",(设置!$B$6-$B1918)*100000+ROW()),""))</f>
        <v/>
      </c>
      <c r="V1918" s="0" t="str">
        <f aca="false">IF(ISNUMBER($O1918),IF($O1918&gt;=2,IF(COUNTIFS($D1918:$D$2006,$D1918,$E1918:$E$2006,$E1918)=1,ROW(),""),""),"")</f>
        <v/>
      </c>
    </row>
    <row r="1919" customFormat="false" ht="15" hidden="false" customHeight="true" outlineLevel="0" collapsed="false">
      <c r="A1919" s="13" t="str">
        <f aca="false">IF(AND($B1919="",$D1919="",$E1919="",$F1919=""),"",IF(OR($B1919="",$D1919="",$E1919=""),"待补",IF($D1919="公共区域","公",IF($D1919="商铺","S",SUBSTITUTE($D1919,"栋","")))&amp;"-"&amp;$E1919&amp;"-"&amp;TEXT(MONTH($B1919),"00")&amp;TEXT(DAY($B1919),"00")&amp;IF(ISNUMBER($O1919),IF($O1919&gt;1,"-"&amp;TEXT($O1919,"00"),""),"")))</f>
        <v/>
      </c>
      <c r="B1919" s="14"/>
      <c r="C1919" s="10"/>
      <c r="D1919" s="10"/>
      <c r="E1919" s="10"/>
      <c r="F1919" s="16"/>
      <c r="G1919" s="10"/>
      <c r="H1919" s="10"/>
      <c r="I1919" s="10"/>
      <c r="J1919" s="10"/>
      <c r="K1919" s="10"/>
      <c r="L1919" s="10"/>
      <c r="M1919" s="14"/>
      <c r="N1919" s="17" t="str">
        <f aca="false">IF($B1919="","",IF($L1919="已完成",IF($M1919="","",$M1919-$B1919),IF(设置!$B$6&lt;$B1919,"",IF((设置!$B$6-$B1919)&gt;=设置!$B$5,"超期"&amp;(设置!$B$6-$B1919)&amp;"天","已等"&amp;(设置!$B$6-$B1919)&amp;"天"))))</f>
        <v/>
      </c>
      <c r="O1919" s="18" t="str">
        <f aca="false">IF(OR($D1919="",$E1919=""),"",COUNTIFS($D$7:$D1919,$D1919,$E$7:$E1919,$E1919))</f>
        <v/>
      </c>
      <c r="P1919" s="16"/>
      <c r="Q1919" s="19"/>
      <c r="R1919" s="10"/>
      <c r="S1919" s="16"/>
      <c r="T1919" s="0" t="str">
        <f aca="false">IF(OR($D1919="",单元查询!$B$3=""),"",IF($D1919&lt;&gt;单元查询!$B$3,"",IF(OR(单元查询!$D$3="",$E1919&amp;""=单元查询!$D$3&amp;""),IF(ISNUMBER($B1919),$B1919*10000,0)+ROW(),"")))</f>
        <v/>
      </c>
      <c r="U1919" s="0" t="str">
        <f aca="false">IF(OR($B1919="",$L1919="已完成"),"",IF(ISNUMBER($B1919),IF(设置!$B$6&lt;$B1919,"",(设置!$B$6-$B1919)*100000+ROW()),""))</f>
        <v/>
      </c>
      <c r="V1919" s="0" t="str">
        <f aca="false">IF(ISNUMBER($O1919),IF($O1919&gt;=2,IF(COUNTIFS($D1919:$D$2006,$D1919,$E1919:$E$2006,$E1919)=1,ROW(),""),""),"")</f>
        <v/>
      </c>
    </row>
    <row r="1920" customFormat="false" ht="15" hidden="false" customHeight="true" outlineLevel="0" collapsed="false">
      <c r="A1920" s="13" t="str">
        <f aca="false">IF(AND($B1920="",$D1920="",$E1920="",$F1920=""),"",IF(OR($B1920="",$D1920="",$E1920=""),"待补",IF($D1920="公共区域","公",IF($D1920="商铺","S",SUBSTITUTE($D1920,"栋","")))&amp;"-"&amp;$E1920&amp;"-"&amp;TEXT(MONTH($B1920),"00")&amp;TEXT(DAY($B1920),"00")&amp;IF(ISNUMBER($O1920),IF($O1920&gt;1,"-"&amp;TEXT($O1920,"00"),""),"")))</f>
        <v/>
      </c>
      <c r="B1920" s="14"/>
      <c r="C1920" s="10"/>
      <c r="D1920" s="10"/>
      <c r="E1920" s="10"/>
      <c r="F1920" s="16"/>
      <c r="G1920" s="10"/>
      <c r="H1920" s="10"/>
      <c r="I1920" s="10"/>
      <c r="J1920" s="10"/>
      <c r="K1920" s="10"/>
      <c r="L1920" s="10"/>
      <c r="M1920" s="14"/>
      <c r="N1920" s="17" t="str">
        <f aca="false">IF($B1920="","",IF($L1920="已完成",IF($M1920="","",$M1920-$B1920),IF(设置!$B$6&lt;$B1920,"",IF((设置!$B$6-$B1920)&gt;=设置!$B$5,"超期"&amp;(设置!$B$6-$B1920)&amp;"天","已等"&amp;(设置!$B$6-$B1920)&amp;"天"))))</f>
        <v/>
      </c>
      <c r="O1920" s="18" t="str">
        <f aca="false">IF(OR($D1920="",$E1920=""),"",COUNTIFS($D$7:$D1920,$D1920,$E$7:$E1920,$E1920))</f>
        <v/>
      </c>
      <c r="P1920" s="16"/>
      <c r="Q1920" s="19"/>
      <c r="R1920" s="10"/>
      <c r="S1920" s="16"/>
      <c r="T1920" s="0" t="str">
        <f aca="false">IF(OR($D1920="",单元查询!$B$3=""),"",IF($D1920&lt;&gt;单元查询!$B$3,"",IF(OR(单元查询!$D$3="",$E1920&amp;""=单元查询!$D$3&amp;""),IF(ISNUMBER($B1920),$B1920*10000,0)+ROW(),"")))</f>
        <v/>
      </c>
      <c r="U1920" s="0" t="str">
        <f aca="false">IF(OR($B1920="",$L1920="已完成"),"",IF(ISNUMBER($B1920),IF(设置!$B$6&lt;$B1920,"",(设置!$B$6-$B1920)*100000+ROW()),""))</f>
        <v/>
      </c>
      <c r="V1920" s="0" t="str">
        <f aca="false">IF(ISNUMBER($O1920),IF($O1920&gt;=2,IF(COUNTIFS($D1920:$D$2006,$D1920,$E1920:$E$2006,$E1920)=1,ROW(),""),""),"")</f>
        <v/>
      </c>
    </row>
    <row r="1921" customFormat="false" ht="15" hidden="false" customHeight="true" outlineLevel="0" collapsed="false">
      <c r="A1921" s="13" t="str">
        <f aca="false">IF(AND($B1921="",$D1921="",$E1921="",$F1921=""),"",IF(OR($B1921="",$D1921="",$E1921=""),"待补",IF($D1921="公共区域","公",IF($D1921="商铺","S",SUBSTITUTE($D1921,"栋","")))&amp;"-"&amp;$E1921&amp;"-"&amp;TEXT(MONTH($B1921),"00")&amp;TEXT(DAY($B1921),"00")&amp;IF(ISNUMBER($O1921),IF($O1921&gt;1,"-"&amp;TEXT($O1921,"00"),""),"")))</f>
        <v/>
      </c>
      <c r="B1921" s="14"/>
      <c r="C1921" s="10"/>
      <c r="D1921" s="10"/>
      <c r="E1921" s="10"/>
      <c r="F1921" s="16"/>
      <c r="G1921" s="10"/>
      <c r="H1921" s="10"/>
      <c r="I1921" s="10"/>
      <c r="J1921" s="10"/>
      <c r="K1921" s="10"/>
      <c r="L1921" s="10"/>
      <c r="M1921" s="14"/>
      <c r="N1921" s="17" t="str">
        <f aca="false">IF($B1921="","",IF($L1921="已完成",IF($M1921="","",$M1921-$B1921),IF(设置!$B$6&lt;$B1921,"",IF((设置!$B$6-$B1921)&gt;=设置!$B$5,"超期"&amp;(设置!$B$6-$B1921)&amp;"天","已等"&amp;(设置!$B$6-$B1921)&amp;"天"))))</f>
        <v/>
      </c>
      <c r="O1921" s="18" t="str">
        <f aca="false">IF(OR($D1921="",$E1921=""),"",COUNTIFS($D$7:$D1921,$D1921,$E$7:$E1921,$E1921))</f>
        <v/>
      </c>
      <c r="P1921" s="16"/>
      <c r="Q1921" s="19"/>
      <c r="R1921" s="10"/>
      <c r="S1921" s="16"/>
      <c r="T1921" s="0" t="str">
        <f aca="false">IF(OR($D1921="",单元查询!$B$3=""),"",IF($D1921&lt;&gt;单元查询!$B$3,"",IF(OR(单元查询!$D$3="",$E1921&amp;""=单元查询!$D$3&amp;""),IF(ISNUMBER($B1921),$B1921*10000,0)+ROW(),"")))</f>
        <v/>
      </c>
      <c r="U1921" s="0" t="str">
        <f aca="false">IF(OR($B1921="",$L1921="已完成"),"",IF(ISNUMBER($B1921),IF(设置!$B$6&lt;$B1921,"",(设置!$B$6-$B1921)*100000+ROW()),""))</f>
        <v/>
      </c>
      <c r="V1921" s="0" t="str">
        <f aca="false">IF(ISNUMBER($O1921),IF($O1921&gt;=2,IF(COUNTIFS($D1921:$D$2006,$D1921,$E1921:$E$2006,$E1921)=1,ROW(),""),""),"")</f>
        <v/>
      </c>
    </row>
    <row r="1922" customFormat="false" ht="15" hidden="false" customHeight="true" outlineLevel="0" collapsed="false">
      <c r="A1922" s="13" t="str">
        <f aca="false">IF(AND($B1922="",$D1922="",$E1922="",$F1922=""),"",IF(OR($B1922="",$D1922="",$E1922=""),"待补",IF($D1922="公共区域","公",IF($D1922="商铺","S",SUBSTITUTE($D1922,"栋","")))&amp;"-"&amp;$E1922&amp;"-"&amp;TEXT(MONTH($B1922),"00")&amp;TEXT(DAY($B1922),"00")&amp;IF(ISNUMBER($O1922),IF($O1922&gt;1,"-"&amp;TEXT($O1922,"00"),""),"")))</f>
        <v/>
      </c>
      <c r="B1922" s="14"/>
      <c r="C1922" s="10"/>
      <c r="D1922" s="10"/>
      <c r="E1922" s="10"/>
      <c r="F1922" s="16"/>
      <c r="G1922" s="10"/>
      <c r="H1922" s="10"/>
      <c r="I1922" s="10"/>
      <c r="J1922" s="10"/>
      <c r="K1922" s="10"/>
      <c r="L1922" s="10"/>
      <c r="M1922" s="14"/>
      <c r="N1922" s="17" t="str">
        <f aca="false">IF($B1922="","",IF($L1922="已完成",IF($M1922="","",$M1922-$B1922),IF(设置!$B$6&lt;$B1922,"",IF((设置!$B$6-$B1922)&gt;=设置!$B$5,"超期"&amp;(设置!$B$6-$B1922)&amp;"天","已等"&amp;(设置!$B$6-$B1922)&amp;"天"))))</f>
        <v/>
      </c>
      <c r="O1922" s="18" t="str">
        <f aca="false">IF(OR($D1922="",$E1922=""),"",COUNTIFS($D$7:$D1922,$D1922,$E$7:$E1922,$E1922))</f>
        <v/>
      </c>
      <c r="P1922" s="16"/>
      <c r="Q1922" s="19"/>
      <c r="R1922" s="10"/>
      <c r="S1922" s="16"/>
      <c r="T1922" s="0" t="str">
        <f aca="false">IF(OR($D1922="",单元查询!$B$3=""),"",IF($D1922&lt;&gt;单元查询!$B$3,"",IF(OR(单元查询!$D$3="",$E1922&amp;""=单元查询!$D$3&amp;""),IF(ISNUMBER($B1922),$B1922*10000,0)+ROW(),"")))</f>
        <v/>
      </c>
      <c r="U1922" s="0" t="str">
        <f aca="false">IF(OR($B1922="",$L1922="已完成"),"",IF(ISNUMBER($B1922),IF(设置!$B$6&lt;$B1922,"",(设置!$B$6-$B1922)*100000+ROW()),""))</f>
        <v/>
      </c>
      <c r="V1922" s="0" t="str">
        <f aca="false">IF(ISNUMBER($O1922),IF($O1922&gt;=2,IF(COUNTIFS($D1922:$D$2006,$D1922,$E1922:$E$2006,$E1922)=1,ROW(),""),""),"")</f>
        <v/>
      </c>
    </row>
    <row r="1923" customFormat="false" ht="15" hidden="false" customHeight="true" outlineLevel="0" collapsed="false">
      <c r="A1923" s="13" t="str">
        <f aca="false">IF(AND($B1923="",$D1923="",$E1923="",$F1923=""),"",IF(OR($B1923="",$D1923="",$E1923=""),"待补",IF($D1923="公共区域","公",IF($D1923="商铺","S",SUBSTITUTE($D1923,"栋","")))&amp;"-"&amp;$E1923&amp;"-"&amp;TEXT(MONTH($B1923),"00")&amp;TEXT(DAY($B1923),"00")&amp;IF(ISNUMBER($O1923),IF($O1923&gt;1,"-"&amp;TEXT($O1923,"00"),""),"")))</f>
        <v/>
      </c>
      <c r="B1923" s="14"/>
      <c r="C1923" s="10"/>
      <c r="D1923" s="10"/>
      <c r="E1923" s="10"/>
      <c r="F1923" s="16"/>
      <c r="G1923" s="10"/>
      <c r="H1923" s="10"/>
      <c r="I1923" s="10"/>
      <c r="J1923" s="10"/>
      <c r="K1923" s="10"/>
      <c r="L1923" s="10"/>
      <c r="M1923" s="14"/>
      <c r="N1923" s="17" t="str">
        <f aca="false">IF($B1923="","",IF($L1923="已完成",IF($M1923="","",$M1923-$B1923),IF(设置!$B$6&lt;$B1923,"",IF((设置!$B$6-$B1923)&gt;=设置!$B$5,"超期"&amp;(设置!$B$6-$B1923)&amp;"天","已等"&amp;(设置!$B$6-$B1923)&amp;"天"))))</f>
        <v/>
      </c>
      <c r="O1923" s="18" t="str">
        <f aca="false">IF(OR($D1923="",$E1923=""),"",COUNTIFS($D$7:$D1923,$D1923,$E$7:$E1923,$E1923))</f>
        <v/>
      </c>
      <c r="P1923" s="16"/>
      <c r="Q1923" s="19"/>
      <c r="R1923" s="10"/>
      <c r="S1923" s="16"/>
      <c r="T1923" s="0" t="str">
        <f aca="false">IF(OR($D1923="",单元查询!$B$3=""),"",IF($D1923&lt;&gt;单元查询!$B$3,"",IF(OR(单元查询!$D$3="",$E1923&amp;""=单元查询!$D$3&amp;""),IF(ISNUMBER($B1923),$B1923*10000,0)+ROW(),"")))</f>
        <v/>
      </c>
      <c r="U1923" s="0" t="str">
        <f aca="false">IF(OR($B1923="",$L1923="已完成"),"",IF(ISNUMBER($B1923),IF(设置!$B$6&lt;$B1923,"",(设置!$B$6-$B1923)*100000+ROW()),""))</f>
        <v/>
      </c>
      <c r="V1923" s="0" t="str">
        <f aca="false">IF(ISNUMBER($O1923),IF($O1923&gt;=2,IF(COUNTIFS($D1923:$D$2006,$D1923,$E1923:$E$2006,$E1923)=1,ROW(),""),""),"")</f>
        <v/>
      </c>
    </row>
    <row r="1924" customFormat="false" ht="15" hidden="false" customHeight="true" outlineLevel="0" collapsed="false">
      <c r="A1924" s="13" t="str">
        <f aca="false">IF(AND($B1924="",$D1924="",$E1924="",$F1924=""),"",IF(OR($B1924="",$D1924="",$E1924=""),"待补",IF($D1924="公共区域","公",IF($D1924="商铺","S",SUBSTITUTE($D1924,"栋","")))&amp;"-"&amp;$E1924&amp;"-"&amp;TEXT(MONTH($B1924),"00")&amp;TEXT(DAY($B1924),"00")&amp;IF(ISNUMBER($O1924),IF($O1924&gt;1,"-"&amp;TEXT($O1924,"00"),""),"")))</f>
        <v/>
      </c>
      <c r="B1924" s="14"/>
      <c r="C1924" s="10"/>
      <c r="D1924" s="10"/>
      <c r="E1924" s="10"/>
      <c r="F1924" s="16"/>
      <c r="G1924" s="10"/>
      <c r="H1924" s="10"/>
      <c r="I1924" s="10"/>
      <c r="J1924" s="10"/>
      <c r="K1924" s="10"/>
      <c r="L1924" s="10"/>
      <c r="M1924" s="14"/>
      <c r="N1924" s="17" t="str">
        <f aca="false">IF($B1924="","",IF($L1924="已完成",IF($M1924="","",$M1924-$B1924),IF(设置!$B$6&lt;$B1924,"",IF((设置!$B$6-$B1924)&gt;=设置!$B$5,"超期"&amp;(设置!$B$6-$B1924)&amp;"天","已等"&amp;(设置!$B$6-$B1924)&amp;"天"))))</f>
        <v/>
      </c>
      <c r="O1924" s="18" t="str">
        <f aca="false">IF(OR($D1924="",$E1924=""),"",COUNTIFS($D$7:$D1924,$D1924,$E$7:$E1924,$E1924))</f>
        <v/>
      </c>
      <c r="P1924" s="16"/>
      <c r="Q1924" s="19"/>
      <c r="R1924" s="10"/>
      <c r="S1924" s="16"/>
      <c r="T1924" s="0" t="str">
        <f aca="false">IF(OR($D1924="",单元查询!$B$3=""),"",IF($D1924&lt;&gt;单元查询!$B$3,"",IF(OR(单元查询!$D$3="",$E1924&amp;""=单元查询!$D$3&amp;""),IF(ISNUMBER($B1924),$B1924*10000,0)+ROW(),"")))</f>
        <v/>
      </c>
      <c r="U1924" s="0" t="str">
        <f aca="false">IF(OR($B1924="",$L1924="已完成"),"",IF(ISNUMBER($B1924),IF(设置!$B$6&lt;$B1924,"",(设置!$B$6-$B1924)*100000+ROW()),""))</f>
        <v/>
      </c>
      <c r="V1924" s="0" t="str">
        <f aca="false">IF(ISNUMBER($O1924),IF($O1924&gt;=2,IF(COUNTIFS($D1924:$D$2006,$D1924,$E1924:$E$2006,$E1924)=1,ROW(),""),""),"")</f>
        <v/>
      </c>
    </row>
    <row r="1925" customFormat="false" ht="15" hidden="false" customHeight="true" outlineLevel="0" collapsed="false">
      <c r="A1925" s="13" t="str">
        <f aca="false">IF(AND($B1925="",$D1925="",$E1925="",$F1925=""),"",IF(OR($B1925="",$D1925="",$E1925=""),"待补",IF($D1925="公共区域","公",IF($D1925="商铺","S",SUBSTITUTE($D1925,"栋","")))&amp;"-"&amp;$E1925&amp;"-"&amp;TEXT(MONTH($B1925),"00")&amp;TEXT(DAY($B1925),"00")&amp;IF(ISNUMBER($O1925),IF($O1925&gt;1,"-"&amp;TEXT($O1925,"00"),""),"")))</f>
        <v/>
      </c>
      <c r="B1925" s="14"/>
      <c r="C1925" s="10"/>
      <c r="D1925" s="10"/>
      <c r="E1925" s="10"/>
      <c r="F1925" s="16"/>
      <c r="G1925" s="10"/>
      <c r="H1925" s="10"/>
      <c r="I1925" s="10"/>
      <c r="J1925" s="10"/>
      <c r="K1925" s="10"/>
      <c r="L1925" s="10"/>
      <c r="M1925" s="14"/>
      <c r="N1925" s="17" t="str">
        <f aca="false">IF($B1925="","",IF($L1925="已完成",IF($M1925="","",$M1925-$B1925),IF(设置!$B$6&lt;$B1925,"",IF((设置!$B$6-$B1925)&gt;=设置!$B$5,"超期"&amp;(设置!$B$6-$B1925)&amp;"天","已等"&amp;(设置!$B$6-$B1925)&amp;"天"))))</f>
        <v/>
      </c>
      <c r="O1925" s="18" t="str">
        <f aca="false">IF(OR($D1925="",$E1925=""),"",COUNTIFS($D$7:$D1925,$D1925,$E$7:$E1925,$E1925))</f>
        <v/>
      </c>
      <c r="P1925" s="16"/>
      <c r="Q1925" s="19"/>
      <c r="R1925" s="10"/>
      <c r="S1925" s="16"/>
      <c r="T1925" s="0" t="str">
        <f aca="false">IF(OR($D1925="",单元查询!$B$3=""),"",IF($D1925&lt;&gt;单元查询!$B$3,"",IF(OR(单元查询!$D$3="",$E1925&amp;""=单元查询!$D$3&amp;""),IF(ISNUMBER($B1925),$B1925*10000,0)+ROW(),"")))</f>
        <v/>
      </c>
      <c r="U1925" s="0" t="str">
        <f aca="false">IF(OR($B1925="",$L1925="已完成"),"",IF(ISNUMBER($B1925),IF(设置!$B$6&lt;$B1925,"",(设置!$B$6-$B1925)*100000+ROW()),""))</f>
        <v/>
      </c>
      <c r="V1925" s="0" t="str">
        <f aca="false">IF(ISNUMBER($O1925),IF($O1925&gt;=2,IF(COUNTIFS($D1925:$D$2006,$D1925,$E1925:$E$2006,$E1925)=1,ROW(),""),""),"")</f>
        <v/>
      </c>
    </row>
    <row r="1926" customFormat="false" ht="15" hidden="false" customHeight="true" outlineLevel="0" collapsed="false">
      <c r="A1926" s="13" t="str">
        <f aca="false">IF(AND($B1926="",$D1926="",$E1926="",$F1926=""),"",IF(OR($B1926="",$D1926="",$E1926=""),"待补",IF($D1926="公共区域","公",IF($D1926="商铺","S",SUBSTITUTE($D1926,"栋","")))&amp;"-"&amp;$E1926&amp;"-"&amp;TEXT(MONTH($B1926),"00")&amp;TEXT(DAY($B1926),"00")&amp;IF(ISNUMBER($O1926),IF($O1926&gt;1,"-"&amp;TEXT($O1926,"00"),""),"")))</f>
        <v/>
      </c>
      <c r="B1926" s="14"/>
      <c r="C1926" s="10"/>
      <c r="D1926" s="10"/>
      <c r="E1926" s="10"/>
      <c r="F1926" s="16"/>
      <c r="G1926" s="10"/>
      <c r="H1926" s="10"/>
      <c r="I1926" s="10"/>
      <c r="J1926" s="10"/>
      <c r="K1926" s="10"/>
      <c r="L1926" s="10"/>
      <c r="M1926" s="14"/>
      <c r="N1926" s="17" t="str">
        <f aca="false">IF($B1926="","",IF($L1926="已完成",IF($M1926="","",$M1926-$B1926),IF(设置!$B$6&lt;$B1926,"",IF((设置!$B$6-$B1926)&gt;=设置!$B$5,"超期"&amp;(设置!$B$6-$B1926)&amp;"天","已等"&amp;(设置!$B$6-$B1926)&amp;"天"))))</f>
        <v/>
      </c>
      <c r="O1926" s="18" t="str">
        <f aca="false">IF(OR($D1926="",$E1926=""),"",COUNTIFS($D$7:$D1926,$D1926,$E$7:$E1926,$E1926))</f>
        <v/>
      </c>
      <c r="P1926" s="16"/>
      <c r="Q1926" s="19"/>
      <c r="R1926" s="10"/>
      <c r="S1926" s="16"/>
      <c r="T1926" s="0" t="str">
        <f aca="false">IF(OR($D1926="",单元查询!$B$3=""),"",IF($D1926&lt;&gt;单元查询!$B$3,"",IF(OR(单元查询!$D$3="",$E1926&amp;""=单元查询!$D$3&amp;""),IF(ISNUMBER($B1926),$B1926*10000,0)+ROW(),"")))</f>
        <v/>
      </c>
      <c r="U1926" s="0" t="str">
        <f aca="false">IF(OR($B1926="",$L1926="已完成"),"",IF(ISNUMBER($B1926),IF(设置!$B$6&lt;$B1926,"",(设置!$B$6-$B1926)*100000+ROW()),""))</f>
        <v/>
      </c>
      <c r="V1926" s="0" t="str">
        <f aca="false">IF(ISNUMBER($O1926),IF($O1926&gt;=2,IF(COUNTIFS($D1926:$D$2006,$D1926,$E1926:$E$2006,$E1926)=1,ROW(),""),""),"")</f>
        <v/>
      </c>
    </row>
    <row r="1927" customFormat="false" ht="15" hidden="false" customHeight="true" outlineLevel="0" collapsed="false">
      <c r="A1927" s="13" t="str">
        <f aca="false">IF(AND($B1927="",$D1927="",$E1927="",$F1927=""),"",IF(OR($B1927="",$D1927="",$E1927=""),"待补",IF($D1927="公共区域","公",IF($D1927="商铺","S",SUBSTITUTE($D1927,"栋","")))&amp;"-"&amp;$E1927&amp;"-"&amp;TEXT(MONTH($B1927),"00")&amp;TEXT(DAY($B1927),"00")&amp;IF(ISNUMBER($O1927),IF($O1927&gt;1,"-"&amp;TEXT($O1927,"00"),""),"")))</f>
        <v/>
      </c>
      <c r="B1927" s="14"/>
      <c r="C1927" s="10"/>
      <c r="D1927" s="10"/>
      <c r="E1927" s="10"/>
      <c r="F1927" s="16"/>
      <c r="G1927" s="10"/>
      <c r="H1927" s="10"/>
      <c r="I1927" s="10"/>
      <c r="J1927" s="10"/>
      <c r="K1927" s="10"/>
      <c r="L1927" s="10"/>
      <c r="M1927" s="14"/>
      <c r="N1927" s="17" t="str">
        <f aca="false">IF($B1927="","",IF($L1927="已完成",IF($M1927="","",$M1927-$B1927),IF(设置!$B$6&lt;$B1927,"",IF((设置!$B$6-$B1927)&gt;=设置!$B$5,"超期"&amp;(设置!$B$6-$B1927)&amp;"天","已等"&amp;(设置!$B$6-$B1927)&amp;"天"))))</f>
        <v/>
      </c>
      <c r="O1927" s="18" t="str">
        <f aca="false">IF(OR($D1927="",$E1927=""),"",COUNTIFS($D$7:$D1927,$D1927,$E$7:$E1927,$E1927))</f>
        <v/>
      </c>
      <c r="P1927" s="16"/>
      <c r="Q1927" s="19"/>
      <c r="R1927" s="10"/>
      <c r="S1927" s="16"/>
      <c r="T1927" s="0" t="str">
        <f aca="false">IF(OR($D1927="",单元查询!$B$3=""),"",IF($D1927&lt;&gt;单元查询!$B$3,"",IF(OR(单元查询!$D$3="",$E1927&amp;""=单元查询!$D$3&amp;""),IF(ISNUMBER($B1927),$B1927*10000,0)+ROW(),"")))</f>
        <v/>
      </c>
      <c r="U1927" s="0" t="str">
        <f aca="false">IF(OR($B1927="",$L1927="已完成"),"",IF(ISNUMBER($B1927),IF(设置!$B$6&lt;$B1927,"",(设置!$B$6-$B1927)*100000+ROW()),""))</f>
        <v/>
      </c>
      <c r="V1927" s="0" t="str">
        <f aca="false">IF(ISNUMBER($O1927),IF($O1927&gt;=2,IF(COUNTIFS($D1927:$D$2006,$D1927,$E1927:$E$2006,$E1927)=1,ROW(),""),""),"")</f>
        <v/>
      </c>
    </row>
    <row r="1928" customFormat="false" ht="15" hidden="false" customHeight="true" outlineLevel="0" collapsed="false">
      <c r="A1928" s="13" t="str">
        <f aca="false">IF(AND($B1928="",$D1928="",$E1928="",$F1928=""),"",IF(OR($B1928="",$D1928="",$E1928=""),"待补",IF($D1928="公共区域","公",IF($D1928="商铺","S",SUBSTITUTE($D1928,"栋","")))&amp;"-"&amp;$E1928&amp;"-"&amp;TEXT(MONTH($B1928),"00")&amp;TEXT(DAY($B1928),"00")&amp;IF(ISNUMBER($O1928),IF($O1928&gt;1,"-"&amp;TEXT($O1928,"00"),""),"")))</f>
        <v/>
      </c>
      <c r="B1928" s="14"/>
      <c r="C1928" s="10"/>
      <c r="D1928" s="10"/>
      <c r="E1928" s="10"/>
      <c r="F1928" s="16"/>
      <c r="G1928" s="10"/>
      <c r="H1928" s="10"/>
      <c r="I1928" s="10"/>
      <c r="J1928" s="10"/>
      <c r="K1928" s="10"/>
      <c r="L1928" s="10"/>
      <c r="M1928" s="14"/>
      <c r="N1928" s="17" t="str">
        <f aca="false">IF($B1928="","",IF($L1928="已完成",IF($M1928="","",$M1928-$B1928),IF(设置!$B$6&lt;$B1928,"",IF((设置!$B$6-$B1928)&gt;=设置!$B$5,"超期"&amp;(设置!$B$6-$B1928)&amp;"天","已等"&amp;(设置!$B$6-$B1928)&amp;"天"))))</f>
        <v/>
      </c>
      <c r="O1928" s="18" t="str">
        <f aca="false">IF(OR($D1928="",$E1928=""),"",COUNTIFS($D$7:$D1928,$D1928,$E$7:$E1928,$E1928))</f>
        <v/>
      </c>
      <c r="P1928" s="16"/>
      <c r="Q1928" s="19"/>
      <c r="R1928" s="10"/>
      <c r="S1928" s="16"/>
      <c r="T1928" s="0" t="str">
        <f aca="false">IF(OR($D1928="",单元查询!$B$3=""),"",IF($D1928&lt;&gt;单元查询!$B$3,"",IF(OR(单元查询!$D$3="",$E1928&amp;""=单元查询!$D$3&amp;""),IF(ISNUMBER($B1928),$B1928*10000,0)+ROW(),"")))</f>
        <v/>
      </c>
      <c r="U1928" s="0" t="str">
        <f aca="false">IF(OR($B1928="",$L1928="已完成"),"",IF(ISNUMBER($B1928),IF(设置!$B$6&lt;$B1928,"",(设置!$B$6-$B1928)*100000+ROW()),""))</f>
        <v/>
      </c>
      <c r="V1928" s="0" t="str">
        <f aca="false">IF(ISNUMBER($O1928),IF($O1928&gt;=2,IF(COUNTIFS($D1928:$D$2006,$D1928,$E1928:$E$2006,$E1928)=1,ROW(),""),""),"")</f>
        <v/>
      </c>
    </row>
    <row r="1929" customFormat="false" ht="15" hidden="false" customHeight="true" outlineLevel="0" collapsed="false">
      <c r="A1929" s="13" t="str">
        <f aca="false">IF(AND($B1929="",$D1929="",$E1929="",$F1929=""),"",IF(OR($B1929="",$D1929="",$E1929=""),"待补",IF($D1929="公共区域","公",IF($D1929="商铺","S",SUBSTITUTE($D1929,"栋","")))&amp;"-"&amp;$E1929&amp;"-"&amp;TEXT(MONTH($B1929),"00")&amp;TEXT(DAY($B1929),"00")&amp;IF(ISNUMBER($O1929),IF($O1929&gt;1,"-"&amp;TEXT($O1929,"00"),""),"")))</f>
        <v/>
      </c>
      <c r="B1929" s="14"/>
      <c r="C1929" s="10"/>
      <c r="D1929" s="10"/>
      <c r="E1929" s="10"/>
      <c r="F1929" s="16"/>
      <c r="G1929" s="10"/>
      <c r="H1929" s="10"/>
      <c r="I1929" s="10"/>
      <c r="J1929" s="10"/>
      <c r="K1929" s="10"/>
      <c r="L1929" s="10"/>
      <c r="M1929" s="14"/>
      <c r="N1929" s="17" t="str">
        <f aca="false">IF($B1929="","",IF($L1929="已完成",IF($M1929="","",$M1929-$B1929),IF(设置!$B$6&lt;$B1929,"",IF((设置!$B$6-$B1929)&gt;=设置!$B$5,"超期"&amp;(设置!$B$6-$B1929)&amp;"天","已等"&amp;(设置!$B$6-$B1929)&amp;"天"))))</f>
        <v/>
      </c>
      <c r="O1929" s="18" t="str">
        <f aca="false">IF(OR($D1929="",$E1929=""),"",COUNTIFS($D$7:$D1929,$D1929,$E$7:$E1929,$E1929))</f>
        <v/>
      </c>
      <c r="P1929" s="16"/>
      <c r="Q1929" s="19"/>
      <c r="R1929" s="10"/>
      <c r="S1929" s="16"/>
      <c r="T1929" s="0" t="str">
        <f aca="false">IF(OR($D1929="",单元查询!$B$3=""),"",IF($D1929&lt;&gt;单元查询!$B$3,"",IF(OR(单元查询!$D$3="",$E1929&amp;""=单元查询!$D$3&amp;""),IF(ISNUMBER($B1929),$B1929*10000,0)+ROW(),"")))</f>
        <v/>
      </c>
      <c r="U1929" s="0" t="str">
        <f aca="false">IF(OR($B1929="",$L1929="已完成"),"",IF(ISNUMBER($B1929),IF(设置!$B$6&lt;$B1929,"",(设置!$B$6-$B1929)*100000+ROW()),""))</f>
        <v/>
      </c>
      <c r="V1929" s="0" t="str">
        <f aca="false">IF(ISNUMBER($O1929),IF($O1929&gt;=2,IF(COUNTIFS($D1929:$D$2006,$D1929,$E1929:$E$2006,$E1929)=1,ROW(),""),""),"")</f>
        <v/>
      </c>
    </row>
    <row r="1930" customFormat="false" ht="15" hidden="false" customHeight="true" outlineLevel="0" collapsed="false">
      <c r="A1930" s="13" t="str">
        <f aca="false">IF(AND($B1930="",$D1930="",$E1930="",$F1930=""),"",IF(OR($B1930="",$D1930="",$E1930=""),"待补",IF($D1930="公共区域","公",IF($D1930="商铺","S",SUBSTITUTE($D1930,"栋","")))&amp;"-"&amp;$E1930&amp;"-"&amp;TEXT(MONTH($B1930),"00")&amp;TEXT(DAY($B1930),"00")&amp;IF(ISNUMBER($O1930),IF($O1930&gt;1,"-"&amp;TEXT($O1930,"00"),""),"")))</f>
        <v/>
      </c>
      <c r="B1930" s="14"/>
      <c r="C1930" s="10"/>
      <c r="D1930" s="10"/>
      <c r="E1930" s="10"/>
      <c r="F1930" s="16"/>
      <c r="G1930" s="10"/>
      <c r="H1930" s="10"/>
      <c r="I1930" s="10"/>
      <c r="J1930" s="10"/>
      <c r="K1930" s="10"/>
      <c r="L1930" s="10"/>
      <c r="M1930" s="14"/>
      <c r="N1930" s="17" t="str">
        <f aca="false">IF($B1930="","",IF($L1930="已完成",IF($M1930="","",$M1930-$B1930),IF(设置!$B$6&lt;$B1930,"",IF((设置!$B$6-$B1930)&gt;=设置!$B$5,"超期"&amp;(设置!$B$6-$B1930)&amp;"天","已等"&amp;(设置!$B$6-$B1930)&amp;"天"))))</f>
        <v/>
      </c>
      <c r="O1930" s="18" t="str">
        <f aca="false">IF(OR($D1930="",$E1930=""),"",COUNTIFS($D$7:$D1930,$D1930,$E$7:$E1930,$E1930))</f>
        <v/>
      </c>
      <c r="P1930" s="16"/>
      <c r="Q1930" s="19"/>
      <c r="R1930" s="10"/>
      <c r="S1930" s="16"/>
      <c r="T1930" s="0" t="str">
        <f aca="false">IF(OR($D1930="",单元查询!$B$3=""),"",IF($D1930&lt;&gt;单元查询!$B$3,"",IF(OR(单元查询!$D$3="",$E1930&amp;""=单元查询!$D$3&amp;""),IF(ISNUMBER($B1930),$B1930*10000,0)+ROW(),"")))</f>
        <v/>
      </c>
      <c r="U1930" s="0" t="str">
        <f aca="false">IF(OR($B1930="",$L1930="已完成"),"",IF(ISNUMBER($B1930),IF(设置!$B$6&lt;$B1930,"",(设置!$B$6-$B1930)*100000+ROW()),""))</f>
        <v/>
      </c>
      <c r="V1930" s="0" t="str">
        <f aca="false">IF(ISNUMBER($O1930),IF($O1930&gt;=2,IF(COUNTIFS($D1930:$D$2006,$D1930,$E1930:$E$2006,$E1930)=1,ROW(),""),""),"")</f>
        <v/>
      </c>
    </row>
    <row r="1931" customFormat="false" ht="15" hidden="false" customHeight="true" outlineLevel="0" collapsed="false">
      <c r="A1931" s="13" t="str">
        <f aca="false">IF(AND($B1931="",$D1931="",$E1931="",$F1931=""),"",IF(OR($B1931="",$D1931="",$E1931=""),"待补",IF($D1931="公共区域","公",IF($D1931="商铺","S",SUBSTITUTE($D1931,"栋","")))&amp;"-"&amp;$E1931&amp;"-"&amp;TEXT(MONTH($B1931),"00")&amp;TEXT(DAY($B1931),"00")&amp;IF(ISNUMBER($O1931),IF($O1931&gt;1,"-"&amp;TEXT($O1931,"00"),""),"")))</f>
        <v/>
      </c>
      <c r="B1931" s="14"/>
      <c r="C1931" s="10"/>
      <c r="D1931" s="10"/>
      <c r="E1931" s="10"/>
      <c r="F1931" s="16"/>
      <c r="G1931" s="10"/>
      <c r="H1931" s="10"/>
      <c r="I1931" s="10"/>
      <c r="J1931" s="10"/>
      <c r="K1931" s="10"/>
      <c r="L1931" s="10"/>
      <c r="M1931" s="14"/>
      <c r="N1931" s="17" t="str">
        <f aca="false">IF($B1931="","",IF($L1931="已完成",IF($M1931="","",$M1931-$B1931),IF(设置!$B$6&lt;$B1931,"",IF((设置!$B$6-$B1931)&gt;=设置!$B$5,"超期"&amp;(设置!$B$6-$B1931)&amp;"天","已等"&amp;(设置!$B$6-$B1931)&amp;"天"))))</f>
        <v/>
      </c>
      <c r="O1931" s="18" t="str">
        <f aca="false">IF(OR($D1931="",$E1931=""),"",COUNTIFS($D$7:$D1931,$D1931,$E$7:$E1931,$E1931))</f>
        <v/>
      </c>
      <c r="P1931" s="16"/>
      <c r="Q1931" s="19"/>
      <c r="R1931" s="10"/>
      <c r="S1931" s="16"/>
      <c r="T1931" s="0" t="str">
        <f aca="false">IF(OR($D1931="",单元查询!$B$3=""),"",IF($D1931&lt;&gt;单元查询!$B$3,"",IF(OR(单元查询!$D$3="",$E1931&amp;""=单元查询!$D$3&amp;""),IF(ISNUMBER($B1931),$B1931*10000,0)+ROW(),"")))</f>
        <v/>
      </c>
      <c r="U1931" s="0" t="str">
        <f aca="false">IF(OR($B1931="",$L1931="已完成"),"",IF(ISNUMBER($B1931),IF(设置!$B$6&lt;$B1931,"",(设置!$B$6-$B1931)*100000+ROW()),""))</f>
        <v/>
      </c>
      <c r="V1931" s="0" t="str">
        <f aca="false">IF(ISNUMBER($O1931),IF($O1931&gt;=2,IF(COUNTIFS($D1931:$D$2006,$D1931,$E1931:$E$2006,$E1931)=1,ROW(),""),""),"")</f>
        <v/>
      </c>
    </row>
    <row r="1932" customFormat="false" ht="15" hidden="false" customHeight="true" outlineLevel="0" collapsed="false">
      <c r="A1932" s="13" t="str">
        <f aca="false">IF(AND($B1932="",$D1932="",$E1932="",$F1932=""),"",IF(OR($B1932="",$D1932="",$E1932=""),"待补",IF($D1932="公共区域","公",IF($D1932="商铺","S",SUBSTITUTE($D1932,"栋","")))&amp;"-"&amp;$E1932&amp;"-"&amp;TEXT(MONTH($B1932),"00")&amp;TEXT(DAY($B1932),"00")&amp;IF(ISNUMBER($O1932),IF($O1932&gt;1,"-"&amp;TEXT($O1932,"00"),""),"")))</f>
        <v/>
      </c>
      <c r="B1932" s="14"/>
      <c r="C1932" s="10"/>
      <c r="D1932" s="10"/>
      <c r="E1932" s="10"/>
      <c r="F1932" s="16"/>
      <c r="G1932" s="10"/>
      <c r="H1932" s="10"/>
      <c r="I1932" s="10"/>
      <c r="J1932" s="10"/>
      <c r="K1932" s="10"/>
      <c r="L1932" s="10"/>
      <c r="M1932" s="14"/>
      <c r="N1932" s="17" t="str">
        <f aca="false">IF($B1932="","",IF($L1932="已完成",IF($M1932="","",$M1932-$B1932),IF(设置!$B$6&lt;$B1932,"",IF((设置!$B$6-$B1932)&gt;=设置!$B$5,"超期"&amp;(设置!$B$6-$B1932)&amp;"天","已等"&amp;(设置!$B$6-$B1932)&amp;"天"))))</f>
        <v/>
      </c>
      <c r="O1932" s="18" t="str">
        <f aca="false">IF(OR($D1932="",$E1932=""),"",COUNTIFS($D$7:$D1932,$D1932,$E$7:$E1932,$E1932))</f>
        <v/>
      </c>
      <c r="P1932" s="16"/>
      <c r="Q1932" s="19"/>
      <c r="R1932" s="10"/>
      <c r="S1932" s="16"/>
      <c r="T1932" s="0" t="str">
        <f aca="false">IF(OR($D1932="",单元查询!$B$3=""),"",IF($D1932&lt;&gt;单元查询!$B$3,"",IF(OR(单元查询!$D$3="",$E1932&amp;""=单元查询!$D$3&amp;""),IF(ISNUMBER($B1932),$B1932*10000,0)+ROW(),"")))</f>
        <v/>
      </c>
      <c r="U1932" s="0" t="str">
        <f aca="false">IF(OR($B1932="",$L1932="已完成"),"",IF(ISNUMBER($B1932),IF(设置!$B$6&lt;$B1932,"",(设置!$B$6-$B1932)*100000+ROW()),""))</f>
        <v/>
      </c>
      <c r="V1932" s="0" t="str">
        <f aca="false">IF(ISNUMBER($O1932),IF($O1932&gt;=2,IF(COUNTIFS($D1932:$D$2006,$D1932,$E1932:$E$2006,$E1932)=1,ROW(),""),""),"")</f>
        <v/>
      </c>
    </row>
    <row r="1933" customFormat="false" ht="15" hidden="false" customHeight="true" outlineLevel="0" collapsed="false">
      <c r="A1933" s="13" t="str">
        <f aca="false">IF(AND($B1933="",$D1933="",$E1933="",$F1933=""),"",IF(OR($B1933="",$D1933="",$E1933=""),"待补",IF($D1933="公共区域","公",IF($D1933="商铺","S",SUBSTITUTE($D1933,"栋","")))&amp;"-"&amp;$E1933&amp;"-"&amp;TEXT(MONTH($B1933),"00")&amp;TEXT(DAY($B1933),"00")&amp;IF(ISNUMBER($O1933),IF($O1933&gt;1,"-"&amp;TEXT($O1933,"00"),""),"")))</f>
        <v/>
      </c>
      <c r="B1933" s="14"/>
      <c r="C1933" s="10"/>
      <c r="D1933" s="10"/>
      <c r="E1933" s="10"/>
      <c r="F1933" s="16"/>
      <c r="G1933" s="10"/>
      <c r="H1933" s="10"/>
      <c r="I1933" s="10"/>
      <c r="J1933" s="10"/>
      <c r="K1933" s="10"/>
      <c r="L1933" s="10"/>
      <c r="M1933" s="14"/>
      <c r="N1933" s="17" t="str">
        <f aca="false">IF($B1933="","",IF($L1933="已完成",IF($M1933="","",$M1933-$B1933),IF(设置!$B$6&lt;$B1933,"",IF((设置!$B$6-$B1933)&gt;=设置!$B$5,"超期"&amp;(设置!$B$6-$B1933)&amp;"天","已等"&amp;(设置!$B$6-$B1933)&amp;"天"))))</f>
        <v/>
      </c>
      <c r="O1933" s="18" t="str">
        <f aca="false">IF(OR($D1933="",$E1933=""),"",COUNTIFS($D$7:$D1933,$D1933,$E$7:$E1933,$E1933))</f>
        <v/>
      </c>
      <c r="P1933" s="16"/>
      <c r="Q1933" s="19"/>
      <c r="R1933" s="10"/>
      <c r="S1933" s="16"/>
      <c r="T1933" s="0" t="str">
        <f aca="false">IF(OR($D1933="",单元查询!$B$3=""),"",IF($D1933&lt;&gt;单元查询!$B$3,"",IF(OR(单元查询!$D$3="",$E1933&amp;""=单元查询!$D$3&amp;""),IF(ISNUMBER($B1933),$B1933*10000,0)+ROW(),"")))</f>
        <v/>
      </c>
      <c r="U1933" s="0" t="str">
        <f aca="false">IF(OR($B1933="",$L1933="已完成"),"",IF(ISNUMBER($B1933),IF(设置!$B$6&lt;$B1933,"",(设置!$B$6-$B1933)*100000+ROW()),""))</f>
        <v/>
      </c>
      <c r="V1933" s="0" t="str">
        <f aca="false">IF(ISNUMBER($O1933),IF($O1933&gt;=2,IF(COUNTIFS($D1933:$D$2006,$D1933,$E1933:$E$2006,$E1933)=1,ROW(),""),""),"")</f>
        <v/>
      </c>
    </row>
    <row r="1934" customFormat="false" ht="15" hidden="false" customHeight="true" outlineLevel="0" collapsed="false">
      <c r="A1934" s="13" t="str">
        <f aca="false">IF(AND($B1934="",$D1934="",$E1934="",$F1934=""),"",IF(OR($B1934="",$D1934="",$E1934=""),"待补",IF($D1934="公共区域","公",IF($D1934="商铺","S",SUBSTITUTE($D1934,"栋","")))&amp;"-"&amp;$E1934&amp;"-"&amp;TEXT(MONTH($B1934),"00")&amp;TEXT(DAY($B1934),"00")&amp;IF(ISNUMBER($O1934),IF($O1934&gt;1,"-"&amp;TEXT($O1934,"00"),""),"")))</f>
        <v/>
      </c>
      <c r="B1934" s="14"/>
      <c r="C1934" s="10"/>
      <c r="D1934" s="10"/>
      <c r="E1934" s="10"/>
      <c r="F1934" s="16"/>
      <c r="G1934" s="10"/>
      <c r="H1934" s="10"/>
      <c r="I1934" s="10"/>
      <c r="J1934" s="10"/>
      <c r="K1934" s="10"/>
      <c r="L1934" s="10"/>
      <c r="M1934" s="14"/>
      <c r="N1934" s="17" t="str">
        <f aca="false">IF($B1934="","",IF($L1934="已完成",IF($M1934="","",$M1934-$B1934),IF(设置!$B$6&lt;$B1934,"",IF((设置!$B$6-$B1934)&gt;=设置!$B$5,"超期"&amp;(设置!$B$6-$B1934)&amp;"天","已等"&amp;(设置!$B$6-$B1934)&amp;"天"))))</f>
        <v/>
      </c>
      <c r="O1934" s="18" t="str">
        <f aca="false">IF(OR($D1934="",$E1934=""),"",COUNTIFS($D$7:$D1934,$D1934,$E$7:$E1934,$E1934))</f>
        <v/>
      </c>
      <c r="P1934" s="16"/>
      <c r="Q1934" s="19"/>
      <c r="R1934" s="10"/>
      <c r="S1934" s="16"/>
      <c r="T1934" s="0" t="str">
        <f aca="false">IF(OR($D1934="",单元查询!$B$3=""),"",IF($D1934&lt;&gt;单元查询!$B$3,"",IF(OR(单元查询!$D$3="",$E1934&amp;""=单元查询!$D$3&amp;""),IF(ISNUMBER($B1934),$B1934*10000,0)+ROW(),"")))</f>
        <v/>
      </c>
      <c r="U1934" s="0" t="str">
        <f aca="false">IF(OR($B1934="",$L1934="已完成"),"",IF(ISNUMBER($B1934),IF(设置!$B$6&lt;$B1934,"",(设置!$B$6-$B1934)*100000+ROW()),""))</f>
        <v/>
      </c>
      <c r="V1934" s="0" t="str">
        <f aca="false">IF(ISNUMBER($O1934),IF($O1934&gt;=2,IF(COUNTIFS($D1934:$D$2006,$D1934,$E1934:$E$2006,$E1934)=1,ROW(),""),""),"")</f>
        <v/>
      </c>
    </row>
    <row r="1935" customFormat="false" ht="15" hidden="false" customHeight="true" outlineLevel="0" collapsed="false">
      <c r="A1935" s="13" t="str">
        <f aca="false">IF(AND($B1935="",$D1935="",$E1935="",$F1935=""),"",IF(OR($B1935="",$D1935="",$E1935=""),"待补",IF($D1935="公共区域","公",IF($D1935="商铺","S",SUBSTITUTE($D1935,"栋","")))&amp;"-"&amp;$E1935&amp;"-"&amp;TEXT(MONTH($B1935),"00")&amp;TEXT(DAY($B1935),"00")&amp;IF(ISNUMBER($O1935),IF($O1935&gt;1,"-"&amp;TEXT($O1935,"00"),""),"")))</f>
        <v/>
      </c>
      <c r="B1935" s="14"/>
      <c r="C1935" s="10"/>
      <c r="D1935" s="10"/>
      <c r="E1935" s="10"/>
      <c r="F1935" s="16"/>
      <c r="G1935" s="10"/>
      <c r="H1935" s="10"/>
      <c r="I1935" s="10"/>
      <c r="J1935" s="10"/>
      <c r="K1935" s="10"/>
      <c r="L1935" s="10"/>
      <c r="M1935" s="14"/>
      <c r="N1935" s="17" t="str">
        <f aca="false">IF($B1935="","",IF($L1935="已完成",IF($M1935="","",$M1935-$B1935),IF(设置!$B$6&lt;$B1935,"",IF((设置!$B$6-$B1935)&gt;=设置!$B$5,"超期"&amp;(设置!$B$6-$B1935)&amp;"天","已等"&amp;(设置!$B$6-$B1935)&amp;"天"))))</f>
        <v/>
      </c>
      <c r="O1935" s="18" t="str">
        <f aca="false">IF(OR($D1935="",$E1935=""),"",COUNTIFS($D$7:$D1935,$D1935,$E$7:$E1935,$E1935))</f>
        <v/>
      </c>
      <c r="P1935" s="16"/>
      <c r="Q1935" s="19"/>
      <c r="R1935" s="10"/>
      <c r="S1935" s="16"/>
      <c r="T1935" s="0" t="str">
        <f aca="false">IF(OR($D1935="",单元查询!$B$3=""),"",IF($D1935&lt;&gt;单元查询!$B$3,"",IF(OR(单元查询!$D$3="",$E1935&amp;""=单元查询!$D$3&amp;""),IF(ISNUMBER($B1935),$B1935*10000,0)+ROW(),"")))</f>
        <v/>
      </c>
      <c r="U1935" s="0" t="str">
        <f aca="false">IF(OR($B1935="",$L1935="已完成"),"",IF(ISNUMBER($B1935),IF(设置!$B$6&lt;$B1935,"",(设置!$B$6-$B1935)*100000+ROW()),""))</f>
        <v/>
      </c>
      <c r="V1935" s="0" t="str">
        <f aca="false">IF(ISNUMBER($O1935),IF($O1935&gt;=2,IF(COUNTIFS($D1935:$D$2006,$D1935,$E1935:$E$2006,$E1935)=1,ROW(),""),""),"")</f>
        <v/>
      </c>
    </row>
    <row r="1936" customFormat="false" ht="15" hidden="false" customHeight="true" outlineLevel="0" collapsed="false">
      <c r="A1936" s="13" t="str">
        <f aca="false">IF(AND($B1936="",$D1936="",$E1936="",$F1936=""),"",IF(OR($B1936="",$D1936="",$E1936=""),"待补",IF($D1936="公共区域","公",IF($D1936="商铺","S",SUBSTITUTE($D1936,"栋","")))&amp;"-"&amp;$E1936&amp;"-"&amp;TEXT(MONTH($B1936),"00")&amp;TEXT(DAY($B1936),"00")&amp;IF(ISNUMBER($O1936),IF($O1936&gt;1,"-"&amp;TEXT($O1936,"00"),""),"")))</f>
        <v/>
      </c>
      <c r="B1936" s="14"/>
      <c r="C1936" s="10"/>
      <c r="D1936" s="10"/>
      <c r="E1936" s="10"/>
      <c r="F1936" s="16"/>
      <c r="G1936" s="10"/>
      <c r="H1936" s="10"/>
      <c r="I1936" s="10"/>
      <c r="J1936" s="10"/>
      <c r="K1936" s="10"/>
      <c r="L1936" s="10"/>
      <c r="M1936" s="14"/>
      <c r="N1936" s="17" t="str">
        <f aca="false">IF($B1936="","",IF($L1936="已完成",IF($M1936="","",$M1936-$B1936),IF(设置!$B$6&lt;$B1936,"",IF((设置!$B$6-$B1936)&gt;=设置!$B$5,"超期"&amp;(设置!$B$6-$B1936)&amp;"天","已等"&amp;(设置!$B$6-$B1936)&amp;"天"))))</f>
        <v/>
      </c>
      <c r="O1936" s="18" t="str">
        <f aca="false">IF(OR($D1936="",$E1936=""),"",COUNTIFS($D$7:$D1936,$D1936,$E$7:$E1936,$E1936))</f>
        <v/>
      </c>
      <c r="P1936" s="16"/>
      <c r="Q1936" s="19"/>
      <c r="R1936" s="10"/>
      <c r="S1936" s="16"/>
      <c r="T1936" s="0" t="str">
        <f aca="false">IF(OR($D1936="",单元查询!$B$3=""),"",IF($D1936&lt;&gt;单元查询!$B$3,"",IF(OR(单元查询!$D$3="",$E1936&amp;""=单元查询!$D$3&amp;""),IF(ISNUMBER($B1936),$B1936*10000,0)+ROW(),"")))</f>
        <v/>
      </c>
      <c r="U1936" s="0" t="str">
        <f aca="false">IF(OR($B1936="",$L1936="已完成"),"",IF(ISNUMBER($B1936),IF(设置!$B$6&lt;$B1936,"",(设置!$B$6-$B1936)*100000+ROW()),""))</f>
        <v/>
      </c>
      <c r="V1936" s="0" t="str">
        <f aca="false">IF(ISNUMBER($O1936),IF($O1936&gt;=2,IF(COUNTIFS($D1936:$D$2006,$D1936,$E1936:$E$2006,$E1936)=1,ROW(),""),""),"")</f>
        <v/>
      </c>
    </row>
    <row r="1937" customFormat="false" ht="15" hidden="false" customHeight="true" outlineLevel="0" collapsed="false">
      <c r="A1937" s="13" t="str">
        <f aca="false">IF(AND($B1937="",$D1937="",$E1937="",$F1937=""),"",IF(OR($B1937="",$D1937="",$E1937=""),"待补",IF($D1937="公共区域","公",IF($D1937="商铺","S",SUBSTITUTE($D1937,"栋","")))&amp;"-"&amp;$E1937&amp;"-"&amp;TEXT(MONTH($B1937),"00")&amp;TEXT(DAY($B1937),"00")&amp;IF(ISNUMBER($O1937),IF($O1937&gt;1,"-"&amp;TEXT($O1937,"00"),""),"")))</f>
        <v/>
      </c>
      <c r="B1937" s="14"/>
      <c r="C1937" s="10"/>
      <c r="D1937" s="10"/>
      <c r="E1937" s="10"/>
      <c r="F1937" s="16"/>
      <c r="G1937" s="10"/>
      <c r="H1937" s="10"/>
      <c r="I1937" s="10"/>
      <c r="J1937" s="10"/>
      <c r="K1937" s="10"/>
      <c r="L1937" s="10"/>
      <c r="M1937" s="14"/>
      <c r="N1937" s="17" t="str">
        <f aca="false">IF($B1937="","",IF($L1937="已完成",IF($M1937="","",$M1937-$B1937),IF(设置!$B$6&lt;$B1937,"",IF((设置!$B$6-$B1937)&gt;=设置!$B$5,"超期"&amp;(设置!$B$6-$B1937)&amp;"天","已等"&amp;(设置!$B$6-$B1937)&amp;"天"))))</f>
        <v/>
      </c>
      <c r="O1937" s="18" t="str">
        <f aca="false">IF(OR($D1937="",$E1937=""),"",COUNTIFS($D$7:$D1937,$D1937,$E$7:$E1937,$E1937))</f>
        <v/>
      </c>
      <c r="P1937" s="16"/>
      <c r="Q1937" s="19"/>
      <c r="R1937" s="10"/>
      <c r="S1937" s="16"/>
      <c r="T1937" s="0" t="str">
        <f aca="false">IF(OR($D1937="",单元查询!$B$3=""),"",IF($D1937&lt;&gt;单元查询!$B$3,"",IF(OR(单元查询!$D$3="",$E1937&amp;""=单元查询!$D$3&amp;""),IF(ISNUMBER($B1937),$B1937*10000,0)+ROW(),"")))</f>
        <v/>
      </c>
      <c r="U1937" s="0" t="str">
        <f aca="false">IF(OR($B1937="",$L1937="已完成"),"",IF(ISNUMBER($B1937),IF(设置!$B$6&lt;$B1937,"",(设置!$B$6-$B1937)*100000+ROW()),""))</f>
        <v/>
      </c>
      <c r="V1937" s="0" t="str">
        <f aca="false">IF(ISNUMBER($O1937),IF($O1937&gt;=2,IF(COUNTIFS($D1937:$D$2006,$D1937,$E1937:$E$2006,$E1937)=1,ROW(),""),""),"")</f>
        <v/>
      </c>
    </row>
    <row r="1938" customFormat="false" ht="15" hidden="false" customHeight="true" outlineLevel="0" collapsed="false">
      <c r="A1938" s="13" t="str">
        <f aca="false">IF(AND($B1938="",$D1938="",$E1938="",$F1938=""),"",IF(OR($B1938="",$D1938="",$E1938=""),"待补",IF($D1938="公共区域","公",IF($D1938="商铺","S",SUBSTITUTE($D1938,"栋","")))&amp;"-"&amp;$E1938&amp;"-"&amp;TEXT(MONTH($B1938),"00")&amp;TEXT(DAY($B1938),"00")&amp;IF(ISNUMBER($O1938),IF($O1938&gt;1,"-"&amp;TEXT($O1938,"00"),""),"")))</f>
        <v/>
      </c>
      <c r="B1938" s="14"/>
      <c r="C1938" s="10"/>
      <c r="D1938" s="10"/>
      <c r="E1938" s="10"/>
      <c r="F1938" s="16"/>
      <c r="G1938" s="10"/>
      <c r="H1938" s="10"/>
      <c r="I1938" s="10"/>
      <c r="J1938" s="10"/>
      <c r="K1938" s="10"/>
      <c r="L1938" s="10"/>
      <c r="M1938" s="14"/>
      <c r="N1938" s="17" t="str">
        <f aca="false">IF($B1938="","",IF($L1938="已完成",IF($M1938="","",$M1938-$B1938),IF(设置!$B$6&lt;$B1938,"",IF((设置!$B$6-$B1938)&gt;=设置!$B$5,"超期"&amp;(设置!$B$6-$B1938)&amp;"天","已等"&amp;(设置!$B$6-$B1938)&amp;"天"))))</f>
        <v/>
      </c>
      <c r="O1938" s="18" t="str">
        <f aca="false">IF(OR($D1938="",$E1938=""),"",COUNTIFS($D$7:$D1938,$D1938,$E$7:$E1938,$E1938))</f>
        <v/>
      </c>
      <c r="P1938" s="16"/>
      <c r="Q1938" s="19"/>
      <c r="R1938" s="10"/>
      <c r="S1938" s="16"/>
      <c r="T1938" s="0" t="str">
        <f aca="false">IF(OR($D1938="",单元查询!$B$3=""),"",IF($D1938&lt;&gt;单元查询!$B$3,"",IF(OR(单元查询!$D$3="",$E1938&amp;""=单元查询!$D$3&amp;""),IF(ISNUMBER($B1938),$B1938*10000,0)+ROW(),"")))</f>
        <v/>
      </c>
      <c r="U1938" s="0" t="str">
        <f aca="false">IF(OR($B1938="",$L1938="已完成"),"",IF(ISNUMBER($B1938),IF(设置!$B$6&lt;$B1938,"",(设置!$B$6-$B1938)*100000+ROW()),""))</f>
        <v/>
      </c>
      <c r="V1938" s="0" t="str">
        <f aca="false">IF(ISNUMBER($O1938),IF($O1938&gt;=2,IF(COUNTIFS($D1938:$D$2006,$D1938,$E1938:$E$2006,$E1938)=1,ROW(),""),""),"")</f>
        <v/>
      </c>
    </row>
    <row r="1939" customFormat="false" ht="15" hidden="false" customHeight="true" outlineLevel="0" collapsed="false">
      <c r="A1939" s="13" t="str">
        <f aca="false">IF(AND($B1939="",$D1939="",$E1939="",$F1939=""),"",IF(OR($B1939="",$D1939="",$E1939=""),"待补",IF($D1939="公共区域","公",IF($D1939="商铺","S",SUBSTITUTE($D1939,"栋","")))&amp;"-"&amp;$E1939&amp;"-"&amp;TEXT(MONTH($B1939),"00")&amp;TEXT(DAY($B1939),"00")&amp;IF(ISNUMBER($O1939),IF($O1939&gt;1,"-"&amp;TEXT($O1939,"00"),""),"")))</f>
        <v/>
      </c>
      <c r="B1939" s="14"/>
      <c r="C1939" s="10"/>
      <c r="D1939" s="10"/>
      <c r="E1939" s="10"/>
      <c r="F1939" s="16"/>
      <c r="G1939" s="10"/>
      <c r="H1939" s="10"/>
      <c r="I1939" s="10"/>
      <c r="J1939" s="10"/>
      <c r="K1939" s="10"/>
      <c r="L1939" s="10"/>
      <c r="M1939" s="14"/>
      <c r="N1939" s="17" t="str">
        <f aca="false">IF($B1939="","",IF($L1939="已完成",IF($M1939="","",$M1939-$B1939),IF(设置!$B$6&lt;$B1939,"",IF((设置!$B$6-$B1939)&gt;=设置!$B$5,"超期"&amp;(设置!$B$6-$B1939)&amp;"天","已等"&amp;(设置!$B$6-$B1939)&amp;"天"))))</f>
        <v/>
      </c>
      <c r="O1939" s="18" t="str">
        <f aca="false">IF(OR($D1939="",$E1939=""),"",COUNTIFS($D$7:$D1939,$D1939,$E$7:$E1939,$E1939))</f>
        <v/>
      </c>
      <c r="P1939" s="16"/>
      <c r="Q1939" s="19"/>
      <c r="R1939" s="10"/>
      <c r="S1939" s="16"/>
      <c r="T1939" s="0" t="str">
        <f aca="false">IF(OR($D1939="",单元查询!$B$3=""),"",IF($D1939&lt;&gt;单元查询!$B$3,"",IF(OR(单元查询!$D$3="",$E1939&amp;""=单元查询!$D$3&amp;""),IF(ISNUMBER($B1939),$B1939*10000,0)+ROW(),"")))</f>
        <v/>
      </c>
      <c r="U1939" s="0" t="str">
        <f aca="false">IF(OR($B1939="",$L1939="已完成"),"",IF(ISNUMBER($B1939),IF(设置!$B$6&lt;$B1939,"",(设置!$B$6-$B1939)*100000+ROW()),""))</f>
        <v/>
      </c>
      <c r="V1939" s="0" t="str">
        <f aca="false">IF(ISNUMBER($O1939),IF($O1939&gt;=2,IF(COUNTIFS($D1939:$D$2006,$D1939,$E1939:$E$2006,$E1939)=1,ROW(),""),""),"")</f>
        <v/>
      </c>
    </row>
    <row r="1940" customFormat="false" ht="15" hidden="false" customHeight="true" outlineLevel="0" collapsed="false">
      <c r="A1940" s="13" t="str">
        <f aca="false">IF(AND($B1940="",$D1940="",$E1940="",$F1940=""),"",IF(OR($B1940="",$D1940="",$E1940=""),"待补",IF($D1940="公共区域","公",IF($D1940="商铺","S",SUBSTITUTE($D1940,"栋","")))&amp;"-"&amp;$E1940&amp;"-"&amp;TEXT(MONTH($B1940),"00")&amp;TEXT(DAY($B1940),"00")&amp;IF(ISNUMBER($O1940),IF($O1940&gt;1,"-"&amp;TEXT($O1940,"00"),""),"")))</f>
        <v/>
      </c>
      <c r="B1940" s="14"/>
      <c r="C1940" s="10"/>
      <c r="D1940" s="10"/>
      <c r="E1940" s="10"/>
      <c r="F1940" s="16"/>
      <c r="G1940" s="10"/>
      <c r="H1940" s="10"/>
      <c r="I1940" s="10"/>
      <c r="J1940" s="10"/>
      <c r="K1940" s="10"/>
      <c r="L1940" s="10"/>
      <c r="M1940" s="14"/>
      <c r="N1940" s="17" t="str">
        <f aca="false">IF($B1940="","",IF($L1940="已完成",IF($M1940="","",$M1940-$B1940),IF(设置!$B$6&lt;$B1940,"",IF((设置!$B$6-$B1940)&gt;=设置!$B$5,"超期"&amp;(设置!$B$6-$B1940)&amp;"天","已等"&amp;(设置!$B$6-$B1940)&amp;"天"))))</f>
        <v/>
      </c>
      <c r="O1940" s="18" t="str">
        <f aca="false">IF(OR($D1940="",$E1940=""),"",COUNTIFS($D$7:$D1940,$D1940,$E$7:$E1940,$E1940))</f>
        <v/>
      </c>
      <c r="P1940" s="16"/>
      <c r="Q1940" s="19"/>
      <c r="R1940" s="10"/>
      <c r="S1940" s="16"/>
      <c r="T1940" s="0" t="str">
        <f aca="false">IF(OR($D1940="",单元查询!$B$3=""),"",IF($D1940&lt;&gt;单元查询!$B$3,"",IF(OR(单元查询!$D$3="",$E1940&amp;""=单元查询!$D$3&amp;""),IF(ISNUMBER($B1940),$B1940*10000,0)+ROW(),"")))</f>
        <v/>
      </c>
      <c r="U1940" s="0" t="str">
        <f aca="false">IF(OR($B1940="",$L1940="已完成"),"",IF(ISNUMBER($B1940),IF(设置!$B$6&lt;$B1940,"",(设置!$B$6-$B1940)*100000+ROW()),""))</f>
        <v/>
      </c>
      <c r="V1940" s="0" t="str">
        <f aca="false">IF(ISNUMBER($O1940),IF($O1940&gt;=2,IF(COUNTIFS($D1940:$D$2006,$D1940,$E1940:$E$2006,$E1940)=1,ROW(),""),""),"")</f>
        <v/>
      </c>
    </row>
    <row r="1941" customFormat="false" ht="15" hidden="false" customHeight="true" outlineLevel="0" collapsed="false">
      <c r="A1941" s="13" t="str">
        <f aca="false">IF(AND($B1941="",$D1941="",$E1941="",$F1941=""),"",IF(OR($B1941="",$D1941="",$E1941=""),"待补",IF($D1941="公共区域","公",IF($D1941="商铺","S",SUBSTITUTE($D1941,"栋","")))&amp;"-"&amp;$E1941&amp;"-"&amp;TEXT(MONTH($B1941),"00")&amp;TEXT(DAY($B1941),"00")&amp;IF(ISNUMBER($O1941),IF($O1941&gt;1,"-"&amp;TEXT($O1941,"00"),""),"")))</f>
        <v/>
      </c>
      <c r="B1941" s="14"/>
      <c r="C1941" s="10"/>
      <c r="D1941" s="10"/>
      <c r="E1941" s="10"/>
      <c r="F1941" s="16"/>
      <c r="G1941" s="10"/>
      <c r="H1941" s="10"/>
      <c r="I1941" s="10"/>
      <c r="J1941" s="10"/>
      <c r="K1941" s="10"/>
      <c r="L1941" s="10"/>
      <c r="M1941" s="14"/>
      <c r="N1941" s="17" t="str">
        <f aca="false">IF($B1941="","",IF($L1941="已完成",IF($M1941="","",$M1941-$B1941),IF(设置!$B$6&lt;$B1941,"",IF((设置!$B$6-$B1941)&gt;=设置!$B$5,"超期"&amp;(设置!$B$6-$B1941)&amp;"天","已等"&amp;(设置!$B$6-$B1941)&amp;"天"))))</f>
        <v/>
      </c>
      <c r="O1941" s="18" t="str">
        <f aca="false">IF(OR($D1941="",$E1941=""),"",COUNTIFS($D$7:$D1941,$D1941,$E$7:$E1941,$E1941))</f>
        <v/>
      </c>
      <c r="P1941" s="16"/>
      <c r="Q1941" s="19"/>
      <c r="R1941" s="10"/>
      <c r="S1941" s="16"/>
      <c r="T1941" s="0" t="str">
        <f aca="false">IF(OR($D1941="",单元查询!$B$3=""),"",IF($D1941&lt;&gt;单元查询!$B$3,"",IF(OR(单元查询!$D$3="",$E1941&amp;""=单元查询!$D$3&amp;""),IF(ISNUMBER($B1941),$B1941*10000,0)+ROW(),"")))</f>
        <v/>
      </c>
      <c r="U1941" s="0" t="str">
        <f aca="false">IF(OR($B1941="",$L1941="已完成"),"",IF(ISNUMBER($B1941),IF(设置!$B$6&lt;$B1941,"",(设置!$B$6-$B1941)*100000+ROW()),""))</f>
        <v/>
      </c>
      <c r="V1941" s="0" t="str">
        <f aca="false">IF(ISNUMBER($O1941),IF($O1941&gt;=2,IF(COUNTIFS($D1941:$D$2006,$D1941,$E1941:$E$2006,$E1941)=1,ROW(),""),""),"")</f>
        <v/>
      </c>
    </row>
    <row r="1942" customFormat="false" ht="15" hidden="false" customHeight="true" outlineLevel="0" collapsed="false">
      <c r="A1942" s="13" t="str">
        <f aca="false">IF(AND($B1942="",$D1942="",$E1942="",$F1942=""),"",IF(OR($B1942="",$D1942="",$E1942=""),"待补",IF($D1942="公共区域","公",IF($D1942="商铺","S",SUBSTITUTE($D1942,"栋","")))&amp;"-"&amp;$E1942&amp;"-"&amp;TEXT(MONTH($B1942),"00")&amp;TEXT(DAY($B1942),"00")&amp;IF(ISNUMBER($O1942),IF($O1942&gt;1,"-"&amp;TEXT($O1942,"00"),""),"")))</f>
        <v/>
      </c>
      <c r="B1942" s="14"/>
      <c r="C1942" s="10"/>
      <c r="D1942" s="10"/>
      <c r="E1942" s="10"/>
      <c r="F1942" s="16"/>
      <c r="G1942" s="10"/>
      <c r="H1942" s="10"/>
      <c r="I1942" s="10"/>
      <c r="J1942" s="10"/>
      <c r="K1942" s="10"/>
      <c r="L1942" s="10"/>
      <c r="M1942" s="14"/>
      <c r="N1942" s="17" t="str">
        <f aca="false">IF($B1942="","",IF($L1942="已完成",IF($M1942="","",$M1942-$B1942),IF(设置!$B$6&lt;$B1942,"",IF((设置!$B$6-$B1942)&gt;=设置!$B$5,"超期"&amp;(设置!$B$6-$B1942)&amp;"天","已等"&amp;(设置!$B$6-$B1942)&amp;"天"))))</f>
        <v/>
      </c>
      <c r="O1942" s="18" t="str">
        <f aca="false">IF(OR($D1942="",$E1942=""),"",COUNTIFS($D$7:$D1942,$D1942,$E$7:$E1942,$E1942))</f>
        <v/>
      </c>
      <c r="P1942" s="16"/>
      <c r="Q1942" s="19"/>
      <c r="R1942" s="10"/>
      <c r="S1942" s="16"/>
      <c r="T1942" s="0" t="str">
        <f aca="false">IF(OR($D1942="",单元查询!$B$3=""),"",IF($D1942&lt;&gt;单元查询!$B$3,"",IF(OR(单元查询!$D$3="",$E1942&amp;""=单元查询!$D$3&amp;""),IF(ISNUMBER($B1942),$B1942*10000,0)+ROW(),"")))</f>
        <v/>
      </c>
      <c r="U1942" s="0" t="str">
        <f aca="false">IF(OR($B1942="",$L1942="已完成"),"",IF(ISNUMBER($B1942),IF(设置!$B$6&lt;$B1942,"",(设置!$B$6-$B1942)*100000+ROW()),""))</f>
        <v/>
      </c>
      <c r="V1942" s="0" t="str">
        <f aca="false">IF(ISNUMBER($O1942),IF($O1942&gt;=2,IF(COUNTIFS($D1942:$D$2006,$D1942,$E1942:$E$2006,$E1942)=1,ROW(),""),""),"")</f>
        <v/>
      </c>
    </row>
    <row r="1943" customFormat="false" ht="15" hidden="false" customHeight="true" outlineLevel="0" collapsed="false">
      <c r="A1943" s="13" t="str">
        <f aca="false">IF(AND($B1943="",$D1943="",$E1943="",$F1943=""),"",IF(OR($B1943="",$D1943="",$E1943=""),"待补",IF($D1943="公共区域","公",IF($D1943="商铺","S",SUBSTITUTE($D1943,"栋","")))&amp;"-"&amp;$E1943&amp;"-"&amp;TEXT(MONTH($B1943),"00")&amp;TEXT(DAY($B1943),"00")&amp;IF(ISNUMBER($O1943),IF($O1943&gt;1,"-"&amp;TEXT($O1943,"00"),""),"")))</f>
        <v/>
      </c>
      <c r="B1943" s="14"/>
      <c r="C1943" s="10"/>
      <c r="D1943" s="10"/>
      <c r="E1943" s="10"/>
      <c r="F1943" s="16"/>
      <c r="G1943" s="10"/>
      <c r="H1943" s="10"/>
      <c r="I1943" s="10"/>
      <c r="J1943" s="10"/>
      <c r="K1943" s="10"/>
      <c r="L1943" s="10"/>
      <c r="M1943" s="14"/>
      <c r="N1943" s="17" t="str">
        <f aca="false">IF($B1943="","",IF($L1943="已完成",IF($M1943="","",$M1943-$B1943),IF(设置!$B$6&lt;$B1943,"",IF((设置!$B$6-$B1943)&gt;=设置!$B$5,"超期"&amp;(设置!$B$6-$B1943)&amp;"天","已等"&amp;(设置!$B$6-$B1943)&amp;"天"))))</f>
        <v/>
      </c>
      <c r="O1943" s="18" t="str">
        <f aca="false">IF(OR($D1943="",$E1943=""),"",COUNTIFS($D$7:$D1943,$D1943,$E$7:$E1943,$E1943))</f>
        <v/>
      </c>
      <c r="P1943" s="16"/>
      <c r="Q1943" s="19"/>
      <c r="R1943" s="10"/>
      <c r="S1943" s="16"/>
      <c r="T1943" s="0" t="str">
        <f aca="false">IF(OR($D1943="",单元查询!$B$3=""),"",IF($D1943&lt;&gt;单元查询!$B$3,"",IF(OR(单元查询!$D$3="",$E1943&amp;""=单元查询!$D$3&amp;""),IF(ISNUMBER($B1943),$B1943*10000,0)+ROW(),"")))</f>
        <v/>
      </c>
      <c r="U1943" s="0" t="str">
        <f aca="false">IF(OR($B1943="",$L1943="已完成"),"",IF(ISNUMBER($B1943),IF(设置!$B$6&lt;$B1943,"",(设置!$B$6-$B1943)*100000+ROW()),""))</f>
        <v/>
      </c>
      <c r="V1943" s="0" t="str">
        <f aca="false">IF(ISNUMBER($O1943),IF($O1943&gt;=2,IF(COUNTIFS($D1943:$D$2006,$D1943,$E1943:$E$2006,$E1943)=1,ROW(),""),""),"")</f>
        <v/>
      </c>
    </row>
    <row r="1944" customFormat="false" ht="15" hidden="false" customHeight="true" outlineLevel="0" collapsed="false">
      <c r="A1944" s="13" t="str">
        <f aca="false">IF(AND($B1944="",$D1944="",$E1944="",$F1944=""),"",IF(OR($B1944="",$D1944="",$E1944=""),"待补",IF($D1944="公共区域","公",IF($D1944="商铺","S",SUBSTITUTE($D1944,"栋","")))&amp;"-"&amp;$E1944&amp;"-"&amp;TEXT(MONTH($B1944),"00")&amp;TEXT(DAY($B1944),"00")&amp;IF(ISNUMBER($O1944),IF($O1944&gt;1,"-"&amp;TEXT($O1944,"00"),""),"")))</f>
        <v/>
      </c>
      <c r="B1944" s="14"/>
      <c r="C1944" s="10"/>
      <c r="D1944" s="10"/>
      <c r="E1944" s="10"/>
      <c r="F1944" s="16"/>
      <c r="G1944" s="10"/>
      <c r="H1944" s="10"/>
      <c r="I1944" s="10"/>
      <c r="J1944" s="10"/>
      <c r="K1944" s="10"/>
      <c r="L1944" s="10"/>
      <c r="M1944" s="14"/>
      <c r="N1944" s="17" t="str">
        <f aca="false">IF($B1944="","",IF($L1944="已完成",IF($M1944="","",$M1944-$B1944),IF(设置!$B$6&lt;$B1944,"",IF((设置!$B$6-$B1944)&gt;=设置!$B$5,"超期"&amp;(设置!$B$6-$B1944)&amp;"天","已等"&amp;(设置!$B$6-$B1944)&amp;"天"))))</f>
        <v/>
      </c>
      <c r="O1944" s="18" t="str">
        <f aca="false">IF(OR($D1944="",$E1944=""),"",COUNTIFS($D$7:$D1944,$D1944,$E$7:$E1944,$E1944))</f>
        <v/>
      </c>
      <c r="P1944" s="16"/>
      <c r="Q1944" s="19"/>
      <c r="R1944" s="10"/>
      <c r="S1944" s="16"/>
      <c r="T1944" s="0" t="str">
        <f aca="false">IF(OR($D1944="",单元查询!$B$3=""),"",IF($D1944&lt;&gt;单元查询!$B$3,"",IF(OR(单元查询!$D$3="",$E1944&amp;""=单元查询!$D$3&amp;""),IF(ISNUMBER($B1944),$B1944*10000,0)+ROW(),"")))</f>
        <v/>
      </c>
      <c r="U1944" s="0" t="str">
        <f aca="false">IF(OR($B1944="",$L1944="已完成"),"",IF(ISNUMBER($B1944),IF(设置!$B$6&lt;$B1944,"",(设置!$B$6-$B1944)*100000+ROW()),""))</f>
        <v/>
      </c>
      <c r="V1944" s="0" t="str">
        <f aca="false">IF(ISNUMBER($O1944),IF($O1944&gt;=2,IF(COUNTIFS($D1944:$D$2006,$D1944,$E1944:$E$2006,$E1944)=1,ROW(),""),""),"")</f>
        <v/>
      </c>
    </row>
    <row r="1945" customFormat="false" ht="15" hidden="false" customHeight="true" outlineLevel="0" collapsed="false">
      <c r="A1945" s="13" t="str">
        <f aca="false">IF(AND($B1945="",$D1945="",$E1945="",$F1945=""),"",IF(OR($B1945="",$D1945="",$E1945=""),"待补",IF($D1945="公共区域","公",IF($D1945="商铺","S",SUBSTITUTE($D1945,"栋","")))&amp;"-"&amp;$E1945&amp;"-"&amp;TEXT(MONTH($B1945),"00")&amp;TEXT(DAY($B1945),"00")&amp;IF(ISNUMBER($O1945),IF($O1945&gt;1,"-"&amp;TEXT($O1945,"00"),""),"")))</f>
        <v/>
      </c>
      <c r="B1945" s="14"/>
      <c r="C1945" s="10"/>
      <c r="D1945" s="10"/>
      <c r="E1945" s="10"/>
      <c r="F1945" s="16"/>
      <c r="G1945" s="10"/>
      <c r="H1945" s="10"/>
      <c r="I1945" s="10"/>
      <c r="J1945" s="10"/>
      <c r="K1945" s="10"/>
      <c r="L1945" s="10"/>
      <c r="M1945" s="14"/>
      <c r="N1945" s="17" t="str">
        <f aca="false">IF($B1945="","",IF($L1945="已完成",IF($M1945="","",$M1945-$B1945),IF(设置!$B$6&lt;$B1945,"",IF((设置!$B$6-$B1945)&gt;=设置!$B$5,"超期"&amp;(设置!$B$6-$B1945)&amp;"天","已等"&amp;(设置!$B$6-$B1945)&amp;"天"))))</f>
        <v/>
      </c>
      <c r="O1945" s="18" t="str">
        <f aca="false">IF(OR($D1945="",$E1945=""),"",COUNTIFS($D$7:$D1945,$D1945,$E$7:$E1945,$E1945))</f>
        <v/>
      </c>
      <c r="P1945" s="16"/>
      <c r="Q1945" s="19"/>
      <c r="R1945" s="10"/>
      <c r="S1945" s="16"/>
      <c r="T1945" s="0" t="str">
        <f aca="false">IF(OR($D1945="",单元查询!$B$3=""),"",IF($D1945&lt;&gt;单元查询!$B$3,"",IF(OR(单元查询!$D$3="",$E1945&amp;""=单元查询!$D$3&amp;""),IF(ISNUMBER($B1945),$B1945*10000,0)+ROW(),"")))</f>
        <v/>
      </c>
      <c r="U1945" s="0" t="str">
        <f aca="false">IF(OR($B1945="",$L1945="已完成"),"",IF(ISNUMBER($B1945),IF(设置!$B$6&lt;$B1945,"",(设置!$B$6-$B1945)*100000+ROW()),""))</f>
        <v/>
      </c>
      <c r="V1945" s="0" t="str">
        <f aca="false">IF(ISNUMBER($O1945),IF($O1945&gt;=2,IF(COUNTIFS($D1945:$D$2006,$D1945,$E1945:$E$2006,$E1945)=1,ROW(),""),""),"")</f>
        <v/>
      </c>
    </row>
    <row r="1946" customFormat="false" ht="15" hidden="false" customHeight="true" outlineLevel="0" collapsed="false">
      <c r="A1946" s="13" t="str">
        <f aca="false">IF(AND($B1946="",$D1946="",$E1946="",$F1946=""),"",IF(OR($B1946="",$D1946="",$E1946=""),"待补",IF($D1946="公共区域","公",IF($D1946="商铺","S",SUBSTITUTE($D1946,"栋","")))&amp;"-"&amp;$E1946&amp;"-"&amp;TEXT(MONTH($B1946),"00")&amp;TEXT(DAY($B1946),"00")&amp;IF(ISNUMBER($O1946),IF($O1946&gt;1,"-"&amp;TEXT($O1946,"00"),""),"")))</f>
        <v/>
      </c>
      <c r="B1946" s="14"/>
      <c r="C1946" s="10"/>
      <c r="D1946" s="10"/>
      <c r="E1946" s="10"/>
      <c r="F1946" s="16"/>
      <c r="G1946" s="10"/>
      <c r="H1946" s="10"/>
      <c r="I1946" s="10"/>
      <c r="J1946" s="10"/>
      <c r="K1946" s="10"/>
      <c r="L1946" s="10"/>
      <c r="M1946" s="14"/>
      <c r="N1946" s="17" t="str">
        <f aca="false">IF($B1946="","",IF($L1946="已完成",IF($M1946="","",$M1946-$B1946),IF(设置!$B$6&lt;$B1946,"",IF((设置!$B$6-$B1946)&gt;=设置!$B$5,"超期"&amp;(设置!$B$6-$B1946)&amp;"天","已等"&amp;(设置!$B$6-$B1946)&amp;"天"))))</f>
        <v/>
      </c>
      <c r="O1946" s="18" t="str">
        <f aca="false">IF(OR($D1946="",$E1946=""),"",COUNTIFS($D$7:$D1946,$D1946,$E$7:$E1946,$E1946))</f>
        <v/>
      </c>
      <c r="P1946" s="16"/>
      <c r="Q1946" s="19"/>
      <c r="R1946" s="10"/>
      <c r="S1946" s="16"/>
      <c r="T1946" s="0" t="str">
        <f aca="false">IF(OR($D1946="",单元查询!$B$3=""),"",IF($D1946&lt;&gt;单元查询!$B$3,"",IF(OR(单元查询!$D$3="",$E1946&amp;""=单元查询!$D$3&amp;""),IF(ISNUMBER($B1946),$B1946*10000,0)+ROW(),"")))</f>
        <v/>
      </c>
      <c r="U1946" s="0" t="str">
        <f aca="false">IF(OR($B1946="",$L1946="已完成"),"",IF(ISNUMBER($B1946),IF(设置!$B$6&lt;$B1946,"",(设置!$B$6-$B1946)*100000+ROW()),""))</f>
        <v/>
      </c>
      <c r="V1946" s="0" t="str">
        <f aca="false">IF(ISNUMBER($O1946),IF($O1946&gt;=2,IF(COUNTIFS($D1946:$D$2006,$D1946,$E1946:$E$2006,$E1946)=1,ROW(),""),""),"")</f>
        <v/>
      </c>
    </row>
    <row r="1947" customFormat="false" ht="15" hidden="false" customHeight="true" outlineLevel="0" collapsed="false">
      <c r="A1947" s="13" t="str">
        <f aca="false">IF(AND($B1947="",$D1947="",$E1947="",$F1947=""),"",IF(OR($B1947="",$D1947="",$E1947=""),"待补",IF($D1947="公共区域","公",IF($D1947="商铺","S",SUBSTITUTE($D1947,"栋","")))&amp;"-"&amp;$E1947&amp;"-"&amp;TEXT(MONTH($B1947),"00")&amp;TEXT(DAY($B1947),"00")&amp;IF(ISNUMBER($O1947),IF($O1947&gt;1,"-"&amp;TEXT($O1947,"00"),""),"")))</f>
        <v/>
      </c>
      <c r="B1947" s="14"/>
      <c r="C1947" s="10"/>
      <c r="D1947" s="10"/>
      <c r="E1947" s="10"/>
      <c r="F1947" s="16"/>
      <c r="G1947" s="10"/>
      <c r="H1947" s="10"/>
      <c r="I1947" s="10"/>
      <c r="J1947" s="10"/>
      <c r="K1947" s="10"/>
      <c r="L1947" s="10"/>
      <c r="M1947" s="14"/>
      <c r="N1947" s="17" t="str">
        <f aca="false">IF($B1947="","",IF($L1947="已完成",IF($M1947="","",$M1947-$B1947),IF(设置!$B$6&lt;$B1947,"",IF((设置!$B$6-$B1947)&gt;=设置!$B$5,"超期"&amp;(设置!$B$6-$B1947)&amp;"天","已等"&amp;(设置!$B$6-$B1947)&amp;"天"))))</f>
        <v/>
      </c>
      <c r="O1947" s="18" t="str">
        <f aca="false">IF(OR($D1947="",$E1947=""),"",COUNTIFS($D$7:$D1947,$D1947,$E$7:$E1947,$E1947))</f>
        <v/>
      </c>
      <c r="P1947" s="16"/>
      <c r="Q1947" s="19"/>
      <c r="R1947" s="10"/>
      <c r="S1947" s="16"/>
      <c r="T1947" s="0" t="str">
        <f aca="false">IF(OR($D1947="",单元查询!$B$3=""),"",IF($D1947&lt;&gt;单元查询!$B$3,"",IF(OR(单元查询!$D$3="",$E1947&amp;""=单元查询!$D$3&amp;""),IF(ISNUMBER($B1947),$B1947*10000,0)+ROW(),"")))</f>
        <v/>
      </c>
      <c r="U1947" s="0" t="str">
        <f aca="false">IF(OR($B1947="",$L1947="已完成"),"",IF(ISNUMBER($B1947),IF(设置!$B$6&lt;$B1947,"",(设置!$B$6-$B1947)*100000+ROW()),""))</f>
        <v/>
      </c>
      <c r="V1947" s="0" t="str">
        <f aca="false">IF(ISNUMBER($O1947),IF($O1947&gt;=2,IF(COUNTIFS($D1947:$D$2006,$D1947,$E1947:$E$2006,$E1947)=1,ROW(),""),""),"")</f>
        <v/>
      </c>
    </row>
    <row r="1948" customFormat="false" ht="15" hidden="false" customHeight="true" outlineLevel="0" collapsed="false">
      <c r="A1948" s="13" t="str">
        <f aca="false">IF(AND($B1948="",$D1948="",$E1948="",$F1948=""),"",IF(OR($B1948="",$D1948="",$E1948=""),"待补",IF($D1948="公共区域","公",IF($D1948="商铺","S",SUBSTITUTE($D1948,"栋","")))&amp;"-"&amp;$E1948&amp;"-"&amp;TEXT(MONTH($B1948),"00")&amp;TEXT(DAY($B1948),"00")&amp;IF(ISNUMBER($O1948),IF($O1948&gt;1,"-"&amp;TEXT($O1948,"00"),""),"")))</f>
        <v/>
      </c>
      <c r="B1948" s="14"/>
      <c r="C1948" s="10"/>
      <c r="D1948" s="10"/>
      <c r="E1948" s="10"/>
      <c r="F1948" s="16"/>
      <c r="G1948" s="10"/>
      <c r="H1948" s="10"/>
      <c r="I1948" s="10"/>
      <c r="J1948" s="10"/>
      <c r="K1948" s="10"/>
      <c r="L1948" s="10"/>
      <c r="M1948" s="14"/>
      <c r="N1948" s="17" t="str">
        <f aca="false">IF($B1948="","",IF($L1948="已完成",IF($M1948="","",$M1948-$B1948),IF(设置!$B$6&lt;$B1948,"",IF((设置!$B$6-$B1948)&gt;=设置!$B$5,"超期"&amp;(设置!$B$6-$B1948)&amp;"天","已等"&amp;(设置!$B$6-$B1948)&amp;"天"))))</f>
        <v/>
      </c>
      <c r="O1948" s="18" t="str">
        <f aca="false">IF(OR($D1948="",$E1948=""),"",COUNTIFS($D$7:$D1948,$D1948,$E$7:$E1948,$E1948))</f>
        <v/>
      </c>
      <c r="P1948" s="16"/>
      <c r="Q1948" s="19"/>
      <c r="R1948" s="10"/>
      <c r="S1948" s="16"/>
      <c r="T1948" s="0" t="str">
        <f aca="false">IF(OR($D1948="",单元查询!$B$3=""),"",IF($D1948&lt;&gt;单元查询!$B$3,"",IF(OR(单元查询!$D$3="",$E1948&amp;""=单元查询!$D$3&amp;""),IF(ISNUMBER($B1948),$B1948*10000,0)+ROW(),"")))</f>
        <v/>
      </c>
      <c r="U1948" s="0" t="str">
        <f aca="false">IF(OR($B1948="",$L1948="已完成"),"",IF(ISNUMBER($B1948),IF(设置!$B$6&lt;$B1948,"",(设置!$B$6-$B1948)*100000+ROW()),""))</f>
        <v/>
      </c>
      <c r="V1948" s="0" t="str">
        <f aca="false">IF(ISNUMBER($O1948),IF($O1948&gt;=2,IF(COUNTIFS($D1948:$D$2006,$D1948,$E1948:$E$2006,$E1948)=1,ROW(),""),""),"")</f>
        <v/>
      </c>
    </row>
    <row r="1949" customFormat="false" ht="15" hidden="false" customHeight="true" outlineLevel="0" collapsed="false">
      <c r="A1949" s="13" t="str">
        <f aca="false">IF(AND($B1949="",$D1949="",$E1949="",$F1949=""),"",IF(OR($B1949="",$D1949="",$E1949=""),"待补",IF($D1949="公共区域","公",IF($D1949="商铺","S",SUBSTITUTE($D1949,"栋","")))&amp;"-"&amp;$E1949&amp;"-"&amp;TEXT(MONTH($B1949),"00")&amp;TEXT(DAY($B1949),"00")&amp;IF(ISNUMBER($O1949),IF($O1949&gt;1,"-"&amp;TEXT($O1949,"00"),""),"")))</f>
        <v/>
      </c>
      <c r="B1949" s="14"/>
      <c r="C1949" s="10"/>
      <c r="D1949" s="10"/>
      <c r="E1949" s="10"/>
      <c r="F1949" s="16"/>
      <c r="G1949" s="10"/>
      <c r="H1949" s="10"/>
      <c r="I1949" s="10"/>
      <c r="J1949" s="10"/>
      <c r="K1949" s="10"/>
      <c r="L1949" s="10"/>
      <c r="M1949" s="14"/>
      <c r="N1949" s="17" t="str">
        <f aca="false">IF($B1949="","",IF($L1949="已完成",IF($M1949="","",$M1949-$B1949),IF(设置!$B$6&lt;$B1949,"",IF((设置!$B$6-$B1949)&gt;=设置!$B$5,"超期"&amp;(设置!$B$6-$B1949)&amp;"天","已等"&amp;(设置!$B$6-$B1949)&amp;"天"))))</f>
        <v/>
      </c>
      <c r="O1949" s="18" t="str">
        <f aca="false">IF(OR($D1949="",$E1949=""),"",COUNTIFS($D$7:$D1949,$D1949,$E$7:$E1949,$E1949))</f>
        <v/>
      </c>
      <c r="P1949" s="16"/>
      <c r="Q1949" s="19"/>
      <c r="R1949" s="10"/>
      <c r="S1949" s="16"/>
      <c r="T1949" s="0" t="str">
        <f aca="false">IF(OR($D1949="",单元查询!$B$3=""),"",IF($D1949&lt;&gt;单元查询!$B$3,"",IF(OR(单元查询!$D$3="",$E1949&amp;""=单元查询!$D$3&amp;""),IF(ISNUMBER($B1949),$B1949*10000,0)+ROW(),"")))</f>
        <v/>
      </c>
      <c r="U1949" s="0" t="str">
        <f aca="false">IF(OR($B1949="",$L1949="已完成"),"",IF(ISNUMBER($B1949),IF(设置!$B$6&lt;$B1949,"",(设置!$B$6-$B1949)*100000+ROW()),""))</f>
        <v/>
      </c>
      <c r="V1949" s="0" t="str">
        <f aca="false">IF(ISNUMBER($O1949),IF($O1949&gt;=2,IF(COUNTIFS($D1949:$D$2006,$D1949,$E1949:$E$2006,$E1949)=1,ROW(),""),""),"")</f>
        <v/>
      </c>
    </row>
    <row r="1950" customFormat="false" ht="15" hidden="false" customHeight="true" outlineLevel="0" collapsed="false">
      <c r="A1950" s="13" t="str">
        <f aca="false">IF(AND($B1950="",$D1950="",$E1950="",$F1950=""),"",IF(OR($B1950="",$D1950="",$E1950=""),"待补",IF($D1950="公共区域","公",IF($D1950="商铺","S",SUBSTITUTE($D1950,"栋","")))&amp;"-"&amp;$E1950&amp;"-"&amp;TEXT(MONTH($B1950),"00")&amp;TEXT(DAY($B1950),"00")&amp;IF(ISNUMBER($O1950),IF($O1950&gt;1,"-"&amp;TEXT($O1950,"00"),""),"")))</f>
        <v/>
      </c>
      <c r="B1950" s="14"/>
      <c r="C1950" s="10"/>
      <c r="D1950" s="10"/>
      <c r="E1950" s="10"/>
      <c r="F1950" s="16"/>
      <c r="G1950" s="10"/>
      <c r="H1950" s="10"/>
      <c r="I1950" s="10"/>
      <c r="J1950" s="10"/>
      <c r="K1950" s="10"/>
      <c r="L1950" s="10"/>
      <c r="M1950" s="14"/>
      <c r="N1950" s="17" t="str">
        <f aca="false">IF($B1950="","",IF($L1950="已完成",IF($M1950="","",$M1950-$B1950),IF(设置!$B$6&lt;$B1950,"",IF((设置!$B$6-$B1950)&gt;=设置!$B$5,"超期"&amp;(设置!$B$6-$B1950)&amp;"天","已等"&amp;(设置!$B$6-$B1950)&amp;"天"))))</f>
        <v/>
      </c>
      <c r="O1950" s="18" t="str">
        <f aca="false">IF(OR($D1950="",$E1950=""),"",COUNTIFS($D$7:$D1950,$D1950,$E$7:$E1950,$E1950))</f>
        <v/>
      </c>
      <c r="P1950" s="16"/>
      <c r="Q1950" s="19"/>
      <c r="R1950" s="10"/>
      <c r="S1950" s="16"/>
      <c r="T1950" s="0" t="str">
        <f aca="false">IF(OR($D1950="",单元查询!$B$3=""),"",IF($D1950&lt;&gt;单元查询!$B$3,"",IF(OR(单元查询!$D$3="",$E1950&amp;""=单元查询!$D$3&amp;""),IF(ISNUMBER($B1950),$B1950*10000,0)+ROW(),"")))</f>
        <v/>
      </c>
      <c r="U1950" s="0" t="str">
        <f aca="false">IF(OR($B1950="",$L1950="已完成"),"",IF(ISNUMBER($B1950),IF(设置!$B$6&lt;$B1950,"",(设置!$B$6-$B1950)*100000+ROW()),""))</f>
        <v/>
      </c>
      <c r="V1950" s="0" t="str">
        <f aca="false">IF(ISNUMBER($O1950),IF($O1950&gt;=2,IF(COUNTIFS($D1950:$D$2006,$D1950,$E1950:$E$2006,$E1950)=1,ROW(),""),""),"")</f>
        <v/>
      </c>
    </row>
    <row r="1951" customFormat="false" ht="15" hidden="false" customHeight="true" outlineLevel="0" collapsed="false">
      <c r="A1951" s="13" t="str">
        <f aca="false">IF(AND($B1951="",$D1951="",$E1951="",$F1951=""),"",IF(OR($B1951="",$D1951="",$E1951=""),"待补",IF($D1951="公共区域","公",IF($D1951="商铺","S",SUBSTITUTE($D1951,"栋","")))&amp;"-"&amp;$E1951&amp;"-"&amp;TEXT(MONTH($B1951),"00")&amp;TEXT(DAY($B1951),"00")&amp;IF(ISNUMBER($O1951),IF($O1951&gt;1,"-"&amp;TEXT($O1951,"00"),""),"")))</f>
        <v/>
      </c>
      <c r="B1951" s="14"/>
      <c r="C1951" s="10"/>
      <c r="D1951" s="10"/>
      <c r="E1951" s="10"/>
      <c r="F1951" s="16"/>
      <c r="G1951" s="10"/>
      <c r="H1951" s="10"/>
      <c r="I1951" s="10"/>
      <c r="J1951" s="10"/>
      <c r="K1951" s="10"/>
      <c r="L1951" s="10"/>
      <c r="M1951" s="14"/>
      <c r="N1951" s="17" t="str">
        <f aca="false">IF($B1951="","",IF($L1951="已完成",IF($M1951="","",$M1951-$B1951),IF(设置!$B$6&lt;$B1951,"",IF((设置!$B$6-$B1951)&gt;=设置!$B$5,"超期"&amp;(设置!$B$6-$B1951)&amp;"天","已等"&amp;(设置!$B$6-$B1951)&amp;"天"))))</f>
        <v/>
      </c>
      <c r="O1951" s="18" t="str">
        <f aca="false">IF(OR($D1951="",$E1951=""),"",COUNTIFS($D$7:$D1951,$D1951,$E$7:$E1951,$E1951))</f>
        <v/>
      </c>
      <c r="P1951" s="16"/>
      <c r="Q1951" s="19"/>
      <c r="R1951" s="10"/>
      <c r="S1951" s="16"/>
      <c r="T1951" s="0" t="str">
        <f aca="false">IF(OR($D1951="",单元查询!$B$3=""),"",IF($D1951&lt;&gt;单元查询!$B$3,"",IF(OR(单元查询!$D$3="",$E1951&amp;""=单元查询!$D$3&amp;""),IF(ISNUMBER($B1951),$B1951*10000,0)+ROW(),"")))</f>
        <v/>
      </c>
      <c r="U1951" s="0" t="str">
        <f aca="false">IF(OR($B1951="",$L1951="已完成"),"",IF(ISNUMBER($B1951),IF(设置!$B$6&lt;$B1951,"",(设置!$B$6-$B1951)*100000+ROW()),""))</f>
        <v/>
      </c>
      <c r="V1951" s="0" t="str">
        <f aca="false">IF(ISNUMBER($O1951),IF($O1951&gt;=2,IF(COUNTIFS($D1951:$D$2006,$D1951,$E1951:$E$2006,$E1951)=1,ROW(),""),""),"")</f>
        <v/>
      </c>
    </row>
    <row r="1952" customFormat="false" ht="15" hidden="false" customHeight="true" outlineLevel="0" collapsed="false">
      <c r="A1952" s="13" t="str">
        <f aca="false">IF(AND($B1952="",$D1952="",$E1952="",$F1952=""),"",IF(OR($B1952="",$D1952="",$E1952=""),"待补",IF($D1952="公共区域","公",IF($D1952="商铺","S",SUBSTITUTE($D1952,"栋","")))&amp;"-"&amp;$E1952&amp;"-"&amp;TEXT(MONTH($B1952),"00")&amp;TEXT(DAY($B1952),"00")&amp;IF(ISNUMBER($O1952),IF($O1952&gt;1,"-"&amp;TEXT($O1952,"00"),""),"")))</f>
        <v/>
      </c>
      <c r="B1952" s="14"/>
      <c r="C1952" s="10"/>
      <c r="D1952" s="10"/>
      <c r="E1952" s="10"/>
      <c r="F1952" s="16"/>
      <c r="G1952" s="10"/>
      <c r="H1952" s="10"/>
      <c r="I1952" s="10"/>
      <c r="J1952" s="10"/>
      <c r="K1952" s="10"/>
      <c r="L1952" s="10"/>
      <c r="M1952" s="14"/>
      <c r="N1952" s="17" t="str">
        <f aca="false">IF($B1952="","",IF($L1952="已完成",IF($M1952="","",$M1952-$B1952),IF(设置!$B$6&lt;$B1952,"",IF((设置!$B$6-$B1952)&gt;=设置!$B$5,"超期"&amp;(设置!$B$6-$B1952)&amp;"天","已等"&amp;(设置!$B$6-$B1952)&amp;"天"))))</f>
        <v/>
      </c>
      <c r="O1952" s="18" t="str">
        <f aca="false">IF(OR($D1952="",$E1952=""),"",COUNTIFS($D$7:$D1952,$D1952,$E$7:$E1952,$E1952))</f>
        <v/>
      </c>
      <c r="P1952" s="16"/>
      <c r="Q1952" s="19"/>
      <c r="R1952" s="10"/>
      <c r="S1952" s="16"/>
      <c r="T1952" s="0" t="str">
        <f aca="false">IF(OR($D1952="",单元查询!$B$3=""),"",IF($D1952&lt;&gt;单元查询!$B$3,"",IF(OR(单元查询!$D$3="",$E1952&amp;""=单元查询!$D$3&amp;""),IF(ISNUMBER($B1952),$B1952*10000,0)+ROW(),"")))</f>
        <v/>
      </c>
      <c r="U1952" s="0" t="str">
        <f aca="false">IF(OR($B1952="",$L1952="已完成"),"",IF(ISNUMBER($B1952),IF(设置!$B$6&lt;$B1952,"",(设置!$B$6-$B1952)*100000+ROW()),""))</f>
        <v/>
      </c>
      <c r="V1952" s="0" t="str">
        <f aca="false">IF(ISNUMBER($O1952),IF($O1952&gt;=2,IF(COUNTIFS($D1952:$D$2006,$D1952,$E1952:$E$2006,$E1952)=1,ROW(),""),""),"")</f>
        <v/>
      </c>
    </row>
    <row r="1953" customFormat="false" ht="15" hidden="false" customHeight="true" outlineLevel="0" collapsed="false">
      <c r="A1953" s="13" t="str">
        <f aca="false">IF(AND($B1953="",$D1953="",$E1953="",$F1953=""),"",IF(OR($B1953="",$D1953="",$E1953=""),"待补",IF($D1953="公共区域","公",IF($D1953="商铺","S",SUBSTITUTE($D1953,"栋","")))&amp;"-"&amp;$E1953&amp;"-"&amp;TEXT(MONTH($B1953),"00")&amp;TEXT(DAY($B1953),"00")&amp;IF(ISNUMBER($O1953),IF($O1953&gt;1,"-"&amp;TEXT($O1953,"00"),""),"")))</f>
        <v/>
      </c>
      <c r="B1953" s="14"/>
      <c r="C1953" s="10"/>
      <c r="D1953" s="10"/>
      <c r="E1953" s="10"/>
      <c r="F1953" s="16"/>
      <c r="G1953" s="10"/>
      <c r="H1953" s="10"/>
      <c r="I1953" s="10"/>
      <c r="J1953" s="10"/>
      <c r="K1953" s="10"/>
      <c r="L1953" s="10"/>
      <c r="M1953" s="14"/>
      <c r="N1953" s="17" t="str">
        <f aca="false">IF($B1953="","",IF($L1953="已完成",IF($M1953="","",$M1953-$B1953),IF(设置!$B$6&lt;$B1953,"",IF((设置!$B$6-$B1953)&gt;=设置!$B$5,"超期"&amp;(设置!$B$6-$B1953)&amp;"天","已等"&amp;(设置!$B$6-$B1953)&amp;"天"))))</f>
        <v/>
      </c>
      <c r="O1953" s="18" t="str">
        <f aca="false">IF(OR($D1953="",$E1953=""),"",COUNTIFS($D$7:$D1953,$D1953,$E$7:$E1953,$E1953))</f>
        <v/>
      </c>
      <c r="P1953" s="16"/>
      <c r="Q1953" s="19"/>
      <c r="R1953" s="10"/>
      <c r="S1953" s="16"/>
      <c r="T1953" s="0" t="str">
        <f aca="false">IF(OR($D1953="",单元查询!$B$3=""),"",IF($D1953&lt;&gt;单元查询!$B$3,"",IF(OR(单元查询!$D$3="",$E1953&amp;""=单元查询!$D$3&amp;""),IF(ISNUMBER($B1953),$B1953*10000,0)+ROW(),"")))</f>
        <v/>
      </c>
      <c r="U1953" s="0" t="str">
        <f aca="false">IF(OR($B1953="",$L1953="已完成"),"",IF(ISNUMBER($B1953),IF(设置!$B$6&lt;$B1953,"",(设置!$B$6-$B1953)*100000+ROW()),""))</f>
        <v/>
      </c>
      <c r="V1953" s="0" t="str">
        <f aca="false">IF(ISNUMBER($O1953),IF($O1953&gt;=2,IF(COUNTIFS($D1953:$D$2006,$D1953,$E1953:$E$2006,$E1953)=1,ROW(),""),""),"")</f>
        <v/>
      </c>
    </row>
    <row r="1954" customFormat="false" ht="15" hidden="false" customHeight="true" outlineLevel="0" collapsed="false">
      <c r="A1954" s="13" t="str">
        <f aca="false">IF(AND($B1954="",$D1954="",$E1954="",$F1954=""),"",IF(OR($B1954="",$D1954="",$E1954=""),"待补",IF($D1954="公共区域","公",IF($D1954="商铺","S",SUBSTITUTE($D1954,"栋","")))&amp;"-"&amp;$E1954&amp;"-"&amp;TEXT(MONTH($B1954),"00")&amp;TEXT(DAY($B1954),"00")&amp;IF(ISNUMBER($O1954),IF($O1954&gt;1,"-"&amp;TEXT($O1954,"00"),""),"")))</f>
        <v/>
      </c>
      <c r="B1954" s="14"/>
      <c r="C1954" s="10"/>
      <c r="D1954" s="10"/>
      <c r="E1954" s="10"/>
      <c r="F1954" s="16"/>
      <c r="G1954" s="10"/>
      <c r="H1954" s="10"/>
      <c r="I1954" s="10"/>
      <c r="J1954" s="10"/>
      <c r="K1954" s="10"/>
      <c r="L1954" s="10"/>
      <c r="M1954" s="14"/>
      <c r="N1954" s="17" t="str">
        <f aca="false">IF($B1954="","",IF($L1954="已完成",IF($M1954="","",$M1954-$B1954),IF(设置!$B$6&lt;$B1954,"",IF((设置!$B$6-$B1954)&gt;=设置!$B$5,"超期"&amp;(设置!$B$6-$B1954)&amp;"天","已等"&amp;(设置!$B$6-$B1954)&amp;"天"))))</f>
        <v/>
      </c>
      <c r="O1954" s="18" t="str">
        <f aca="false">IF(OR($D1954="",$E1954=""),"",COUNTIFS($D$7:$D1954,$D1954,$E$7:$E1954,$E1954))</f>
        <v/>
      </c>
      <c r="P1954" s="16"/>
      <c r="Q1954" s="19"/>
      <c r="R1954" s="10"/>
      <c r="S1954" s="16"/>
      <c r="T1954" s="0" t="str">
        <f aca="false">IF(OR($D1954="",单元查询!$B$3=""),"",IF($D1954&lt;&gt;单元查询!$B$3,"",IF(OR(单元查询!$D$3="",$E1954&amp;""=单元查询!$D$3&amp;""),IF(ISNUMBER($B1954),$B1954*10000,0)+ROW(),"")))</f>
        <v/>
      </c>
      <c r="U1954" s="0" t="str">
        <f aca="false">IF(OR($B1954="",$L1954="已完成"),"",IF(ISNUMBER($B1954),IF(设置!$B$6&lt;$B1954,"",(设置!$B$6-$B1954)*100000+ROW()),""))</f>
        <v/>
      </c>
      <c r="V1954" s="0" t="str">
        <f aca="false">IF(ISNUMBER($O1954),IF($O1954&gt;=2,IF(COUNTIFS($D1954:$D$2006,$D1954,$E1954:$E$2006,$E1954)=1,ROW(),""),""),"")</f>
        <v/>
      </c>
    </row>
    <row r="1955" customFormat="false" ht="15" hidden="false" customHeight="true" outlineLevel="0" collapsed="false">
      <c r="A1955" s="13" t="str">
        <f aca="false">IF(AND($B1955="",$D1955="",$E1955="",$F1955=""),"",IF(OR($B1955="",$D1955="",$E1955=""),"待补",IF($D1955="公共区域","公",IF($D1955="商铺","S",SUBSTITUTE($D1955,"栋","")))&amp;"-"&amp;$E1955&amp;"-"&amp;TEXT(MONTH($B1955),"00")&amp;TEXT(DAY($B1955),"00")&amp;IF(ISNUMBER($O1955),IF($O1955&gt;1,"-"&amp;TEXT($O1955,"00"),""),"")))</f>
        <v/>
      </c>
      <c r="B1955" s="14"/>
      <c r="C1955" s="10"/>
      <c r="D1955" s="10"/>
      <c r="E1955" s="10"/>
      <c r="F1955" s="16"/>
      <c r="G1955" s="10"/>
      <c r="H1955" s="10"/>
      <c r="I1955" s="10"/>
      <c r="J1955" s="10"/>
      <c r="K1955" s="10"/>
      <c r="L1955" s="10"/>
      <c r="M1955" s="14"/>
      <c r="N1955" s="17" t="str">
        <f aca="false">IF($B1955="","",IF($L1955="已完成",IF($M1955="","",$M1955-$B1955),IF(设置!$B$6&lt;$B1955,"",IF((设置!$B$6-$B1955)&gt;=设置!$B$5,"超期"&amp;(设置!$B$6-$B1955)&amp;"天","已等"&amp;(设置!$B$6-$B1955)&amp;"天"))))</f>
        <v/>
      </c>
      <c r="O1955" s="18" t="str">
        <f aca="false">IF(OR($D1955="",$E1955=""),"",COUNTIFS($D$7:$D1955,$D1955,$E$7:$E1955,$E1955))</f>
        <v/>
      </c>
      <c r="P1955" s="16"/>
      <c r="Q1955" s="19"/>
      <c r="R1955" s="10"/>
      <c r="S1955" s="16"/>
      <c r="T1955" s="0" t="str">
        <f aca="false">IF(OR($D1955="",单元查询!$B$3=""),"",IF($D1955&lt;&gt;单元查询!$B$3,"",IF(OR(单元查询!$D$3="",$E1955&amp;""=单元查询!$D$3&amp;""),IF(ISNUMBER($B1955),$B1955*10000,0)+ROW(),"")))</f>
        <v/>
      </c>
      <c r="U1955" s="0" t="str">
        <f aca="false">IF(OR($B1955="",$L1955="已完成"),"",IF(ISNUMBER($B1955),IF(设置!$B$6&lt;$B1955,"",(设置!$B$6-$B1955)*100000+ROW()),""))</f>
        <v/>
      </c>
      <c r="V1955" s="0" t="str">
        <f aca="false">IF(ISNUMBER($O1955),IF($O1955&gt;=2,IF(COUNTIFS($D1955:$D$2006,$D1955,$E1955:$E$2006,$E1955)=1,ROW(),""),""),"")</f>
        <v/>
      </c>
    </row>
    <row r="1956" customFormat="false" ht="15" hidden="false" customHeight="true" outlineLevel="0" collapsed="false">
      <c r="A1956" s="13" t="str">
        <f aca="false">IF(AND($B1956="",$D1956="",$E1956="",$F1956=""),"",IF(OR($B1956="",$D1956="",$E1956=""),"待补",IF($D1956="公共区域","公",IF($D1956="商铺","S",SUBSTITUTE($D1956,"栋","")))&amp;"-"&amp;$E1956&amp;"-"&amp;TEXT(MONTH($B1956),"00")&amp;TEXT(DAY($B1956),"00")&amp;IF(ISNUMBER($O1956),IF($O1956&gt;1,"-"&amp;TEXT($O1956,"00"),""),"")))</f>
        <v/>
      </c>
      <c r="B1956" s="14"/>
      <c r="C1956" s="10"/>
      <c r="D1956" s="10"/>
      <c r="E1956" s="10"/>
      <c r="F1956" s="16"/>
      <c r="G1956" s="10"/>
      <c r="H1956" s="10"/>
      <c r="I1956" s="10"/>
      <c r="J1956" s="10"/>
      <c r="K1956" s="10"/>
      <c r="L1956" s="10"/>
      <c r="M1956" s="14"/>
      <c r="N1956" s="17" t="str">
        <f aca="false">IF($B1956="","",IF($L1956="已完成",IF($M1956="","",$M1956-$B1956),IF(设置!$B$6&lt;$B1956,"",IF((设置!$B$6-$B1956)&gt;=设置!$B$5,"超期"&amp;(设置!$B$6-$B1956)&amp;"天","已等"&amp;(设置!$B$6-$B1956)&amp;"天"))))</f>
        <v/>
      </c>
      <c r="O1956" s="18" t="str">
        <f aca="false">IF(OR($D1956="",$E1956=""),"",COUNTIFS($D$7:$D1956,$D1956,$E$7:$E1956,$E1956))</f>
        <v/>
      </c>
      <c r="P1956" s="16"/>
      <c r="Q1956" s="19"/>
      <c r="R1956" s="10"/>
      <c r="S1956" s="16"/>
      <c r="T1956" s="0" t="str">
        <f aca="false">IF(OR($D1956="",单元查询!$B$3=""),"",IF($D1956&lt;&gt;单元查询!$B$3,"",IF(OR(单元查询!$D$3="",$E1956&amp;""=单元查询!$D$3&amp;""),IF(ISNUMBER($B1956),$B1956*10000,0)+ROW(),"")))</f>
        <v/>
      </c>
      <c r="U1956" s="0" t="str">
        <f aca="false">IF(OR($B1956="",$L1956="已完成"),"",IF(ISNUMBER($B1956),IF(设置!$B$6&lt;$B1956,"",(设置!$B$6-$B1956)*100000+ROW()),""))</f>
        <v/>
      </c>
      <c r="V1956" s="0" t="str">
        <f aca="false">IF(ISNUMBER($O1956),IF($O1956&gt;=2,IF(COUNTIFS($D1956:$D$2006,$D1956,$E1956:$E$2006,$E1956)=1,ROW(),""),""),"")</f>
        <v/>
      </c>
    </row>
    <row r="1957" customFormat="false" ht="15" hidden="false" customHeight="true" outlineLevel="0" collapsed="false">
      <c r="A1957" s="13" t="str">
        <f aca="false">IF(AND($B1957="",$D1957="",$E1957="",$F1957=""),"",IF(OR($B1957="",$D1957="",$E1957=""),"待补",IF($D1957="公共区域","公",IF($D1957="商铺","S",SUBSTITUTE($D1957,"栋","")))&amp;"-"&amp;$E1957&amp;"-"&amp;TEXT(MONTH($B1957),"00")&amp;TEXT(DAY($B1957),"00")&amp;IF(ISNUMBER($O1957),IF($O1957&gt;1,"-"&amp;TEXT($O1957,"00"),""),"")))</f>
        <v/>
      </c>
      <c r="B1957" s="14"/>
      <c r="C1957" s="10"/>
      <c r="D1957" s="10"/>
      <c r="E1957" s="10"/>
      <c r="F1957" s="16"/>
      <c r="G1957" s="10"/>
      <c r="H1957" s="10"/>
      <c r="I1957" s="10"/>
      <c r="J1957" s="10"/>
      <c r="K1957" s="10"/>
      <c r="L1957" s="10"/>
      <c r="M1957" s="14"/>
      <c r="N1957" s="17" t="str">
        <f aca="false">IF($B1957="","",IF($L1957="已完成",IF($M1957="","",$M1957-$B1957),IF(设置!$B$6&lt;$B1957,"",IF((设置!$B$6-$B1957)&gt;=设置!$B$5,"超期"&amp;(设置!$B$6-$B1957)&amp;"天","已等"&amp;(设置!$B$6-$B1957)&amp;"天"))))</f>
        <v/>
      </c>
      <c r="O1957" s="18" t="str">
        <f aca="false">IF(OR($D1957="",$E1957=""),"",COUNTIFS($D$7:$D1957,$D1957,$E$7:$E1957,$E1957))</f>
        <v/>
      </c>
      <c r="P1957" s="16"/>
      <c r="Q1957" s="19"/>
      <c r="R1957" s="10"/>
      <c r="S1957" s="16"/>
      <c r="T1957" s="0" t="str">
        <f aca="false">IF(OR($D1957="",单元查询!$B$3=""),"",IF($D1957&lt;&gt;单元查询!$B$3,"",IF(OR(单元查询!$D$3="",$E1957&amp;""=单元查询!$D$3&amp;""),IF(ISNUMBER($B1957),$B1957*10000,0)+ROW(),"")))</f>
        <v/>
      </c>
      <c r="U1957" s="0" t="str">
        <f aca="false">IF(OR($B1957="",$L1957="已完成"),"",IF(ISNUMBER($B1957),IF(设置!$B$6&lt;$B1957,"",(设置!$B$6-$B1957)*100000+ROW()),""))</f>
        <v/>
      </c>
      <c r="V1957" s="0" t="str">
        <f aca="false">IF(ISNUMBER($O1957),IF($O1957&gt;=2,IF(COUNTIFS($D1957:$D$2006,$D1957,$E1957:$E$2006,$E1957)=1,ROW(),""),""),"")</f>
        <v/>
      </c>
    </row>
    <row r="1958" customFormat="false" ht="15" hidden="false" customHeight="true" outlineLevel="0" collapsed="false">
      <c r="A1958" s="13" t="str">
        <f aca="false">IF(AND($B1958="",$D1958="",$E1958="",$F1958=""),"",IF(OR($B1958="",$D1958="",$E1958=""),"待补",IF($D1958="公共区域","公",IF($D1958="商铺","S",SUBSTITUTE($D1958,"栋","")))&amp;"-"&amp;$E1958&amp;"-"&amp;TEXT(MONTH($B1958),"00")&amp;TEXT(DAY($B1958),"00")&amp;IF(ISNUMBER($O1958),IF($O1958&gt;1,"-"&amp;TEXT($O1958,"00"),""),"")))</f>
        <v/>
      </c>
      <c r="B1958" s="14"/>
      <c r="C1958" s="10"/>
      <c r="D1958" s="10"/>
      <c r="E1958" s="10"/>
      <c r="F1958" s="16"/>
      <c r="G1958" s="10"/>
      <c r="H1958" s="10"/>
      <c r="I1958" s="10"/>
      <c r="J1958" s="10"/>
      <c r="K1958" s="10"/>
      <c r="L1958" s="10"/>
      <c r="M1958" s="14"/>
      <c r="N1958" s="17" t="str">
        <f aca="false">IF($B1958="","",IF($L1958="已完成",IF($M1958="","",$M1958-$B1958),IF(设置!$B$6&lt;$B1958,"",IF((设置!$B$6-$B1958)&gt;=设置!$B$5,"超期"&amp;(设置!$B$6-$B1958)&amp;"天","已等"&amp;(设置!$B$6-$B1958)&amp;"天"))))</f>
        <v/>
      </c>
      <c r="O1958" s="18" t="str">
        <f aca="false">IF(OR($D1958="",$E1958=""),"",COUNTIFS($D$7:$D1958,$D1958,$E$7:$E1958,$E1958))</f>
        <v/>
      </c>
      <c r="P1958" s="16"/>
      <c r="Q1958" s="19"/>
      <c r="R1958" s="10"/>
      <c r="S1958" s="16"/>
      <c r="T1958" s="0" t="str">
        <f aca="false">IF(OR($D1958="",单元查询!$B$3=""),"",IF($D1958&lt;&gt;单元查询!$B$3,"",IF(OR(单元查询!$D$3="",$E1958&amp;""=单元查询!$D$3&amp;""),IF(ISNUMBER($B1958),$B1958*10000,0)+ROW(),"")))</f>
        <v/>
      </c>
      <c r="U1958" s="0" t="str">
        <f aca="false">IF(OR($B1958="",$L1958="已完成"),"",IF(ISNUMBER($B1958),IF(设置!$B$6&lt;$B1958,"",(设置!$B$6-$B1958)*100000+ROW()),""))</f>
        <v/>
      </c>
      <c r="V1958" s="0" t="str">
        <f aca="false">IF(ISNUMBER($O1958),IF($O1958&gt;=2,IF(COUNTIFS($D1958:$D$2006,$D1958,$E1958:$E$2006,$E1958)=1,ROW(),""),""),"")</f>
        <v/>
      </c>
    </row>
    <row r="1959" customFormat="false" ht="15" hidden="false" customHeight="true" outlineLevel="0" collapsed="false">
      <c r="A1959" s="13" t="str">
        <f aca="false">IF(AND($B1959="",$D1959="",$E1959="",$F1959=""),"",IF(OR($B1959="",$D1959="",$E1959=""),"待补",IF($D1959="公共区域","公",IF($D1959="商铺","S",SUBSTITUTE($D1959,"栋","")))&amp;"-"&amp;$E1959&amp;"-"&amp;TEXT(MONTH($B1959),"00")&amp;TEXT(DAY($B1959),"00")&amp;IF(ISNUMBER($O1959),IF($O1959&gt;1,"-"&amp;TEXT($O1959,"00"),""),"")))</f>
        <v/>
      </c>
      <c r="B1959" s="14"/>
      <c r="C1959" s="10"/>
      <c r="D1959" s="10"/>
      <c r="E1959" s="10"/>
      <c r="F1959" s="16"/>
      <c r="G1959" s="10"/>
      <c r="H1959" s="10"/>
      <c r="I1959" s="10"/>
      <c r="J1959" s="10"/>
      <c r="K1959" s="10"/>
      <c r="L1959" s="10"/>
      <c r="M1959" s="14"/>
      <c r="N1959" s="17" t="str">
        <f aca="false">IF($B1959="","",IF($L1959="已完成",IF($M1959="","",$M1959-$B1959),IF(设置!$B$6&lt;$B1959,"",IF((设置!$B$6-$B1959)&gt;=设置!$B$5,"超期"&amp;(设置!$B$6-$B1959)&amp;"天","已等"&amp;(设置!$B$6-$B1959)&amp;"天"))))</f>
        <v/>
      </c>
      <c r="O1959" s="18" t="str">
        <f aca="false">IF(OR($D1959="",$E1959=""),"",COUNTIFS($D$7:$D1959,$D1959,$E$7:$E1959,$E1959))</f>
        <v/>
      </c>
      <c r="P1959" s="16"/>
      <c r="Q1959" s="19"/>
      <c r="R1959" s="10"/>
      <c r="S1959" s="16"/>
      <c r="T1959" s="0" t="str">
        <f aca="false">IF(OR($D1959="",单元查询!$B$3=""),"",IF($D1959&lt;&gt;单元查询!$B$3,"",IF(OR(单元查询!$D$3="",$E1959&amp;""=单元查询!$D$3&amp;""),IF(ISNUMBER($B1959),$B1959*10000,0)+ROW(),"")))</f>
        <v/>
      </c>
      <c r="U1959" s="0" t="str">
        <f aca="false">IF(OR($B1959="",$L1959="已完成"),"",IF(ISNUMBER($B1959),IF(设置!$B$6&lt;$B1959,"",(设置!$B$6-$B1959)*100000+ROW()),""))</f>
        <v/>
      </c>
      <c r="V1959" s="0" t="str">
        <f aca="false">IF(ISNUMBER($O1959),IF($O1959&gt;=2,IF(COUNTIFS($D1959:$D$2006,$D1959,$E1959:$E$2006,$E1959)=1,ROW(),""),""),"")</f>
        <v/>
      </c>
    </row>
    <row r="1960" customFormat="false" ht="15" hidden="false" customHeight="true" outlineLevel="0" collapsed="false">
      <c r="A1960" s="13" t="str">
        <f aca="false">IF(AND($B1960="",$D1960="",$E1960="",$F1960=""),"",IF(OR($B1960="",$D1960="",$E1960=""),"待补",IF($D1960="公共区域","公",IF($D1960="商铺","S",SUBSTITUTE($D1960,"栋","")))&amp;"-"&amp;$E1960&amp;"-"&amp;TEXT(MONTH($B1960),"00")&amp;TEXT(DAY($B1960),"00")&amp;IF(ISNUMBER($O1960),IF($O1960&gt;1,"-"&amp;TEXT($O1960,"00"),""),"")))</f>
        <v/>
      </c>
      <c r="B1960" s="14"/>
      <c r="C1960" s="10"/>
      <c r="D1960" s="10"/>
      <c r="E1960" s="10"/>
      <c r="F1960" s="16"/>
      <c r="G1960" s="10"/>
      <c r="H1960" s="10"/>
      <c r="I1960" s="10"/>
      <c r="J1960" s="10"/>
      <c r="K1960" s="10"/>
      <c r="L1960" s="10"/>
      <c r="M1960" s="14"/>
      <c r="N1960" s="17" t="str">
        <f aca="false">IF($B1960="","",IF($L1960="已完成",IF($M1960="","",$M1960-$B1960),IF(设置!$B$6&lt;$B1960,"",IF((设置!$B$6-$B1960)&gt;=设置!$B$5,"超期"&amp;(设置!$B$6-$B1960)&amp;"天","已等"&amp;(设置!$B$6-$B1960)&amp;"天"))))</f>
        <v/>
      </c>
      <c r="O1960" s="18" t="str">
        <f aca="false">IF(OR($D1960="",$E1960=""),"",COUNTIFS($D$7:$D1960,$D1960,$E$7:$E1960,$E1960))</f>
        <v/>
      </c>
      <c r="P1960" s="16"/>
      <c r="Q1960" s="19"/>
      <c r="R1960" s="10"/>
      <c r="S1960" s="16"/>
      <c r="T1960" s="0" t="str">
        <f aca="false">IF(OR($D1960="",单元查询!$B$3=""),"",IF($D1960&lt;&gt;单元查询!$B$3,"",IF(OR(单元查询!$D$3="",$E1960&amp;""=单元查询!$D$3&amp;""),IF(ISNUMBER($B1960),$B1960*10000,0)+ROW(),"")))</f>
        <v/>
      </c>
      <c r="U1960" s="0" t="str">
        <f aca="false">IF(OR($B1960="",$L1960="已完成"),"",IF(ISNUMBER($B1960),IF(设置!$B$6&lt;$B1960,"",(设置!$B$6-$B1960)*100000+ROW()),""))</f>
        <v/>
      </c>
      <c r="V1960" s="0" t="str">
        <f aca="false">IF(ISNUMBER($O1960),IF($O1960&gt;=2,IF(COUNTIFS($D1960:$D$2006,$D1960,$E1960:$E$2006,$E1960)=1,ROW(),""),""),"")</f>
        <v/>
      </c>
    </row>
    <row r="1961" customFormat="false" ht="15" hidden="false" customHeight="true" outlineLevel="0" collapsed="false">
      <c r="A1961" s="13" t="str">
        <f aca="false">IF(AND($B1961="",$D1961="",$E1961="",$F1961=""),"",IF(OR($B1961="",$D1961="",$E1961=""),"待补",IF($D1961="公共区域","公",IF($D1961="商铺","S",SUBSTITUTE($D1961,"栋","")))&amp;"-"&amp;$E1961&amp;"-"&amp;TEXT(MONTH($B1961),"00")&amp;TEXT(DAY($B1961),"00")&amp;IF(ISNUMBER($O1961),IF($O1961&gt;1,"-"&amp;TEXT($O1961,"00"),""),"")))</f>
        <v/>
      </c>
      <c r="B1961" s="14"/>
      <c r="C1961" s="10"/>
      <c r="D1961" s="10"/>
      <c r="E1961" s="10"/>
      <c r="F1961" s="16"/>
      <c r="G1961" s="10"/>
      <c r="H1961" s="10"/>
      <c r="I1961" s="10"/>
      <c r="J1961" s="10"/>
      <c r="K1961" s="10"/>
      <c r="L1961" s="10"/>
      <c r="M1961" s="14"/>
      <c r="N1961" s="17" t="str">
        <f aca="false">IF($B1961="","",IF($L1961="已完成",IF($M1961="","",$M1961-$B1961),IF(设置!$B$6&lt;$B1961,"",IF((设置!$B$6-$B1961)&gt;=设置!$B$5,"超期"&amp;(设置!$B$6-$B1961)&amp;"天","已等"&amp;(设置!$B$6-$B1961)&amp;"天"))))</f>
        <v/>
      </c>
      <c r="O1961" s="18" t="str">
        <f aca="false">IF(OR($D1961="",$E1961=""),"",COUNTIFS($D$7:$D1961,$D1961,$E$7:$E1961,$E1961))</f>
        <v/>
      </c>
      <c r="P1961" s="16"/>
      <c r="Q1961" s="19"/>
      <c r="R1961" s="10"/>
      <c r="S1961" s="16"/>
      <c r="T1961" s="0" t="str">
        <f aca="false">IF(OR($D1961="",单元查询!$B$3=""),"",IF($D1961&lt;&gt;单元查询!$B$3,"",IF(OR(单元查询!$D$3="",$E1961&amp;""=单元查询!$D$3&amp;""),IF(ISNUMBER($B1961),$B1961*10000,0)+ROW(),"")))</f>
        <v/>
      </c>
      <c r="U1961" s="0" t="str">
        <f aca="false">IF(OR($B1961="",$L1961="已完成"),"",IF(ISNUMBER($B1961),IF(设置!$B$6&lt;$B1961,"",(设置!$B$6-$B1961)*100000+ROW()),""))</f>
        <v/>
      </c>
      <c r="V1961" s="0" t="str">
        <f aca="false">IF(ISNUMBER($O1961),IF($O1961&gt;=2,IF(COUNTIFS($D1961:$D$2006,$D1961,$E1961:$E$2006,$E1961)=1,ROW(),""),""),"")</f>
        <v/>
      </c>
    </row>
    <row r="1962" customFormat="false" ht="15" hidden="false" customHeight="true" outlineLevel="0" collapsed="false">
      <c r="A1962" s="13" t="str">
        <f aca="false">IF(AND($B1962="",$D1962="",$E1962="",$F1962=""),"",IF(OR($B1962="",$D1962="",$E1962=""),"待补",IF($D1962="公共区域","公",IF($D1962="商铺","S",SUBSTITUTE($D1962,"栋","")))&amp;"-"&amp;$E1962&amp;"-"&amp;TEXT(MONTH($B1962),"00")&amp;TEXT(DAY($B1962),"00")&amp;IF(ISNUMBER($O1962),IF($O1962&gt;1,"-"&amp;TEXT($O1962,"00"),""),"")))</f>
        <v/>
      </c>
      <c r="B1962" s="14"/>
      <c r="C1962" s="10"/>
      <c r="D1962" s="10"/>
      <c r="E1962" s="10"/>
      <c r="F1962" s="16"/>
      <c r="G1962" s="10"/>
      <c r="H1962" s="10"/>
      <c r="I1962" s="10"/>
      <c r="J1962" s="10"/>
      <c r="K1962" s="10"/>
      <c r="L1962" s="10"/>
      <c r="M1962" s="14"/>
      <c r="N1962" s="17" t="str">
        <f aca="false">IF($B1962="","",IF($L1962="已完成",IF($M1962="","",$M1962-$B1962),IF(设置!$B$6&lt;$B1962,"",IF((设置!$B$6-$B1962)&gt;=设置!$B$5,"超期"&amp;(设置!$B$6-$B1962)&amp;"天","已等"&amp;(设置!$B$6-$B1962)&amp;"天"))))</f>
        <v/>
      </c>
      <c r="O1962" s="18" t="str">
        <f aca="false">IF(OR($D1962="",$E1962=""),"",COUNTIFS($D$7:$D1962,$D1962,$E$7:$E1962,$E1962))</f>
        <v/>
      </c>
      <c r="P1962" s="16"/>
      <c r="Q1962" s="19"/>
      <c r="R1962" s="10"/>
      <c r="S1962" s="16"/>
      <c r="T1962" s="0" t="str">
        <f aca="false">IF(OR($D1962="",单元查询!$B$3=""),"",IF($D1962&lt;&gt;单元查询!$B$3,"",IF(OR(单元查询!$D$3="",$E1962&amp;""=单元查询!$D$3&amp;""),IF(ISNUMBER($B1962),$B1962*10000,0)+ROW(),"")))</f>
        <v/>
      </c>
      <c r="U1962" s="0" t="str">
        <f aca="false">IF(OR($B1962="",$L1962="已完成"),"",IF(ISNUMBER($B1962),IF(设置!$B$6&lt;$B1962,"",(设置!$B$6-$B1962)*100000+ROW()),""))</f>
        <v/>
      </c>
      <c r="V1962" s="0" t="str">
        <f aca="false">IF(ISNUMBER($O1962),IF($O1962&gt;=2,IF(COUNTIFS($D1962:$D$2006,$D1962,$E1962:$E$2006,$E1962)=1,ROW(),""),""),"")</f>
        <v/>
      </c>
    </row>
    <row r="1963" customFormat="false" ht="15" hidden="false" customHeight="true" outlineLevel="0" collapsed="false">
      <c r="A1963" s="13" t="str">
        <f aca="false">IF(AND($B1963="",$D1963="",$E1963="",$F1963=""),"",IF(OR($B1963="",$D1963="",$E1963=""),"待补",IF($D1963="公共区域","公",IF($D1963="商铺","S",SUBSTITUTE($D1963,"栋","")))&amp;"-"&amp;$E1963&amp;"-"&amp;TEXT(MONTH($B1963),"00")&amp;TEXT(DAY($B1963),"00")&amp;IF(ISNUMBER($O1963),IF($O1963&gt;1,"-"&amp;TEXT($O1963,"00"),""),"")))</f>
        <v/>
      </c>
      <c r="B1963" s="14"/>
      <c r="C1963" s="10"/>
      <c r="D1963" s="10"/>
      <c r="E1963" s="10"/>
      <c r="F1963" s="16"/>
      <c r="G1963" s="10"/>
      <c r="H1963" s="10"/>
      <c r="I1963" s="10"/>
      <c r="J1963" s="10"/>
      <c r="K1963" s="10"/>
      <c r="L1963" s="10"/>
      <c r="M1963" s="14"/>
      <c r="N1963" s="17" t="str">
        <f aca="false">IF($B1963="","",IF($L1963="已完成",IF($M1963="","",$M1963-$B1963),IF(设置!$B$6&lt;$B1963,"",IF((设置!$B$6-$B1963)&gt;=设置!$B$5,"超期"&amp;(设置!$B$6-$B1963)&amp;"天","已等"&amp;(设置!$B$6-$B1963)&amp;"天"))))</f>
        <v/>
      </c>
      <c r="O1963" s="18" t="str">
        <f aca="false">IF(OR($D1963="",$E1963=""),"",COUNTIFS($D$7:$D1963,$D1963,$E$7:$E1963,$E1963))</f>
        <v/>
      </c>
      <c r="P1963" s="16"/>
      <c r="Q1963" s="19"/>
      <c r="R1963" s="10"/>
      <c r="S1963" s="16"/>
      <c r="T1963" s="0" t="str">
        <f aca="false">IF(OR($D1963="",单元查询!$B$3=""),"",IF($D1963&lt;&gt;单元查询!$B$3,"",IF(OR(单元查询!$D$3="",$E1963&amp;""=单元查询!$D$3&amp;""),IF(ISNUMBER($B1963),$B1963*10000,0)+ROW(),"")))</f>
        <v/>
      </c>
      <c r="U1963" s="0" t="str">
        <f aca="false">IF(OR($B1963="",$L1963="已完成"),"",IF(ISNUMBER($B1963),IF(设置!$B$6&lt;$B1963,"",(设置!$B$6-$B1963)*100000+ROW()),""))</f>
        <v/>
      </c>
      <c r="V1963" s="0" t="str">
        <f aca="false">IF(ISNUMBER($O1963),IF($O1963&gt;=2,IF(COUNTIFS($D1963:$D$2006,$D1963,$E1963:$E$2006,$E1963)=1,ROW(),""),""),"")</f>
        <v/>
      </c>
    </row>
    <row r="1964" customFormat="false" ht="15" hidden="false" customHeight="true" outlineLevel="0" collapsed="false">
      <c r="A1964" s="13" t="str">
        <f aca="false">IF(AND($B1964="",$D1964="",$E1964="",$F1964=""),"",IF(OR($B1964="",$D1964="",$E1964=""),"待补",IF($D1964="公共区域","公",IF($D1964="商铺","S",SUBSTITUTE($D1964,"栋","")))&amp;"-"&amp;$E1964&amp;"-"&amp;TEXT(MONTH($B1964),"00")&amp;TEXT(DAY($B1964),"00")&amp;IF(ISNUMBER($O1964),IF($O1964&gt;1,"-"&amp;TEXT($O1964,"00"),""),"")))</f>
        <v/>
      </c>
      <c r="B1964" s="14"/>
      <c r="C1964" s="10"/>
      <c r="D1964" s="10"/>
      <c r="E1964" s="10"/>
      <c r="F1964" s="16"/>
      <c r="G1964" s="10"/>
      <c r="H1964" s="10"/>
      <c r="I1964" s="10"/>
      <c r="J1964" s="10"/>
      <c r="K1964" s="10"/>
      <c r="L1964" s="10"/>
      <c r="M1964" s="14"/>
      <c r="N1964" s="17" t="str">
        <f aca="false">IF($B1964="","",IF($L1964="已完成",IF($M1964="","",$M1964-$B1964),IF(设置!$B$6&lt;$B1964,"",IF((设置!$B$6-$B1964)&gt;=设置!$B$5,"超期"&amp;(设置!$B$6-$B1964)&amp;"天","已等"&amp;(设置!$B$6-$B1964)&amp;"天"))))</f>
        <v/>
      </c>
      <c r="O1964" s="18" t="str">
        <f aca="false">IF(OR($D1964="",$E1964=""),"",COUNTIFS($D$7:$D1964,$D1964,$E$7:$E1964,$E1964))</f>
        <v/>
      </c>
      <c r="P1964" s="16"/>
      <c r="Q1964" s="19"/>
      <c r="R1964" s="10"/>
      <c r="S1964" s="16"/>
      <c r="T1964" s="0" t="str">
        <f aca="false">IF(OR($D1964="",单元查询!$B$3=""),"",IF($D1964&lt;&gt;单元查询!$B$3,"",IF(OR(单元查询!$D$3="",$E1964&amp;""=单元查询!$D$3&amp;""),IF(ISNUMBER($B1964),$B1964*10000,0)+ROW(),"")))</f>
        <v/>
      </c>
      <c r="U1964" s="0" t="str">
        <f aca="false">IF(OR($B1964="",$L1964="已完成"),"",IF(ISNUMBER($B1964),IF(设置!$B$6&lt;$B1964,"",(设置!$B$6-$B1964)*100000+ROW()),""))</f>
        <v/>
      </c>
      <c r="V1964" s="0" t="str">
        <f aca="false">IF(ISNUMBER($O1964),IF($O1964&gt;=2,IF(COUNTIFS($D1964:$D$2006,$D1964,$E1964:$E$2006,$E1964)=1,ROW(),""),""),"")</f>
        <v/>
      </c>
    </row>
    <row r="1965" customFormat="false" ht="15" hidden="false" customHeight="true" outlineLevel="0" collapsed="false">
      <c r="A1965" s="13" t="str">
        <f aca="false">IF(AND($B1965="",$D1965="",$E1965="",$F1965=""),"",IF(OR($B1965="",$D1965="",$E1965=""),"待补",IF($D1965="公共区域","公",IF($D1965="商铺","S",SUBSTITUTE($D1965,"栋","")))&amp;"-"&amp;$E1965&amp;"-"&amp;TEXT(MONTH($B1965),"00")&amp;TEXT(DAY($B1965),"00")&amp;IF(ISNUMBER($O1965),IF($O1965&gt;1,"-"&amp;TEXT($O1965,"00"),""),"")))</f>
        <v/>
      </c>
      <c r="B1965" s="14"/>
      <c r="C1965" s="10"/>
      <c r="D1965" s="10"/>
      <c r="E1965" s="10"/>
      <c r="F1965" s="16"/>
      <c r="G1965" s="10"/>
      <c r="H1965" s="10"/>
      <c r="I1965" s="10"/>
      <c r="J1965" s="10"/>
      <c r="K1965" s="10"/>
      <c r="L1965" s="10"/>
      <c r="M1965" s="14"/>
      <c r="N1965" s="17" t="str">
        <f aca="false">IF($B1965="","",IF($L1965="已完成",IF($M1965="","",$M1965-$B1965),IF(设置!$B$6&lt;$B1965,"",IF((设置!$B$6-$B1965)&gt;=设置!$B$5,"超期"&amp;(设置!$B$6-$B1965)&amp;"天","已等"&amp;(设置!$B$6-$B1965)&amp;"天"))))</f>
        <v/>
      </c>
      <c r="O1965" s="18" t="str">
        <f aca="false">IF(OR($D1965="",$E1965=""),"",COUNTIFS($D$7:$D1965,$D1965,$E$7:$E1965,$E1965))</f>
        <v/>
      </c>
      <c r="P1965" s="16"/>
      <c r="Q1965" s="19"/>
      <c r="R1965" s="10"/>
      <c r="S1965" s="16"/>
      <c r="T1965" s="0" t="str">
        <f aca="false">IF(OR($D1965="",单元查询!$B$3=""),"",IF($D1965&lt;&gt;单元查询!$B$3,"",IF(OR(单元查询!$D$3="",$E1965&amp;""=单元查询!$D$3&amp;""),IF(ISNUMBER($B1965),$B1965*10000,0)+ROW(),"")))</f>
        <v/>
      </c>
      <c r="U1965" s="0" t="str">
        <f aca="false">IF(OR($B1965="",$L1965="已完成"),"",IF(ISNUMBER($B1965),IF(设置!$B$6&lt;$B1965,"",(设置!$B$6-$B1965)*100000+ROW()),""))</f>
        <v/>
      </c>
      <c r="V1965" s="0" t="str">
        <f aca="false">IF(ISNUMBER($O1965),IF($O1965&gt;=2,IF(COUNTIFS($D1965:$D$2006,$D1965,$E1965:$E$2006,$E1965)=1,ROW(),""),""),"")</f>
        <v/>
      </c>
    </row>
    <row r="1966" customFormat="false" ht="15" hidden="false" customHeight="true" outlineLevel="0" collapsed="false">
      <c r="A1966" s="13" t="str">
        <f aca="false">IF(AND($B1966="",$D1966="",$E1966="",$F1966=""),"",IF(OR($B1966="",$D1966="",$E1966=""),"待补",IF($D1966="公共区域","公",IF($D1966="商铺","S",SUBSTITUTE($D1966,"栋","")))&amp;"-"&amp;$E1966&amp;"-"&amp;TEXT(MONTH($B1966),"00")&amp;TEXT(DAY($B1966),"00")&amp;IF(ISNUMBER($O1966),IF($O1966&gt;1,"-"&amp;TEXT($O1966,"00"),""),"")))</f>
        <v/>
      </c>
      <c r="B1966" s="14"/>
      <c r="C1966" s="10"/>
      <c r="D1966" s="10"/>
      <c r="E1966" s="10"/>
      <c r="F1966" s="16"/>
      <c r="G1966" s="10"/>
      <c r="H1966" s="10"/>
      <c r="I1966" s="10"/>
      <c r="J1966" s="10"/>
      <c r="K1966" s="10"/>
      <c r="L1966" s="10"/>
      <c r="M1966" s="14"/>
      <c r="N1966" s="17" t="str">
        <f aca="false">IF($B1966="","",IF($L1966="已完成",IF($M1966="","",$M1966-$B1966),IF(设置!$B$6&lt;$B1966,"",IF((设置!$B$6-$B1966)&gt;=设置!$B$5,"超期"&amp;(设置!$B$6-$B1966)&amp;"天","已等"&amp;(设置!$B$6-$B1966)&amp;"天"))))</f>
        <v/>
      </c>
      <c r="O1966" s="18" t="str">
        <f aca="false">IF(OR($D1966="",$E1966=""),"",COUNTIFS($D$7:$D1966,$D1966,$E$7:$E1966,$E1966))</f>
        <v/>
      </c>
      <c r="P1966" s="16"/>
      <c r="Q1966" s="19"/>
      <c r="R1966" s="10"/>
      <c r="S1966" s="16"/>
      <c r="T1966" s="0" t="str">
        <f aca="false">IF(OR($D1966="",单元查询!$B$3=""),"",IF($D1966&lt;&gt;单元查询!$B$3,"",IF(OR(单元查询!$D$3="",$E1966&amp;""=单元查询!$D$3&amp;""),IF(ISNUMBER($B1966),$B1966*10000,0)+ROW(),"")))</f>
        <v/>
      </c>
      <c r="U1966" s="0" t="str">
        <f aca="false">IF(OR($B1966="",$L1966="已完成"),"",IF(ISNUMBER($B1966),IF(设置!$B$6&lt;$B1966,"",(设置!$B$6-$B1966)*100000+ROW()),""))</f>
        <v/>
      </c>
      <c r="V1966" s="0" t="str">
        <f aca="false">IF(ISNUMBER($O1966),IF($O1966&gt;=2,IF(COUNTIFS($D1966:$D$2006,$D1966,$E1966:$E$2006,$E1966)=1,ROW(),""),""),"")</f>
        <v/>
      </c>
    </row>
    <row r="1967" customFormat="false" ht="15" hidden="false" customHeight="true" outlineLevel="0" collapsed="false">
      <c r="A1967" s="13" t="str">
        <f aca="false">IF(AND($B1967="",$D1967="",$E1967="",$F1967=""),"",IF(OR($B1967="",$D1967="",$E1967=""),"待补",IF($D1967="公共区域","公",IF($D1967="商铺","S",SUBSTITUTE($D1967,"栋","")))&amp;"-"&amp;$E1967&amp;"-"&amp;TEXT(MONTH($B1967),"00")&amp;TEXT(DAY($B1967),"00")&amp;IF(ISNUMBER($O1967),IF($O1967&gt;1,"-"&amp;TEXT($O1967,"00"),""),"")))</f>
        <v/>
      </c>
      <c r="B1967" s="14"/>
      <c r="C1967" s="10"/>
      <c r="D1967" s="10"/>
      <c r="E1967" s="10"/>
      <c r="F1967" s="16"/>
      <c r="G1967" s="10"/>
      <c r="H1967" s="10"/>
      <c r="I1967" s="10"/>
      <c r="J1967" s="10"/>
      <c r="K1967" s="10"/>
      <c r="L1967" s="10"/>
      <c r="M1967" s="14"/>
      <c r="N1967" s="17" t="str">
        <f aca="false">IF($B1967="","",IF($L1967="已完成",IF($M1967="","",$M1967-$B1967),IF(设置!$B$6&lt;$B1967,"",IF((设置!$B$6-$B1967)&gt;=设置!$B$5,"超期"&amp;(设置!$B$6-$B1967)&amp;"天","已等"&amp;(设置!$B$6-$B1967)&amp;"天"))))</f>
        <v/>
      </c>
      <c r="O1967" s="18" t="str">
        <f aca="false">IF(OR($D1967="",$E1967=""),"",COUNTIFS($D$7:$D1967,$D1967,$E$7:$E1967,$E1967))</f>
        <v/>
      </c>
      <c r="P1967" s="16"/>
      <c r="Q1967" s="19"/>
      <c r="R1967" s="10"/>
      <c r="S1967" s="16"/>
      <c r="T1967" s="0" t="str">
        <f aca="false">IF(OR($D1967="",单元查询!$B$3=""),"",IF($D1967&lt;&gt;单元查询!$B$3,"",IF(OR(单元查询!$D$3="",$E1967&amp;""=单元查询!$D$3&amp;""),IF(ISNUMBER($B1967),$B1967*10000,0)+ROW(),"")))</f>
        <v/>
      </c>
      <c r="U1967" s="0" t="str">
        <f aca="false">IF(OR($B1967="",$L1967="已完成"),"",IF(ISNUMBER($B1967),IF(设置!$B$6&lt;$B1967,"",(设置!$B$6-$B1967)*100000+ROW()),""))</f>
        <v/>
      </c>
      <c r="V1967" s="0" t="str">
        <f aca="false">IF(ISNUMBER($O1967),IF($O1967&gt;=2,IF(COUNTIFS($D1967:$D$2006,$D1967,$E1967:$E$2006,$E1967)=1,ROW(),""),""),"")</f>
        <v/>
      </c>
    </row>
    <row r="1968" customFormat="false" ht="15" hidden="false" customHeight="true" outlineLevel="0" collapsed="false">
      <c r="A1968" s="13" t="str">
        <f aca="false">IF(AND($B1968="",$D1968="",$E1968="",$F1968=""),"",IF(OR($B1968="",$D1968="",$E1968=""),"待补",IF($D1968="公共区域","公",IF($D1968="商铺","S",SUBSTITUTE($D1968,"栋","")))&amp;"-"&amp;$E1968&amp;"-"&amp;TEXT(MONTH($B1968),"00")&amp;TEXT(DAY($B1968),"00")&amp;IF(ISNUMBER($O1968),IF($O1968&gt;1,"-"&amp;TEXT($O1968,"00"),""),"")))</f>
        <v/>
      </c>
      <c r="B1968" s="14"/>
      <c r="C1968" s="10"/>
      <c r="D1968" s="10"/>
      <c r="E1968" s="10"/>
      <c r="F1968" s="16"/>
      <c r="G1968" s="10"/>
      <c r="H1968" s="10"/>
      <c r="I1968" s="10"/>
      <c r="J1968" s="10"/>
      <c r="K1968" s="10"/>
      <c r="L1968" s="10"/>
      <c r="M1968" s="14"/>
      <c r="N1968" s="17" t="str">
        <f aca="false">IF($B1968="","",IF($L1968="已完成",IF($M1968="","",$M1968-$B1968),IF(设置!$B$6&lt;$B1968,"",IF((设置!$B$6-$B1968)&gt;=设置!$B$5,"超期"&amp;(设置!$B$6-$B1968)&amp;"天","已等"&amp;(设置!$B$6-$B1968)&amp;"天"))))</f>
        <v/>
      </c>
      <c r="O1968" s="18" t="str">
        <f aca="false">IF(OR($D1968="",$E1968=""),"",COUNTIFS($D$7:$D1968,$D1968,$E$7:$E1968,$E1968))</f>
        <v/>
      </c>
      <c r="P1968" s="16"/>
      <c r="Q1968" s="19"/>
      <c r="R1968" s="10"/>
      <c r="S1968" s="16"/>
      <c r="T1968" s="0" t="str">
        <f aca="false">IF(OR($D1968="",单元查询!$B$3=""),"",IF($D1968&lt;&gt;单元查询!$B$3,"",IF(OR(单元查询!$D$3="",$E1968&amp;""=单元查询!$D$3&amp;""),IF(ISNUMBER($B1968),$B1968*10000,0)+ROW(),"")))</f>
        <v/>
      </c>
      <c r="U1968" s="0" t="str">
        <f aca="false">IF(OR($B1968="",$L1968="已完成"),"",IF(ISNUMBER($B1968),IF(设置!$B$6&lt;$B1968,"",(设置!$B$6-$B1968)*100000+ROW()),""))</f>
        <v/>
      </c>
      <c r="V1968" s="0" t="str">
        <f aca="false">IF(ISNUMBER($O1968),IF($O1968&gt;=2,IF(COUNTIFS($D1968:$D$2006,$D1968,$E1968:$E$2006,$E1968)=1,ROW(),""),""),"")</f>
        <v/>
      </c>
    </row>
    <row r="1969" customFormat="false" ht="15" hidden="false" customHeight="true" outlineLevel="0" collapsed="false">
      <c r="A1969" s="13" t="str">
        <f aca="false">IF(AND($B1969="",$D1969="",$E1969="",$F1969=""),"",IF(OR($B1969="",$D1969="",$E1969=""),"待补",IF($D1969="公共区域","公",IF($D1969="商铺","S",SUBSTITUTE($D1969,"栋","")))&amp;"-"&amp;$E1969&amp;"-"&amp;TEXT(MONTH($B1969),"00")&amp;TEXT(DAY($B1969),"00")&amp;IF(ISNUMBER($O1969),IF($O1969&gt;1,"-"&amp;TEXT($O1969,"00"),""),"")))</f>
        <v/>
      </c>
      <c r="B1969" s="14"/>
      <c r="C1969" s="10"/>
      <c r="D1969" s="10"/>
      <c r="E1969" s="10"/>
      <c r="F1969" s="16"/>
      <c r="G1969" s="10"/>
      <c r="H1969" s="10"/>
      <c r="I1969" s="10"/>
      <c r="J1969" s="10"/>
      <c r="K1969" s="10"/>
      <c r="L1969" s="10"/>
      <c r="M1969" s="14"/>
      <c r="N1969" s="17" t="str">
        <f aca="false">IF($B1969="","",IF($L1969="已完成",IF($M1969="","",$M1969-$B1969),IF(设置!$B$6&lt;$B1969,"",IF((设置!$B$6-$B1969)&gt;=设置!$B$5,"超期"&amp;(设置!$B$6-$B1969)&amp;"天","已等"&amp;(设置!$B$6-$B1969)&amp;"天"))))</f>
        <v/>
      </c>
      <c r="O1969" s="18" t="str">
        <f aca="false">IF(OR($D1969="",$E1969=""),"",COUNTIFS($D$7:$D1969,$D1969,$E$7:$E1969,$E1969))</f>
        <v/>
      </c>
      <c r="P1969" s="16"/>
      <c r="Q1969" s="19"/>
      <c r="R1969" s="10"/>
      <c r="S1969" s="16"/>
      <c r="T1969" s="0" t="str">
        <f aca="false">IF(OR($D1969="",单元查询!$B$3=""),"",IF($D1969&lt;&gt;单元查询!$B$3,"",IF(OR(单元查询!$D$3="",$E1969&amp;""=单元查询!$D$3&amp;""),IF(ISNUMBER($B1969),$B1969*10000,0)+ROW(),"")))</f>
        <v/>
      </c>
      <c r="U1969" s="0" t="str">
        <f aca="false">IF(OR($B1969="",$L1969="已完成"),"",IF(ISNUMBER($B1969),IF(设置!$B$6&lt;$B1969,"",(设置!$B$6-$B1969)*100000+ROW()),""))</f>
        <v/>
      </c>
      <c r="V1969" s="0" t="str">
        <f aca="false">IF(ISNUMBER($O1969),IF($O1969&gt;=2,IF(COUNTIFS($D1969:$D$2006,$D1969,$E1969:$E$2006,$E1969)=1,ROW(),""),""),"")</f>
        <v/>
      </c>
    </row>
    <row r="1970" customFormat="false" ht="15" hidden="false" customHeight="true" outlineLevel="0" collapsed="false">
      <c r="A1970" s="13" t="str">
        <f aca="false">IF(AND($B1970="",$D1970="",$E1970="",$F1970=""),"",IF(OR($B1970="",$D1970="",$E1970=""),"待补",IF($D1970="公共区域","公",IF($D1970="商铺","S",SUBSTITUTE($D1970,"栋","")))&amp;"-"&amp;$E1970&amp;"-"&amp;TEXT(MONTH($B1970),"00")&amp;TEXT(DAY($B1970),"00")&amp;IF(ISNUMBER($O1970),IF($O1970&gt;1,"-"&amp;TEXT($O1970,"00"),""),"")))</f>
        <v/>
      </c>
      <c r="B1970" s="14"/>
      <c r="C1970" s="10"/>
      <c r="D1970" s="10"/>
      <c r="E1970" s="10"/>
      <c r="F1970" s="16"/>
      <c r="G1970" s="10"/>
      <c r="H1970" s="10"/>
      <c r="I1970" s="10"/>
      <c r="J1970" s="10"/>
      <c r="K1970" s="10"/>
      <c r="L1970" s="10"/>
      <c r="M1970" s="14"/>
      <c r="N1970" s="17" t="str">
        <f aca="false">IF($B1970="","",IF($L1970="已完成",IF($M1970="","",$M1970-$B1970),IF(设置!$B$6&lt;$B1970,"",IF((设置!$B$6-$B1970)&gt;=设置!$B$5,"超期"&amp;(设置!$B$6-$B1970)&amp;"天","已等"&amp;(设置!$B$6-$B1970)&amp;"天"))))</f>
        <v/>
      </c>
      <c r="O1970" s="18" t="str">
        <f aca="false">IF(OR($D1970="",$E1970=""),"",COUNTIFS($D$7:$D1970,$D1970,$E$7:$E1970,$E1970))</f>
        <v/>
      </c>
      <c r="P1970" s="16"/>
      <c r="Q1970" s="19"/>
      <c r="R1970" s="10"/>
      <c r="S1970" s="16"/>
      <c r="T1970" s="0" t="str">
        <f aca="false">IF(OR($D1970="",单元查询!$B$3=""),"",IF($D1970&lt;&gt;单元查询!$B$3,"",IF(OR(单元查询!$D$3="",$E1970&amp;""=单元查询!$D$3&amp;""),IF(ISNUMBER($B1970),$B1970*10000,0)+ROW(),"")))</f>
        <v/>
      </c>
      <c r="U1970" s="0" t="str">
        <f aca="false">IF(OR($B1970="",$L1970="已完成"),"",IF(ISNUMBER($B1970),IF(设置!$B$6&lt;$B1970,"",(设置!$B$6-$B1970)*100000+ROW()),""))</f>
        <v/>
      </c>
      <c r="V1970" s="0" t="str">
        <f aca="false">IF(ISNUMBER($O1970),IF($O1970&gt;=2,IF(COUNTIFS($D1970:$D$2006,$D1970,$E1970:$E$2006,$E1970)=1,ROW(),""),""),"")</f>
        <v/>
      </c>
    </row>
    <row r="1971" customFormat="false" ht="15" hidden="false" customHeight="true" outlineLevel="0" collapsed="false">
      <c r="A1971" s="13" t="str">
        <f aca="false">IF(AND($B1971="",$D1971="",$E1971="",$F1971=""),"",IF(OR($B1971="",$D1971="",$E1971=""),"待补",IF($D1971="公共区域","公",IF($D1971="商铺","S",SUBSTITUTE($D1971,"栋","")))&amp;"-"&amp;$E1971&amp;"-"&amp;TEXT(MONTH($B1971),"00")&amp;TEXT(DAY($B1971),"00")&amp;IF(ISNUMBER($O1971),IF($O1971&gt;1,"-"&amp;TEXT($O1971,"00"),""),"")))</f>
        <v/>
      </c>
      <c r="B1971" s="14"/>
      <c r="C1971" s="10"/>
      <c r="D1971" s="10"/>
      <c r="E1971" s="10"/>
      <c r="F1971" s="16"/>
      <c r="G1971" s="10"/>
      <c r="H1971" s="10"/>
      <c r="I1971" s="10"/>
      <c r="J1971" s="10"/>
      <c r="K1971" s="10"/>
      <c r="L1971" s="10"/>
      <c r="M1971" s="14"/>
      <c r="N1971" s="17" t="str">
        <f aca="false">IF($B1971="","",IF($L1971="已完成",IF($M1971="","",$M1971-$B1971),IF(设置!$B$6&lt;$B1971,"",IF((设置!$B$6-$B1971)&gt;=设置!$B$5,"超期"&amp;(设置!$B$6-$B1971)&amp;"天","已等"&amp;(设置!$B$6-$B1971)&amp;"天"))))</f>
        <v/>
      </c>
      <c r="O1971" s="18" t="str">
        <f aca="false">IF(OR($D1971="",$E1971=""),"",COUNTIFS($D$7:$D1971,$D1971,$E$7:$E1971,$E1971))</f>
        <v/>
      </c>
      <c r="P1971" s="16"/>
      <c r="Q1971" s="19"/>
      <c r="R1971" s="10"/>
      <c r="S1971" s="16"/>
      <c r="T1971" s="0" t="str">
        <f aca="false">IF(OR($D1971="",单元查询!$B$3=""),"",IF($D1971&lt;&gt;单元查询!$B$3,"",IF(OR(单元查询!$D$3="",$E1971&amp;""=单元查询!$D$3&amp;""),IF(ISNUMBER($B1971),$B1971*10000,0)+ROW(),"")))</f>
        <v/>
      </c>
      <c r="U1971" s="0" t="str">
        <f aca="false">IF(OR($B1971="",$L1971="已完成"),"",IF(ISNUMBER($B1971),IF(设置!$B$6&lt;$B1971,"",(设置!$B$6-$B1971)*100000+ROW()),""))</f>
        <v/>
      </c>
      <c r="V1971" s="0" t="str">
        <f aca="false">IF(ISNUMBER($O1971),IF($O1971&gt;=2,IF(COUNTIFS($D1971:$D$2006,$D1971,$E1971:$E$2006,$E1971)=1,ROW(),""),""),"")</f>
        <v/>
      </c>
    </row>
    <row r="1972" customFormat="false" ht="15" hidden="false" customHeight="true" outlineLevel="0" collapsed="false">
      <c r="A1972" s="13" t="str">
        <f aca="false">IF(AND($B1972="",$D1972="",$E1972="",$F1972=""),"",IF(OR($B1972="",$D1972="",$E1972=""),"待补",IF($D1972="公共区域","公",IF($D1972="商铺","S",SUBSTITUTE($D1972,"栋","")))&amp;"-"&amp;$E1972&amp;"-"&amp;TEXT(MONTH($B1972),"00")&amp;TEXT(DAY($B1972),"00")&amp;IF(ISNUMBER($O1972),IF($O1972&gt;1,"-"&amp;TEXT($O1972,"00"),""),"")))</f>
        <v/>
      </c>
      <c r="B1972" s="14"/>
      <c r="C1972" s="10"/>
      <c r="D1972" s="10"/>
      <c r="E1972" s="10"/>
      <c r="F1972" s="16"/>
      <c r="G1972" s="10"/>
      <c r="H1972" s="10"/>
      <c r="I1972" s="10"/>
      <c r="J1972" s="10"/>
      <c r="K1972" s="10"/>
      <c r="L1972" s="10"/>
      <c r="M1972" s="14"/>
      <c r="N1972" s="17" t="str">
        <f aca="false">IF($B1972="","",IF($L1972="已完成",IF($M1972="","",$M1972-$B1972),IF(设置!$B$6&lt;$B1972,"",IF((设置!$B$6-$B1972)&gt;=设置!$B$5,"超期"&amp;(设置!$B$6-$B1972)&amp;"天","已等"&amp;(设置!$B$6-$B1972)&amp;"天"))))</f>
        <v/>
      </c>
      <c r="O1972" s="18" t="str">
        <f aca="false">IF(OR($D1972="",$E1972=""),"",COUNTIFS($D$7:$D1972,$D1972,$E$7:$E1972,$E1972))</f>
        <v/>
      </c>
      <c r="P1972" s="16"/>
      <c r="Q1972" s="19"/>
      <c r="R1972" s="10"/>
      <c r="S1972" s="16"/>
      <c r="T1972" s="0" t="str">
        <f aca="false">IF(OR($D1972="",单元查询!$B$3=""),"",IF($D1972&lt;&gt;单元查询!$B$3,"",IF(OR(单元查询!$D$3="",$E1972&amp;""=单元查询!$D$3&amp;""),IF(ISNUMBER($B1972),$B1972*10000,0)+ROW(),"")))</f>
        <v/>
      </c>
      <c r="U1972" s="0" t="str">
        <f aca="false">IF(OR($B1972="",$L1972="已完成"),"",IF(ISNUMBER($B1972),IF(设置!$B$6&lt;$B1972,"",(设置!$B$6-$B1972)*100000+ROW()),""))</f>
        <v/>
      </c>
      <c r="V1972" s="0" t="str">
        <f aca="false">IF(ISNUMBER($O1972),IF($O1972&gt;=2,IF(COUNTIFS($D1972:$D$2006,$D1972,$E1972:$E$2006,$E1972)=1,ROW(),""),""),"")</f>
        <v/>
      </c>
    </row>
    <row r="1973" customFormat="false" ht="15" hidden="false" customHeight="true" outlineLevel="0" collapsed="false">
      <c r="A1973" s="13" t="str">
        <f aca="false">IF(AND($B1973="",$D1973="",$E1973="",$F1973=""),"",IF(OR($B1973="",$D1973="",$E1973=""),"待补",IF($D1973="公共区域","公",IF($D1973="商铺","S",SUBSTITUTE($D1973,"栋","")))&amp;"-"&amp;$E1973&amp;"-"&amp;TEXT(MONTH($B1973),"00")&amp;TEXT(DAY($B1973),"00")&amp;IF(ISNUMBER($O1973),IF($O1973&gt;1,"-"&amp;TEXT($O1973,"00"),""),"")))</f>
        <v/>
      </c>
      <c r="B1973" s="14"/>
      <c r="C1973" s="10"/>
      <c r="D1973" s="10"/>
      <c r="E1973" s="10"/>
      <c r="F1973" s="16"/>
      <c r="G1973" s="10"/>
      <c r="H1973" s="10"/>
      <c r="I1973" s="10"/>
      <c r="J1973" s="10"/>
      <c r="K1973" s="10"/>
      <c r="L1973" s="10"/>
      <c r="M1973" s="14"/>
      <c r="N1973" s="17" t="str">
        <f aca="false">IF($B1973="","",IF($L1973="已完成",IF($M1973="","",$M1973-$B1973),IF(设置!$B$6&lt;$B1973,"",IF((设置!$B$6-$B1973)&gt;=设置!$B$5,"超期"&amp;(设置!$B$6-$B1973)&amp;"天","已等"&amp;(设置!$B$6-$B1973)&amp;"天"))))</f>
        <v/>
      </c>
      <c r="O1973" s="18" t="str">
        <f aca="false">IF(OR($D1973="",$E1973=""),"",COUNTIFS($D$7:$D1973,$D1973,$E$7:$E1973,$E1973))</f>
        <v/>
      </c>
      <c r="P1973" s="16"/>
      <c r="Q1973" s="19"/>
      <c r="R1973" s="10"/>
      <c r="S1973" s="16"/>
      <c r="T1973" s="0" t="str">
        <f aca="false">IF(OR($D1973="",单元查询!$B$3=""),"",IF($D1973&lt;&gt;单元查询!$B$3,"",IF(OR(单元查询!$D$3="",$E1973&amp;""=单元查询!$D$3&amp;""),IF(ISNUMBER($B1973),$B1973*10000,0)+ROW(),"")))</f>
        <v/>
      </c>
      <c r="U1973" s="0" t="str">
        <f aca="false">IF(OR($B1973="",$L1973="已完成"),"",IF(ISNUMBER($B1973),IF(设置!$B$6&lt;$B1973,"",(设置!$B$6-$B1973)*100000+ROW()),""))</f>
        <v/>
      </c>
      <c r="V1973" s="0" t="str">
        <f aca="false">IF(ISNUMBER($O1973),IF($O1973&gt;=2,IF(COUNTIFS($D1973:$D$2006,$D1973,$E1973:$E$2006,$E1973)=1,ROW(),""),""),"")</f>
        <v/>
      </c>
    </row>
    <row r="1974" customFormat="false" ht="15" hidden="false" customHeight="true" outlineLevel="0" collapsed="false">
      <c r="A1974" s="13" t="str">
        <f aca="false">IF(AND($B1974="",$D1974="",$E1974="",$F1974=""),"",IF(OR($B1974="",$D1974="",$E1974=""),"待补",IF($D1974="公共区域","公",IF($D1974="商铺","S",SUBSTITUTE($D1974,"栋","")))&amp;"-"&amp;$E1974&amp;"-"&amp;TEXT(MONTH($B1974),"00")&amp;TEXT(DAY($B1974),"00")&amp;IF(ISNUMBER($O1974),IF($O1974&gt;1,"-"&amp;TEXT($O1974,"00"),""),"")))</f>
        <v/>
      </c>
      <c r="B1974" s="14"/>
      <c r="C1974" s="10"/>
      <c r="D1974" s="10"/>
      <c r="E1974" s="10"/>
      <c r="F1974" s="16"/>
      <c r="G1974" s="10"/>
      <c r="H1974" s="10"/>
      <c r="I1974" s="10"/>
      <c r="J1974" s="10"/>
      <c r="K1974" s="10"/>
      <c r="L1974" s="10"/>
      <c r="M1974" s="14"/>
      <c r="N1974" s="17" t="str">
        <f aca="false">IF($B1974="","",IF($L1974="已完成",IF($M1974="","",$M1974-$B1974),IF(设置!$B$6&lt;$B1974,"",IF((设置!$B$6-$B1974)&gt;=设置!$B$5,"超期"&amp;(设置!$B$6-$B1974)&amp;"天","已等"&amp;(设置!$B$6-$B1974)&amp;"天"))))</f>
        <v/>
      </c>
      <c r="O1974" s="18" t="str">
        <f aca="false">IF(OR($D1974="",$E1974=""),"",COUNTIFS($D$7:$D1974,$D1974,$E$7:$E1974,$E1974))</f>
        <v/>
      </c>
      <c r="P1974" s="16"/>
      <c r="Q1974" s="19"/>
      <c r="R1974" s="10"/>
      <c r="S1974" s="16"/>
      <c r="T1974" s="0" t="str">
        <f aca="false">IF(OR($D1974="",单元查询!$B$3=""),"",IF($D1974&lt;&gt;单元查询!$B$3,"",IF(OR(单元查询!$D$3="",$E1974&amp;""=单元查询!$D$3&amp;""),IF(ISNUMBER($B1974),$B1974*10000,0)+ROW(),"")))</f>
        <v/>
      </c>
      <c r="U1974" s="0" t="str">
        <f aca="false">IF(OR($B1974="",$L1974="已完成"),"",IF(ISNUMBER($B1974),IF(设置!$B$6&lt;$B1974,"",(设置!$B$6-$B1974)*100000+ROW()),""))</f>
        <v/>
      </c>
      <c r="V1974" s="0" t="str">
        <f aca="false">IF(ISNUMBER($O1974),IF($O1974&gt;=2,IF(COUNTIFS($D1974:$D$2006,$D1974,$E1974:$E$2006,$E1974)=1,ROW(),""),""),"")</f>
        <v/>
      </c>
    </row>
    <row r="1975" customFormat="false" ht="15" hidden="false" customHeight="true" outlineLevel="0" collapsed="false">
      <c r="A1975" s="13" t="str">
        <f aca="false">IF(AND($B1975="",$D1975="",$E1975="",$F1975=""),"",IF(OR($B1975="",$D1975="",$E1975=""),"待补",IF($D1975="公共区域","公",IF($D1975="商铺","S",SUBSTITUTE($D1975,"栋","")))&amp;"-"&amp;$E1975&amp;"-"&amp;TEXT(MONTH($B1975),"00")&amp;TEXT(DAY($B1975),"00")&amp;IF(ISNUMBER($O1975),IF($O1975&gt;1,"-"&amp;TEXT($O1975,"00"),""),"")))</f>
        <v/>
      </c>
      <c r="B1975" s="14"/>
      <c r="C1975" s="10"/>
      <c r="D1975" s="10"/>
      <c r="E1975" s="10"/>
      <c r="F1975" s="16"/>
      <c r="G1975" s="10"/>
      <c r="H1975" s="10"/>
      <c r="I1975" s="10"/>
      <c r="J1975" s="10"/>
      <c r="K1975" s="10"/>
      <c r="L1975" s="10"/>
      <c r="M1975" s="14"/>
      <c r="N1975" s="17" t="str">
        <f aca="false">IF($B1975="","",IF($L1975="已完成",IF($M1975="","",$M1975-$B1975),IF(设置!$B$6&lt;$B1975,"",IF((设置!$B$6-$B1975)&gt;=设置!$B$5,"超期"&amp;(设置!$B$6-$B1975)&amp;"天","已等"&amp;(设置!$B$6-$B1975)&amp;"天"))))</f>
        <v/>
      </c>
      <c r="O1975" s="18" t="str">
        <f aca="false">IF(OR($D1975="",$E1975=""),"",COUNTIFS($D$7:$D1975,$D1975,$E$7:$E1975,$E1975))</f>
        <v/>
      </c>
      <c r="P1975" s="16"/>
      <c r="Q1975" s="19"/>
      <c r="R1975" s="10"/>
      <c r="S1975" s="16"/>
      <c r="T1975" s="0" t="str">
        <f aca="false">IF(OR($D1975="",单元查询!$B$3=""),"",IF($D1975&lt;&gt;单元查询!$B$3,"",IF(OR(单元查询!$D$3="",$E1975&amp;""=单元查询!$D$3&amp;""),IF(ISNUMBER($B1975),$B1975*10000,0)+ROW(),"")))</f>
        <v/>
      </c>
      <c r="U1975" s="0" t="str">
        <f aca="false">IF(OR($B1975="",$L1975="已完成"),"",IF(ISNUMBER($B1975),IF(设置!$B$6&lt;$B1975,"",(设置!$B$6-$B1975)*100000+ROW()),""))</f>
        <v/>
      </c>
      <c r="V1975" s="0" t="str">
        <f aca="false">IF(ISNUMBER($O1975),IF($O1975&gt;=2,IF(COUNTIFS($D1975:$D$2006,$D1975,$E1975:$E$2006,$E1975)=1,ROW(),""),""),"")</f>
        <v/>
      </c>
    </row>
    <row r="1976" customFormat="false" ht="15" hidden="false" customHeight="true" outlineLevel="0" collapsed="false">
      <c r="A1976" s="13" t="str">
        <f aca="false">IF(AND($B1976="",$D1976="",$E1976="",$F1976=""),"",IF(OR($B1976="",$D1976="",$E1976=""),"待补",IF($D1976="公共区域","公",IF($D1976="商铺","S",SUBSTITUTE($D1976,"栋","")))&amp;"-"&amp;$E1976&amp;"-"&amp;TEXT(MONTH($B1976),"00")&amp;TEXT(DAY($B1976),"00")&amp;IF(ISNUMBER($O1976),IF($O1976&gt;1,"-"&amp;TEXT($O1976,"00"),""),"")))</f>
        <v/>
      </c>
      <c r="B1976" s="14"/>
      <c r="C1976" s="10"/>
      <c r="D1976" s="10"/>
      <c r="E1976" s="10"/>
      <c r="F1976" s="16"/>
      <c r="G1976" s="10"/>
      <c r="H1976" s="10"/>
      <c r="I1976" s="10"/>
      <c r="J1976" s="10"/>
      <c r="K1976" s="10"/>
      <c r="L1976" s="10"/>
      <c r="M1976" s="14"/>
      <c r="N1976" s="17" t="str">
        <f aca="false">IF($B1976="","",IF($L1976="已完成",IF($M1976="","",$M1976-$B1976),IF(设置!$B$6&lt;$B1976,"",IF((设置!$B$6-$B1976)&gt;=设置!$B$5,"超期"&amp;(设置!$B$6-$B1976)&amp;"天","已等"&amp;(设置!$B$6-$B1976)&amp;"天"))))</f>
        <v/>
      </c>
      <c r="O1976" s="18" t="str">
        <f aca="false">IF(OR($D1976="",$E1976=""),"",COUNTIFS($D$7:$D1976,$D1976,$E$7:$E1976,$E1976))</f>
        <v/>
      </c>
      <c r="P1976" s="16"/>
      <c r="Q1976" s="19"/>
      <c r="R1976" s="10"/>
      <c r="S1976" s="16"/>
      <c r="T1976" s="0" t="str">
        <f aca="false">IF(OR($D1976="",单元查询!$B$3=""),"",IF($D1976&lt;&gt;单元查询!$B$3,"",IF(OR(单元查询!$D$3="",$E1976&amp;""=单元查询!$D$3&amp;""),IF(ISNUMBER($B1976),$B1976*10000,0)+ROW(),"")))</f>
        <v/>
      </c>
      <c r="U1976" s="0" t="str">
        <f aca="false">IF(OR($B1976="",$L1976="已完成"),"",IF(ISNUMBER($B1976),IF(设置!$B$6&lt;$B1976,"",(设置!$B$6-$B1976)*100000+ROW()),""))</f>
        <v/>
      </c>
      <c r="V1976" s="0" t="str">
        <f aca="false">IF(ISNUMBER($O1976),IF($O1976&gt;=2,IF(COUNTIFS($D1976:$D$2006,$D1976,$E1976:$E$2006,$E1976)=1,ROW(),""),""),"")</f>
        <v/>
      </c>
    </row>
    <row r="1977" customFormat="false" ht="15" hidden="false" customHeight="true" outlineLevel="0" collapsed="false">
      <c r="A1977" s="13" t="str">
        <f aca="false">IF(AND($B1977="",$D1977="",$E1977="",$F1977=""),"",IF(OR($B1977="",$D1977="",$E1977=""),"待补",IF($D1977="公共区域","公",IF($D1977="商铺","S",SUBSTITUTE($D1977,"栋","")))&amp;"-"&amp;$E1977&amp;"-"&amp;TEXT(MONTH($B1977),"00")&amp;TEXT(DAY($B1977),"00")&amp;IF(ISNUMBER($O1977),IF($O1977&gt;1,"-"&amp;TEXT($O1977,"00"),""),"")))</f>
        <v/>
      </c>
      <c r="B1977" s="14"/>
      <c r="C1977" s="10"/>
      <c r="D1977" s="10"/>
      <c r="E1977" s="10"/>
      <c r="F1977" s="16"/>
      <c r="G1977" s="10"/>
      <c r="H1977" s="10"/>
      <c r="I1977" s="10"/>
      <c r="J1977" s="10"/>
      <c r="K1977" s="10"/>
      <c r="L1977" s="10"/>
      <c r="M1977" s="14"/>
      <c r="N1977" s="17" t="str">
        <f aca="false">IF($B1977="","",IF($L1977="已完成",IF($M1977="","",$M1977-$B1977),IF(设置!$B$6&lt;$B1977,"",IF((设置!$B$6-$B1977)&gt;=设置!$B$5,"超期"&amp;(设置!$B$6-$B1977)&amp;"天","已等"&amp;(设置!$B$6-$B1977)&amp;"天"))))</f>
        <v/>
      </c>
      <c r="O1977" s="18" t="str">
        <f aca="false">IF(OR($D1977="",$E1977=""),"",COUNTIFS($D$7:$D1977,$D1977,$E$7:$E1977,$E1977))</f>
        <v/>
      </c>
      <c r="P1977" s="16"/>
      <c r="Q1977" s="19"/>
      <c r="R1977" s="10"/>
      <c r="S1977" s="16"/>
      <c r="T1977" s="0" t="str">
        <f aca="false">IF(OR($D1977="",单元查询!$B$3=""),"",IF($D1977&lt;&gt;单元查询!$B$3,"",IF(OR(单元查询!$D$3="",$E1977&amp;""=单元查询!$D$3&amp;""),IF(ISNUMBER($B1977),$B1977*10000,0)+ROW(),"")))</f>
        <v/>
      </c>
      <c r="U1977" s="0" t="str">
        <f aca="false">IF(OR($B1977="",$L1977="已完成"),"",IF(ISNUMBER($B1977),IF(设置!$B$6&lt;$B1977,"",(设置!$B$6-$B1977)*100000+ROW()),""))</f>
        <v/>
      </c>
      <c r="V1977" s="0" t="str">
        <f aca="false">IF(ISNUMBER($O1977),IF($O1977&gt;=2,IF(COUNTIFS($D1977:$D$2006,$D1977,$E1977:$E$2006,$E1977)=1,ROW(),""),""),"")</f>
        <v/>
      </c>
    </row>
    <row r="1978" customFormat="false" ht="15" hidden="false" customHeight="true" outlineLevel="0" collapsed="false">
      <c r="A1978" s="13" t="str">
        <f aca="false">IF(AND($B1978="",$D1978="",$E1978="",$F1978=""),"",IF(OR($B1978="",$D1978="",$E1978=""),"待补",IF($D1978="公共区域","公",IF($D1978="商铺","S",SUBSTITUTE($D1978,"栋","")))&amp;"-"&amp;$E1978&amp;"-"&amp;TEXT(MONTH($B1978),"00")&amp;TEXT(DAY($B1978),"00")&amp;IF(ISNUMBER($O1978),IF($O1978&gt;1,"-"&amp;TEXT($O1978,"00"),""),"")))</f>
        <v/>
      </c>
      <c r="B1978" s="14"/>
      <c r="C1978" s="10"/>
      <c r="D1978" s="10"/>
      <c r="E1978" s="10"/>
      <c r="F1978" s="16"/>
      <c r="G1978" s="10"/>
      <c r="H1978" s="10"/>
      <c r="I1978" s="10"/>
      <c r="J1978" s="10"/>
      <c r="K1978" s="10"/>
      <c r="L1978" s="10"/>
      <c r="M1978" s="14"/>
      <c r="N1978" s="17" t="str">
        <f aca="false">IF($B1978="","",IF($L1978="已完成",IF($M1978="","",$M1978-$B1978),IF(设置!$B$6&lt;$B1978,"",IF((设置!$B$6-$B1978)&gt;=设置!$B$5,"超期"&amp;(设置!$B$6-$B1978)&amp;"天","已等"&amp;(设置!$B$6-$B1978)&amp;"天"))))</f>
        <v/>
      </c>
      <c r="O1978" s="18" t="str">
        <f aca="false">IF(OR($D1978="",$E1978=""),"",COUNTIFS($D$7:$D1978,$D1978,$E$7:$E1978,$E1978))</f>
        <v/>
      </c>
      <c r="P1978" s="16"/>
      <c r="Q1978" s="19"/>
      <c r="R1978" s="10"/>
      <c r="S1978" s="16"/>
      <c r="T1978" s="0" t="str">
        <f aca="false">IF(OR($D1978="",单元查询!$B$3=""),"",IF($D1978&lt;&gt;单元查询!$B$3,"",IF(OR(单元查询!$D$3="",$E1978&amp;""=单元查询!$D$3&amp;""),IF(ISNUMBER($B1978),$B1978*10000,0)+ROW(),"")))</f>
        <v/>
      </c>
      <c r="U1978" s="0" t="str">
        <f aca="false">IF(OR($B1978="",$L1978="已完成"),"",IF(ISNUMBER($B1978),IF(设置!$B$6&lt;$B1978,"",(设置!$B$6-$B1978)*100000+ROW()),""))</f>
        <v/>
      </c>
      <c r="V1978" s="0" t="str">
        <f aca="false">IF(ISNUMBER($O1978),IF($O1978&gt;=2,IF(COUNTIFS($D1978:$D$2006,$D1978,$E1978:$E$2006,$E1978)=1,ROW(),""),""),"")</f>
        <v/>
      </c>
    </row>
    <row r="1979" customFormat="false" ht="15" hidden="false" customHeight="true" outlineLevel="0" collapsed="false">
      <c r="A1979" s="13" t="str">
        <f aca="false">IF(AND($B1979="",$D1979="",$E1979="",$F1979=""),"",IF(OR($B1979="",$D1979="",$E1979=""),"待补",IF($D1979="公共区域","公",IF($D1979="商铺","S",SUBSTITUTE($D1979,"栋","")))&amp;"-"&amp;$E1979&amp;"-"&amp;TEXT(MONTH($B1979),"00")&amp;TEXT(DAY($B1979),"00")&amp;IF(ISNUMBER($O1979),IF($O1979&gt;1,"-"&amp;TEXT($O1979,"00"),""),"")))</f>
        <v/>
      </c>
      <c r="B1979" s="14"/>
      <c r="C1979" s="10"/>
      <c r="D1979" s="10"/>
      <c r="E1979" s="10"/>
      <c r="F1979" s="16"/>
      <c r="G1979" s="10"/>
      <c r="H1979" s="10"/>
      <c r="I1979" s="10"/>
      <c r="J1979" s="10"/>
      <c r="K1979" s="10"/>
      <c r="L1979" s="10"/>
      <c r="M1979" s="14"/>
      <c r="N1979" s="17" t="str">
        <f aca="false">IF($B1979="","",IF($L1979="已完成",IF($M1979="","",$M1979-$B1979),IF(设置!$B$6&lt;$B1979,"",IF((设置!$B$6-$B1979)&gt;=设置!$B$5,"超期"&amp;(设置!$B$6-$B1979)&amp;"天","已等"&amp;(设置!$B$6-$B1979)&amp;"天"))))</f>
        <v/>
      </c>
      <c r="O1979" s="18" t="str">
        <f aca="false">IF(OR($D1979="",$E1979=""),"",COUNTIFS($D$7:$D1979,$D1979,$E$7:$E1979,$E1979))</f>
        <v/>
      </c>
      <c r="P1979" s="16"/>
      <c r="Q1979" s="19"/>
      <c r="R1979" s="10"/>
      <c r="S1979" s="16"/>
      <c r="T1979" s="0" t="str">
        <f aca="false">IF(OR($D1979="",单元查询!$B$3=""),"",IF($D1979&lt;&gt;单元查询!$B$3,"",IF(OR(单元查询!$D$3="",$E1979&amp;""=单元查询!$D$3&amp;""),IF(ISNUMBER($B1979),$B1979*10000,0)+ROW(),"")))</f>
        <v/>
      </c>
      <c r="U1979" s="0" t="str">
        <f aca="false">IF(OR($B1979="",$L1979="已完成"),"",IF(ISNUMBER($B1979),IF(设置!$B$6&lt;$B1979,"",(设置!$B$6-$B1979)*100000+ROW()),""))</f>
        <v/>
      </c>
      <c r="V1979" s="0" t="str">
        <f aca="false">IF(ISNUMBER($O1979),IF($O1979&gt;=2,IF(COUNTIFS($D1979:$D$2006,$D1979,$E1979:$E$2006,$E1979)=1,ROW(),""),""),"")</f>
        <v/>
      </c>
    </row>
    <row r="1980" customFormat="false" ht="15" hidden="false" customHeight="true" outlineLevel="0" collapsed="false">
      <c r="A1980" s="13" t="str">
        <f aca="false">IF(AND($B1980="",$D1980="",$E1980="",$F1980=""),"",IF(OR($B1980="",$D1980="",$E1980=""),"待补",IF($D1980="公共区域","公",IF($D1980="商铺","S",SUBSTITUTE($D1980,"栋","")))&amp;"-"&amp;$E1980&amp;"-"&amp;TEXT(MONTH($B1980),"00")&amp;TEXT(DAY($B1980),"00")&amp;IF(ISNUMBER($O1980),IF($O1980&gt;1,"-"&amp;TEXT($O1980,"00"),""),"")))</f>
        <v/>
      </c>
      <c r="B1980" s="14"/>
      <c r="C1980" s="10"/>
      <c r="D1980" s="10"/>
      <c r="E1980" s="10"/>
      <c r="F1980" s="16"/>
      <c r="G1980" s="10"/>
      <c r="H1980" s="10"/>
      <c r="I1980" s="10"/>
      <c r="J1980" s="10"/>
      <c r="K1980" s="10"/>
      <c r="L1980" s="10"/>
      <c r="M1980" s="14"/>
      <c r="N1980" s="17" t="str">
        <f aca="false">IF($B1980="","",IF($L1980="已完成",IF($M1980="","",$M1980-$B1980),IF(设置!$B$6&lt;$B1980,"",IF((设置!$B$6-$B1980)&gt;=设置!$B$5,"超期"&amp;(设置!$B$6-$B1980)&amp;"天","已等"&amp;(设置!$B$6-$B1980)&amp;"天"))))</f>
        <v/>
      </c>
      <c r="O1980" s="18" t="str">
        <f aca="false">IF(OR($D1980="",$E1980=""),"",COUNTIFS($D$7:$D1980,$D1980,$E$7:$E1980,$E1980))</f>
        <v/>
      </c>
      <c r="P1980" s="16"/>
      <c r="Q1980" s="19"/>
      <c r="R1980" s="10"/>
      <c r="S1980" s="16"/>
      <c r="T1980" s="0" t="str">
        <f aca="false">IF(OR($D1980="",单元查询!$B$3=""),"",IF($D1980&lt;&gt;单元查询!$B$3,"",IF(OR(单元查询!$D$3="",$E1980&amp;""=单元查询!$D$3&amp;""),IF(ISNUMBER($B1980),$B1980*10000,0)+ROW(),"")))</f>
        <v/>
      </c>
      <c r="U1980" s="0" t="str">
        <f aca="false">IF(OR($B1980="",$L1980="已完成"),"",IF(ISNUMBER($B1980),IF(设置!$B$6&lt;$B1980,"",(设置!$B$6-$B1980)*100000+ROW()),""))</f>
        <v/>
      </c>
      <c r="V1980" s="0" t="str">
        <f aca="false">IF(ISNUMBER($O1980),IF($O1980&gt;=2,IF(COUNTIFS($D1980:$D$2006,$D1980,$E1980:$E$2006,$E1980)=1,ROW(),""),""),"")</f>
        <v/>
      </c>
    </row>
    <row r="1981" customFormat="false" ht="15" hidden="false" customHeight="true" outlineLevel="0" collapsed="false">
      <c r="A1981" s="13" t="str">
        <f aca="false">IF(AND($B1981="",$D1981="",$E1981="",$F1981=""),"",IF(OR($B1981="",$D1981="",$E1981=""),"待补",IF($D1981="公共区域","公",IF($D1981="商铺","S",SUBSTITUTE($D1981,"栋","")))&amp;"-"&amp;$E1981&amp;"-"&amp;TEXT(MONTH($B1981),"00")&amp;TEXT(DAY($B1981),"00")&amp;IF(ISNUMBER($O1981),IF($O1981&gt;1,"-"&amp;TEXT($O1981,"00"),""),"")))</f>
        <v/>
      </c>
      <c r="B1981" s="14"/>
      <c r="C1981" s="10"/>
      <c r="D1981" s="10"/>
      <c r="E1981" s="10"/>
      <c r="F1981" s="16"/>
      <c r="G1981" s="10"/>
      <c r="H1981" s="10"/>
      <c r="I1981" s="10"/>
      <c r="J1981" s="10"/>
      <c r="K1981" s="10"/>
      <c r="L1981" s="10"/>
      <c r="M1981" s="14"/>
      <c r="N1981" s="17" t="str">
        <f aca="false">IF($B1981="","",IF($L1981="已完成",IF($M1981="","",$M1981-$B1981),IF(设置!$B$6&lt;$B1981,"",IF((设置!$B$6-$B1981)&gt;=设置!$B$5,"超期"&amp;(设置!$B$6-$B1981)&amp;"天","已等"&amp;(设置!$B$6-$B1981)&amp;"天"))))</f>
        <v/>
      </c>
      <c r="O1981" s="18" t="str">
        <f aca="false">IF(OR($D1981="",$E1981=""),"",COUNTIFS($D$7:$D1981,$D1981,$E$7:$E1981,$E1981))</f>
        <v/>
      </c>
      <c r="P1981" s="16"/>
      <c r="Q1981" s="19"/>
      <c r="R1981" s="10"/>
      <c r="S1981" s="16"/>
      <c r="T1981" s="0" t="str">
        <f aca="false">IF(OR($D1981="",单元查询!$B$3=""),"",IF($D1981&lt;&gt;单元查询!$B$3,"",IF(OR(单元查询!$D$3="",$E1981&amp;""=单元查询!$D$3&amp;""),IF(ISNUMBER($B1981),$B1981*10000,0)+ROW(),"")))</f>
        <v/>
      </c>
      <c r="U1981" s="0" t="str">
        <f aca="false">IF(OR($B1981="",$L1981="已完成"),"",IF(ISNUMBER($B1981),IF(设置!$B$6&lt;$B1981,"",(设置!$B$6-$B1981)*100000+ROW()),""))</f>
        <v/>
      </c>
      <c r="V1981" s="0" t="str">
        <f aca="false">IF(ISNUMBER($O1981),IF($O1981&gt;=2,IF(COUNTIFS($D1981:$D$2006,$D1981,$E1981:$E$2006,$E1981)=1,ROW(),""),""),"")</f>
        <v/>
      </c>
    </row>
    <row r="1982" customFormat="false" ht="15" hidden="false" customHeight="true" outlineLevel="0" collapsed="false">
      <c r="A1982" s="13" t="str">
        <f aca="false">IF(AND($B1982="",$D1982="",$E1982="",$F1982=""),"",IF(OR($B1982="",$D1982="",$E1982=""),"待补",IF($D1982="公共区域","公",IF($D1982="商铺","S",SUBSTITUTE($D1982,"栋","")))&amp;"-"&amp;$E1982&amp;"-"&amp;TEXT(MONTH($B1982),"00")&amp;TEXT(DAY($B1982),"00")&amp;IF(ISNUMBER($O1982),IF($O1982&gt;1,"-"&amp;TEXT($O1982,"00"),""),"")))</f>
        <v/>
      </c>
      <c r="B1982" s="14"/>
      <c r="C1982" s="10"/>
      <c r="D1982" s="10"/>
      <c r="E1982" s="10"/>
      <c r="F1982" s="16"/>
      <c r="G1982" s="10"/>
      <c r="H1982" s="10"/>
      <c r="I1982" s="10"/>
      <c r="J1982" s="10"/>
      <c r="K1982" s="10"/>
      <c r="L1982" s="10"/>
      <c r="M1982" s="14"/>
      <c r="N1982" s="17" t="str">
        <f aca="false">IF($B1982="","",IF($L1982="已完成",IF($M1982="","",$M1982-$B1982),IF(设置!$B$6&lt;$B1982,"",IF((设置!$B$6-$B1982)&gt;=设置!$B$5,"超期"&amp;(设置!$B$6-$B1982)&amp;"天","已等"&amp;(设置!$B$6-$B1982)&amp;"天"))))</f>
        <v/>
      </c>
      <c r="O1982" s="18" t="str">
        <f aca="false">IF(OR($D1982="",$E1982=""),"",COUNTIFS($D$7:$D1982,$D1982,$E$7:$E1982,$E1982))</f>
        <v/>
      </c>
      <c r="P1982" s="16"/>
      <c r="Q1982" s="19"/>
      <c r="R1982" s="10"/>
      <c r="S1982" s="16"/>
      <c r="T1982" s="0" t="str">
        <f aca="false">IF(OR($D1982="",单元查询!$B$3=""),"",IF($D1982&lt;&gt;单元查询!$B$3,"",IF(OR(单元查询!$D$3="",$E1982&amp;""=单元查询!$D$3&amp;""),IF(ISNUMBER($B1982),$B1982*10000,0)+ROW(),"")))</f>
        <v/>
      </c>
      <c r="U1982" s="0" t="str">
        <f aca="false">IF(OR($B1982="",$L1982="已完成"),"",IF(ISNUMBER($B1982),IF(设置!$B$6&lt;$B1982,"",(设置!$B$6-$B1982)*100000+ROW()),""))</f>
        <v/>
      </c>
      <c r="V1982" s="0" t="str">
        <f aca="false">IF(ISNUMBER($O1982),IF($O1982&gt;=2,IF(COUNTIFS($D1982:$D$2006,$D1982,$E1982:$E$2006,$E1982)=1,ROW(),""),""),"")</f>
        <v/>
      </c>
    </row>
    <row r="1983" customFormat="false" ht="15" hidden="false" customHeight="true" outlineLevel="0" collapsed="false">
      <c r="A1983" s="13" t="str">
        <f aca="false">IF(AND($B1983="",$D1983="",$E1983="",$F1983=""),"",IF(OR($B1983="",$D1983="",$E1983=""),"待补",IF($D1983="公共区域","公",IF($D1983="商铺","S",SUBSTITUTE($D1983,"栋","")))&amp;"-"&amp;$E1983&amp;"-"&amp;TEXT(MONTH($B1983),"00")&amp;TEXT(DAY($B1983),"00")&amp;IF(ISNUMBER($O1983),IF($O1983&gt;1,"-"&amp;TEXT($O1983,"00"),""),"")))</f>
        <v/>
      </c>
      <c r="B1983" s="14"/>
      <c r="C1983" s="10"/>
      <c r="D1983" s="10"/>
      <c r="E1983" s="10"/>
      <c r="F1983" s="16"/>
      <c r="G1983" s="10"/>
      <c r="H1983" s="10"/>
      <c r="I1983" s="10"/>
      <c r="J1983" s="10"/>
      <c r="K1983" s="10"/>
      <c r="L1983" s="10"/>
      <c r="M1983" s="14"/>
      <c r="N1983" s="17" t="str">
        <f aca="false">IF($B1983="","",IF($L1983="已完成",IF($M1983="","",$M1983-$B1983),IF(设置!$B$6&lt;$B1983,"",IF((设置!$B$6-$B1983)&gt;=设置!$B$5,"超期"&amp;(设置!$B$6-$B1983)&amp;"天","已等"&amp;(设置!$B$6-$B1983)&amp;"天"))))</f>
        <v/>
      </c>
      <c r="O1983" s="18" t="str">
        <f aca="false">IF(OR($D1983="",$E1983=""),"",COUNTIFS($D$7:$D1983,$D1983,$E$7:$E1983,$E1983))</f>
        <v/>
      </c>
      <c r="P1983" s="16"/>
      <c r="Q1983" s="19"/>
      <c r="R1983" s="10"/>
      <c r="S1983" s="16"/>
      <c r="T1983" s="0" t="str">
        <f aca="false">IF(OR($D1983="",单元查询!$B$3=""),"",IF($D1983&lt;&gt;单元查询!$B$3,"",IF(OR(单元查询!$D$3="",$E1983&amp;""=单元查询!$D$3&amp;""),IF(ISNUMBER($B1983),$B1983*10000,0)+ROW(),"")))</f>
        <v/>
      </c>
      <c r="U1983" s="0" t="str">
        <f aca="false">IF(OR($B1983="",$L1983="已完成"),"",IF(ISNUMBER($B1983),IF(设置!$B$6&lt;$B1983,"",(设置!$B$6-$B1983)*100000+ROW()),""))</f>
        <v/>
      </c>
      <c r="V1983" s="0" t="str">
        <f aca="false">IF(ISNUMBER($O1983),IF($O1983&gt;=2,IF(COUNTIFS($D1983:$D$2006,$D1983,$E1983:$E$2006,$E1983)=1,ROW(),""),""),"")</f>
        <v/>
      </c>
    </row>
    <row r="1984" customFormat="false" ht="15" hidden="false" customHeight="true" outlineLevel="0" collapsed="false">
      <c r="A1984" s="13" t="str">
        <f aca="false">IF(AND($B1984="",$D1984="",$E1984="",$F1984=""),"",IF(OR($B1984="",$D1984="",$E1984=""),"待补",IF($D1984="公共区域","公",IF($D1984="商铺","S",SUBSTITUTE($D1984,"栋","")))&amp;"-"&amp;$E1984&amp;"-"&amp;TEXT(MONTH($B1984),"00")&amp;TEXT(DAY($B1984),"00")&amp;IF(ISNUMBER($O1984),IF($O1984&gt;1,"-"&amp;TEXT($O1984,"00"),""),"")))</f>
        <v/>
      </c>
      <c r="B1984" s="14"/>
      <c r="C1984" s="10"/>
      <c r="D1984" s="10"/>
      <c r="E1984" s="10"/>
      <c r="F1984" s="16"/>
      <c r="G1984" s="10"/>
      <c r="H1984" s="10"/>
      <c r="I1984" s="10"/>
      <c r="J1984" s="10"/>
      <c r="K1984" s="10"/>
      <c r="L1984" s="10"/>
      <c r="M1984" s="14"/>
      <c r="N1984" s="17" t="str">
        <f aca="false">IF($B1984="","",IF($L1984="已完成",IF($M1984="","",$M1984-$B1984),IF(设置!$B$6&lt;$B1984,"",IF((设置!$B$6-$B1984)&gt;=设置!$B$5,"超期"&amp;(设置!$B$6-$B1984)&amp;"天","已等"&amp;(设置!$B$6-$B1984)&amp;"天"))))</f>
        <v/>
      </c>
      <c r="O1984" s="18" t="str">
        <f aca="false">IF(OR($D1984="",$E1984=""),"",COUNTIFS($D$7:$D1984,$D1984,$E$7:$E1984,$E1984))</f>
        <v/>
      </c>
      <c r="P1984" s="16"/>
      <c r="Q1984" s="19"/>
      <c r="R1984" s="10"/>
      <c r="S1984" s="16"/>
      <c r="T1984" s="0" t="str">
        <f aca="false">IF(OR($D1984="",单元查询!$B$3=""),"",IF($D1984&lt;&gt;单元查询!$B$3,"",IF(OR(单元查询!$D$3="",$E1984&amp;""=单元查询!$D$3&amp;""),IF(ISNUMBER($B1984),$B1984*10000,0)+ROW(),"")))</f>
        <v/>
      </c>
      <c r="U1984" s="0" t="str">
        <f aca="false">IF(OR($B1984="",$L1984="已完成"),"",IF(ISNUMBER($B1984),IF(设置!$B$6&lt;$B1984,"",(设置!$B$6-$B1984)*100000+ROW()),""))</f>
        <v/>
      </c>
      <c r="V1984" s="0" t="str">
        <f aca="false">IF(ISNUMBER($O1984),IF($O1984&gt;=2,IF(COUNTIFS($D1984:$D$2006,$D1984,$E1984:$E$2006,$E1984)=1,ROW(),""),""),"")</f>
        <v/>
      </c>
    </row>
    <row r="1985" customFormat="false" ht="15" hidden="false" customHeight="true" outlineLevel="0" collapsed="false">
      <c r="A1985" s="13" t="str">
        <f aca="false">IF(AND($B1985="",$D1985="",$E1985="",$F1985=""),"",IF(OR($B1985="",$D1985="",$E1985=""),"待补",IF($D1985="公共区域","公",IF($D1985="商铺","S",SUBSTITUTE($D1985,"栋","")))&amp;"-"&amp;$E1985&amp;"-"&amp;TEXT(MONTH($B1985),"00")&amp;TEXT(DAY($B1985),"00")&amp;IF(ISNUMBER($O1985),IF($O1985&gt;1,"-"&amp;TEXT($O1985,"00"),""),"")))</f>
        <v/>
      </c>
      <c r="B1985" s="14"/>
      <c r="C1985" s="10"/>
      <c r="D1985" s="10"/>
      <c r="E1985" s="10"/>
      <c r="F1985" s="16"/>
      <c r="G1985" s="10"/>
      <c r="H1985" s="10"/>
      <c r="I1985" s="10"/>
      <c r="J1985" s="10"/>
      <c r="K1985" s="10"/>
      <c r="L1985" s="10"/>
      <c r="M1985" s="14"/>
      <c r="N1985" s="17" t="str">
        <f aca="false">IF($B1985="","",IF($L1985="已完成",IF($M1985="","",$M1985-$B1985),IF(设置!$B$6&lt;$B1985,"",IF((设置!$B$6-$B1985)&gt;=设置!$B$5,"超期"&amp;(设置!$B$6-$B1985)&amp;"天","已等"&amp;(设置!$B$6-$B1985)&amp;"天"))))</f>
        <v/>
      </c>
      <c r="O1985" s="18" t="str">
        <f aca="false">IF(OR($D1985="",$E1985=""),"",COUNTIFS($D$7:$D1985,$D1985,$E$7:$E1985,$E1985))</f>
        <v/>
      </c>
      <c r="P1985" s="16"/>
      <c r="Q1985" s="19"/>
      <c r="R1985" s="10"/>
      <c r="S1985" s="16"/>
      <c r="T1985" s="0" t="str">
        <f aca="false">IF(OR($D1985="",单元查询!$B$3=""),"",IF($D1985&lt;&gt;单元查询!$B$3,"",IF(OR(单元查询!$D$3="",$E1985&amp;""=单元查询!$D$3&amp;""),IF(ISNUMBER($B1985),$B1985*10000,0)+ROW(),"")))</f>
        <v/>
      </c>
      <c r="U1985" s="0" t="str">
        <f aca="false">IF(OR($B1985="",$L1985="已完成"),"",IF(ISNUMBER($B1985),IF(设置!$B$6&lt;$B1985,"",(设置!$B$6-$B1985)*100000+ROW()),""))</f>
        <v/>
      </c>
      <c r="V1985" s="0" t="str">
        <f aca="false">IF(ISNUMBER($O1985),IF($O1985&gt;=2,IF(COUNTIFS($D1985:$D$2006,$D1985,$E1985:$E$2006,$E1985)=1,ROW(),""),""),"")</f>
        <v/>
      </c>
    </row>
    <row r="1986" customFormat="false" ht="15" hidden="false" customHeight="true" outlineLevel="0" collapsed="false">
      <c r="A1986" s="13" t="str">
        <f aca="false">IF(AND($B1986="",$D1986="",$E1986="",$F1986=""),"",IF(OR($B1986="",$D1986="",$E1986=""),"待补",IF($D1986="公共区域","公",IF($D1986="商铺","S",SUBSTITUTE($D1986,"栋","")))&amp;"-"&amp;$E1986&amp;"-"&amp;TEXT(MONTH($B1986),"00")&amp;TEXT(DAY($B1986),"00")&amp;IF(ISNUMBER($O1986),IF($O1986&gt;1,"-"&amp;TEXT($O1986,"00"),""),"")))</f>
        <v/>
      </c>
      <c r="B1986" s="14"/>
      <c r="C1986" s="10"/>
      <c r="D1986" s="10"/>
      <c r="E1986" s="10"/>
      <c r="F1986" s="16"/>
      <c r="G1986" s="10"/>
      <c r="H1986" s="10"/>
      <c r="I1986" s="10"/>
      <c r="J1986" s="10"/>
      <c r="K1986" s="10"/>
      <c r="L1986" s="10"/>
      <c r="M1986" s="14"/>
      <c r="N1986" s="17" t="str">
        <f aca="false">IF($B1986="","",IF($L1986="已完成",IF($M1986="","",$M1986-$B1986),IF(设置!$B$6&lt;$B1986,"",IF((设置!$B$6-$B1986)&gt;=设置!$B$5,"超期"&amp;(设置!$B$6-$B1986)&amp;"天","已等"&amp;(设置!$B$6-$B1986)&amp;"天"))))</f>
        <v/>
      </c>
      <c r="O1986" s="18" t="str">
        <f aca="false">IF(OR($D1986="",$E1986=""),"",COUNTIFS($D$7:$D1986,$D1986,$E$7:$E1986,$E1986))</f>
        <v/>
      </c>
      <c r="P1986" s="16"/>
      <c r="Q1986" s="19"/>
      <c r="R1986" s="10"/>
      <c r="S1986" s="16"/>
      <c r="T1986" s="0" t="str">
        <f aca="false">IF(OR($D1986="",单元查询!$B$3=""),"",IF($D1986&lt;&gt;单元查询!$B$3,"",IF(OR(单元查询!$D$3="",$E1986&amp;""=单元查询!$D$3&amp;""),IF(ISNUMBER($B1986),$B1986*10000,0)+ROW(),"")))</f>
        <v/>
      </c>
      <c r="U1986" s="0" t="str">
        <f aca="false">IF(OR($B1986="",$L1986="已完成"),"",IF(ISNUMBER($B1986),IF(设置!$B$6&lt;$B1986,"",(设置!$B$6-$B1986)*100000+ROW()),""))</f>
        <v/>
      </c>
      <c r="V1986" s="0" t="str">
        <f aca="false">IF(ISNUMBER($O1986),IF($O1986&gt;=2,IF(COUNTIFS($D1986:$D$2006,$D1986,$E1986:$E$2006,$E1986)=1,ROW(),""),""),"")</f>
        <v/>
      </c>
    </row>
    <row r="1987" customFormat="false" ht="15" hidden="false" customHeight="true" outlineLevel="0" collapsed="false">
      <c r="A1987" s="13" t="str">
        <f aca="false">IF(AND($B1987="",$D1987="",$E1987="",$F1987=""),"",IF(OR($B1987="",$D1987="",$E1987=""),"待补",IF($D1987="公共区域","公",IF($D1987="商铺","S",SUBSTITUTE($D1987,"栋","")))&amp;"-"&amp;$E1987&amp;"-"&amp;TEXT(MONTH($B1987),"00")&amp;TEXT(DAY($B1987),"00")&amp;IF(ISNUMBER($O1987),IF($O1987&gt;1,"-"&amp;TEXT($O1987,"00"),""),"")))</f>
        <v/>
      </c>
      <c r="B1987" s="14"/>
      <c r="C1987" s="10"/>
      <c r="D1987" s="10"/>
      <c r="E1987" s="10"/>
      <c r="F1987" s="16"/>
      <c r="G1987" s="10"/>
      <c r="H1987" s="10"/>
      <c r="I1987" s="10"/>
      <c r="J1987" s="10"/>
      <c r="K1987" s="10"/>
      <c r="L1987" s="10"/>
      <c r="M1987" s="14"/>
      <c r="N1987" s="17" t="str">
        <f aca="false">IF($B1987="","",IF($L1987="已完成",IF($M1987="","",$M1987-$B1987),IF(设置!$B$6&lt;$B1987,"",IF((设置!$B$6-$B1987)&gt;=设置!$B$5,"超期"&amp;(设置!$B$6-$B1987)&amp;"天","已等"&amp;(设置!$B$6-$B1987)&amp;"天"))))</f>
        <v/>
      </c>
      <c r="O1987" s="18" t="str">
        <f aca="false">IF(OR($D1987="",$E1987=""),"",COUNTIFS($D$7:$D1987,$D1987,$E$7:$E1987,$E1987))</f>
        <v/>
      </c>
      <c r="P1987" s="16"/>
      <c r="Q1987" s="19"/>
      <c r="R1987" s="10"/>
      <c r="S1987" s="16"/>
      <c r="T1987" s="0" t="str">
        <f aca="false">IF(OR($D1987="",单元查询!$B$3=""),"",IF($D1987&lt;&gt;单元查询!$B$3,"",IF(OR(单元查询!$D$3="",$E1987&amp;""=单元查询!$D$3&amp;""),IF(ISNUMBER($B1987),$B1987*10000,0)+ROW(),"")))</f>
        <v/>
      </c>
      <c r="U1987" s="0" t="str">
        <f aca="false">IF(OR($B1987="",$L1987="已完成"),"",IF(ISNUMBER($B1987),IF(设置!$B$6&lt;$B1987,"",(设置!$B$6-$B1987)*100000+ROW()),""))</f>
        <v/>
      </c>
      <c r="V1987" s="0" t="str">
        <f aca="false">IF(ISNUMBER($O1987),IF($O1987&gt;=2,IF(COUNTIFS($D1987:$D$2006,$D1987,$E1987:$E$2006,$E1987)=1,ROW(),""),""),"")</f>
        <v/>
      </c>
    </row>
    <row r="1988" customFormat="false" ht="15" hidden="false" customHeight="true" outlineLevel="0" collapsed="false">
      <c r="A1988" s="13" t="str">
        <f aca="false">IF(AND($B1988="",$D1988="",$E1988="",$F1988=""),"",IF(OR($B1988="",$D1988="",$E1988=""),"待补",IF($D1988="公共区域","公",IF($D1988="商铺","S",SUBSTITUTE($D1988,"栋","")))&amp;"-"&amp;$E1988&amp;"-"&amp;TEXT(MONTH($B1988),"00")&amp;TEXT(DAY($B1988),"00")&amp;IF(ISNUMBER($O1988),IF($O1988&gt;1,"-"&amp;TEXT($O1988,"00"),""),"")))</f>
        <v/>
      </c>
      <c r="B1988" s="14"/>
      <c r="C1988" s="10"/>
      <c r="D1988" s="10"/>
      <c r="E1988" s="10"/>
      <c r="F1988" s="16"/>
      <c r="G1988" s="10"/>
      <c r="H1988" s="10"/>
      <c r="I1988" s="10"/>
      <c r="J1988" s="10"/>
      <c r="K1988" s="10"/>
      <c r="L1988" s="10"/>
      <c r="M1988" s="14"/>
      <c r="N1988" s="17" t="str">
        <f aca="false">IF($B1988="","",IF($L1988="已完成",IF($M1988="","",$M1988-$B1988),IF(设置!$B$6&lt;$B1988,"",IF((设置!$B$6-$B1988)&gt;=设置!$B$5,"超期"&amp;(设置!$B$6-$B1988)&amp;"天","已等"&amp;(设置!$B$6-$B1988)&amp;"天"))))</f>
        <v/>
      </c>
      <c r="O1988" s="18" t="str">
        <f aca="false">IF(OR($D1988="",$E1988=""),"",COUNTIFS($D$7:$D1988,$D1988,$E$7:$E1988,$E1988))</f>
        <v/>
      </c>
      <c r="P1988" s="16"/>
      <c r="Q1988" s="19"/>
      <c r="R1988" s="10"/>
      <c r="S1988" s="16"/>
      <c r="T1988" s="0" t="str">
        <f aca="false">IF(OR($D1988="",单元查询!$B$3=""),"",IF($D1988&lt;&gt;单元查询!$B$3,"",IF(OR(单元查询!$D$3="",$E1988&amp;""=单元查询!$D$3&amp;""),IF(ISNUMBER($B1988),$B1988*10000,0)+ROW(),"")))</f>
        <v/>
      </c>
      <c r="U1988" s="0" t="str">
        <f aca="false">IF(OR($B1988="",$L1988="已完成"),"",IF(ISNUMBER($B1988),IF(设置!$B$6&lt;$B1988,"",(设置!$B$6-$B1988)*100000+ROW()),""))</f>
        <v/>
      </c>
      <c r="V1988" s="0" t="str">
        <f aca="false">IF(ISNUMBER($O1988),IF($O1988&gt;=2,IF(COUNTIFS($D1988:$D$2006,$D1988,$E1988:$E$2006,$E1988)=1,ROW(),""),""),"")</f>
        <v/>
      </c>
    </row>
    <row r="1989" customFormat="false" ht="15" hidden="false" customHeight="true" outlineLevel="0" collapsed="false">
      <c r="A1989" s="13" t="str">
        <f aca="false">IF(AND($B1989="",$D1989="",$E1989="",$F1989=""),"",IF(OR($B1989="",$D1989="",$E1989=""),"待补",IF($D1989="公共区域","公",IF($D1989="商铺","S",SUBSTITUTE($D1989,"栋","")))&amp;"-"&amp;$E1989&amp;"-"&amp;TEXT(MONTH($B1989),"00")&amp;TEXT(DAY($B1989),"00")&amp;IF(ISNUMBER($O1989),IF($O1989&gt;1,"-"&amp;TEXT($O1989,"00"),""),"")))</f>
        <v/>
      </c>
      <c r="B1989" s="14"/>
      <c r="C1989" s="10"/>
      <c r="D1989" s="10"/>
      <c r="E1989" s="10"/>
      <c r="F1989" s="16"/>
      <c r="G1989" s="10"/>
      <c r="H1989" s="10"/>
      <c r="I1989" s="10"/>
      <c r="J1989" s="10"/>
      <c r="K1989" s="10"/>
      <c r="L1989" s="10"/>
      <c r="M1989" s="14"/>
      <c r="N1989" s="17" t="str">
        <f aca="false">IF($B1989="","",IF($L1989="已完成",IF($M1989="","",$M1989-$B1989),IF(设置!$B$6&lt;$B1989,"",IF((设置!$B$6-$B1989)&gt;=设置!$B$5,"超期"&amp;(设置!$B$6-$B1989)&amp;"天","已等"&amp;(设置!$B$6-$B1989)&amp;"天"))))</f>
        <v/>
      </c>
      <c r="O1989" s="18" t="str">
        <f aca="false">IF(OR($D1989="",$E1989=""),"",COUNTIFS($D$7:$D1989,$D1989,$E$7:$E1989,$E1989))</f>
        <v/>
      </c>
      <c r="P1989" s="16"/>
      <c r="Q1989" s="19"/>
      <c r="R1989" s="10"/>
      <c r="S1989" s="16"/>
      <c r="T1989" s="0" t="str">
        <f aca="false">IF(OR($D1989="",单元查询!$B$3=""),"",IF($D1989&lt;&gt;单元查询!$B$3,"",IF(OR(单元查询!$D$3="",$E1989&amp;""=单元查询!$D$3&amp;""),IF(ISNUMBER($B1989),$B1989*10000,0)+ROW(),"")))</f>
        <v/>
      </c>
      <c r="U1989" s="0" t="str">
        <f aca="false">IF(OR($B1989="",$L1989="已完成"),"",IF(ISNUMBER($B1989),IF(设置!$B$6&lt;$B1989,"",(设置!$B$6-$B1989)*100000+ROW()),""))</f>
        <v/>
      </c>
      <c r="V1989" s="0" t="str">
        <f aca="false">IF(ISNUMBER($O1989),IF($O1989&gt;=2,IF(COUNTIFS($D1989:$D$2006,$D1989,$E1989:$E$2006,$E1989)=1,ROW(),""),""),"")</f>
        <v/>
      </c>
    </row>
    <row r="1990" customFormat="false" ht="15" hidden="false" customHeight="true" outlineLevel="0" collapsed="false">
      <c r="A1990" s="13" t="str">
        <f aca="false">IF(AND($B1990="",$D1990="",$E1990="",$F1990=""),"",IF(OR($B1990="",$D1990="",$E1990=""),"待补",IF($D1990="公共区域","公",IF($D1990="商铺","S",SUBSTITUTE($D1990,"栋","")))&amp;"-"&amp;$E1990&amp;"-"&amp;TEXT(MONTH($B1990),"00")&amp;TEXT(DAY($B1990),"00")&amp;IF(ISNUMBER($O1990),IF($O1990&gt;1,"-"&amp;TEXT($O1990,"00"),""),"")))</f>
        <v/>
      </c>
      <c r="B1990" s="14"/>
      <c r="C1990" s="10"/>
      <c r="D1990" s="10"/>
      <c r="E1990" s="10"/>
      <c r="F1990" s="16"/>
      <c r="G1990" s="10"/>
      <c r="H1990" s="10"/>
      <c r="I1990" s="10"/>
      <c r="J1990" s="10"/>
      <c r="K1990" s="10"/>
      <c r="L1990" s="10"/>
      <c r="M1990" s="14"/>
      <c r="N1990" s="17" t="str">
        <f aca="false">IF($B1990="","",IF($L1990="已完成",IF($M1990="","",$M1990-$B1990),IF(设置!$B$6&lt;$B1990,"",IF((设置!$B$6-$B1990)&gt;=设置!$B$5,"超期"&amp;(设置!$B$6-$B1990)&amp;"天","已等"&amp;(设置!$B$6-$B1990)&amp;"天"))))</f>
        <v/>
      </c>
      <c r="O1990" s="18" t="str">
        <f aca="false">IF(OR($D1990="",$E1990=""),"",COUNTIFS($D$7:$D1990,$D1990,$E$7:$E1990,$E1990))</f>
        <v/>
      </c>
      <c r="P1990" s="16"/>
      <c r="Q1990" s="19"/>
      <c r="R1990" s="10"/>
      <c r="S1990" s="16"/>
      <c r="T1990" s="0" t="str">
        <f aca="false">IF(OR($D1990="",单元查询!$B$3=""),"",IF($D1990&lt;&gt;单元查询!$B$3,"",IF(OR(单元查询!$D$3="",$E1990&amp;""=单元查询!$D$3&amp;""),IF(ISNUMBER($B1990),$B1990*10000,0)+ROW(),"")))</f>
        <v/>
      </c>
      <c r="U1990" s="0" t="str">
        <f aca="false">IF(OR($B1990="",$L1990="已完成"),"",IF(ISNUMBER($B1990),IF(设置!$B$6&lt;$B1990,"",(设置!$B$6-$B1990)*100000+ROW()),""))</f>
        <v/>
      </c>
      <c r="V1990" s="0" t="str">
        <f aca="false">IF(ISNUMBER($O1990),IF($O1990&gt;=2,IF(COUNTIFS($D1990:$D$2006,$D1990,$E1990:$E$2006,$E1990)=1,ROW(),""),""),"")</f>
        <v/>
      </c>
    </row>
    <row r="1991" customFormat="false" ht="15" hidden="false" customHeight="true" outlineLevel="0" collapsed="false">
      <c r="A1991" s="13" t="str">
        <f aca="false">IF(AND($B1991="",$D1991="",$E1991="",$F1991=""),"",IF(OR($B1991="",$D1991="",$E1991=""),"待补",IF($D1991="公共区域","公",IF($D1991="商铺","S",SUBSTITUTE($D1991,"栋","")))&amp;"-"&amp;$E1991&amp;"-"&amp;TEXT(MONTH($B1991),"00")&amp;TEXT(DAY($B1991),"00")&amp;IF(ISNUMBER($O1991),IF($O1991&gt;1,"-"&amp;TEXT($O1991,"00"),""),"")))</f>
        <v/>
      </c>
      <c r="B1991" s="14"/>
      <c r="C1991" s="10"/>
      <c r="D1991" s="10"/>
      <c r="E1991" s="10"/>
      <c r="F1991" s="16"/>
      <c r="G1991" s="10"/>
      <c r="H1991" s="10"/>
      <c r="I1991" s="10"/>
      <c r="J1991" s="10"/>
      <c r="K1991" s="10"/>
      <c r="L1991" s="10"/>
      <c r="M1991" s="14"/>
      <c r="N1991" s="17" t="str">
        <f aca="false">IF($B1991="","",IF($L1991="已完成",IF($M1991="","",$M1991-$B1991),IF(设置!$B$6&lt;$B1991,"",IF((设置!$B$6-$B1991)&gt;=设置!$B$5,"超期"&amp;(设置!$B$6-$B1991)&amp;"天","已等"&amp;(设置!$B$6-$B1991)&amp;"天"))))</f>
        <v/>
      </c>
      <c r="O1991" s="18" t="str">
        <f aca="false">IF(OR($D1991="",$E1991=""),"",COUNTIFS($D$7:$D1991,$D1991,$E$7:$E1991,$E1991))</f>
        <v/>
      </c>
      <c r="P1991" s="16"/>
      <c r="Q1991" s="19"/>
      <c r="R1991" s="10"/>
      <c r="S1991" s="16"/>
      <c r="T1991" s="0" t="str">
        <f aca="false">IF(OR($D1991="",单元查询!$B$3=""),"",IF($D1991&lt;&gt;单元查询!$B$3,"",IF(OR(单元查询!$D$3="",$E1991&amp;""=单元查询!$D$3&amp;""),IF(ISNUMBER($B1991),$B1991*10000,0)+ROW(),"")))</f>
        <v/>
      </c>
      <c r="U1991" s="0" t="str">
        <f aca="false">IF(OR($B1991="",$L1991="已完成"),"",IF(ISNUMBER($B1991),IF(设置!$B$6&lt;$B1991,"",(设置!$B$6-$B1991)*100000+ROW()),""))</f>
        <v/>
      </c>
      <c r="V1991" s="0" t="str">
        <f aca="false">IF(ISNUMBER($O1991),IF($O1991&gt;=2,IF(COUNTIFS($D1991:$D$2006,$D1991,$E1991:$E$2006,$E1991)=1,ROW(),""),""),"")</f>
        <v/>
      </c>
    </row>
    <row r="1992" customFormat="false" ht="15" hidden="false" customHeight="true" outlineLevel="0" collapsed="false">
      <c r="A1992" s="13" t="str">
        <f aca="false">IF(AND($B1992="",$D1992="",$E1992="",$F1992=""),"",IF(OR($B1992="",$D1992="",$E1992=""),"待补",IF($D1992="公共区域","公",IF($D1992="商铺","S",SUBSTITUTE($D1992,"栋","")))&amp;"-"&amp;$E1992&amp;"-"&amp;TEXT(MONTH($B1992),"00")&amp;TEXT(DAY($B1992),"00")&amp;IF(ISNUMBER($O1992),IF($O1992&gt;1,"-"&amp;TEXT($O1992,"00"),""),"")))</f>
        <v/>
      </c>
      <c r="B1992" s="14"/>
      <c r="C1992" s="10"/>
      <c r="D1992" s="10"/>
      <c r="E1992" s="10"/>
      <c r="F1992" s="16"/>
      <c r="G1992" s="10"/>
      <c r="H1992" s="10"/>
      <c r="I1992" s="10"/>
      <c r="J1992" s="10"/>
      <c r="K1992" s="10"/>
      <c r="L1992" s="10"/>
      <c r="M1992" s="14"/>
      <c r="N1992" s="17" t="str">
        <f aca="false">IF($B1992="","",IF($L1992="已完成",IF($M1992="","",$M1992-$B1992),IF(设置!$B$6&lt;$B1992,"",IF((设置!$B$6-$B1992)&gt;=设置!$B$5,"超期"&amp;(设置!$B$6-$B1992)&amp;"天","已等"&amp;(设置!$B$6-$B1992)&amp;"天"))))</f>
        <v/>
      </c>
      <c r="O1992" s="18" t="str">
        <f aca="false">IF(OR($D1992="",$E1992=""),"",COUNTIFS($D$7:$D1992,$D1992,$E$7:$E1992,$E1992))</f>
        <v/>
      </c>
      <c r="P1992" s="16"/>
      <c r="Q1992" s="19"/>
      <c r="R1992" s="10"/>
      <c r="S1992" s="16"/>
      <c r="T1992" s="0" t="str">
        <f aca="false">IF(OR($D1992="",单元查询!$B$3=""),"",IF($D1992&lt;&gt;单元查询!$B$3,"",IF(OR(单元查询!$D$3="",$E1992&amp;""=单元查询!$D$3&amp;""),IF(ISNUMBER($B1992),$B1992*10000,0)+ROW(),"")))</f>
        <v/>
      </c>
      <c r="U1992" s="0" t="str">
        <f aca="false">IF(OR($B1992="",$L1992="已完成"),"",IF(ISNUMBER($B1992),IF(设置!$B$6&lt;$B1992,"",(设置!$B$6-$B1992)*100000+ROW()),""))</f>
        <v/>
      </c>
      <c r="V1992" s="0" t="str">
        <f aca="false">IF(ISNUMBER($O1992),IF($O1992&gt;=2,IF(COUNTIFS($D1992:$D$2006,$D1992,$E1992:$E$2006,$E1992)=1,ROW(),""),""),"")</f>
        <v/>
      </c>
    </row>
    <row r="1993" customFormat="false" ht="15" hidden="false" customHeight="true" outlineLevel="0" collapsed="false">
      <c r="A1993" s="13" t="str">
        <f aca="false">IF(AND($B1993="",$D1993="",$E1993="",$F1993=""),"",IF(OR($B1993="",$D1993="",$E1993=""),"待补",IF($D1993="公共区域","公",IF($D1993="商铺","S",SUBSTITUTE($D1993,"栋","")))&amp;"-"&amp;$E1993&amp;"-"&amp;TEXT(MONTH($B1993),"00")&amp;TEXT(DAY($B1993),"00")&amp;IF(ISNUMBER($O1993),IF($O1993&gt;1,"-"&amp;TEXT($O1993,"00"),""),"")))</f>
        <v/>
      </c>
      <c r="B1993" s="14"/>
      <c r="C1993" s="10"/>
      <c r="D1993" s="10"/>
      <c r="E1993" s="10"/>
      <c r="F1993" s="16"/>
      <c r="G1993" s="10"/>
      <c r="H1993" s="10"/>
      <c r="I1993" s="10"/>
      <c r="J1993" s="10"/>
      <c r="K1993" s="10"/>
      <c r="L1993" s="10"/>
      <c r="M1993" s="14"/>
      <c r="N1993" s="17" t="str">
        <f aca="false">IF($B1993="","",IF($L1993="已完成",IF($M1993="","",$M1993-$B1993),IF(设置!$B$6&lt;$B1993,"",IF((设置!$B$6-$B1993)&gt;=设置!$B$5,"超期"&amp;(设置!$B$6-$B1993)&amp;"天","已等"&amp;(设置!$B$6-$B1993)&amp;"天"))))</f>
        <v/>
      </c>
      <c r="O1993" s="18" t="str">
        <f aca="false">IF(OR($D1993="",$E1993=""),"",COUNTIFS($D$7:$D1993,$D1993,$E$7:$E1993,$E1993))</f>
        <v/>
      </c>
      <c r="P1993" s="16"/>
      <c r="Q1993" s="19"/>
      <c r="R1993" s="10"/>
      <c r="S1993" s="16"/>
      <c r="T1993" s="0" t="str">
        <f aca="false">IF(OR($D1993="",单元查询!$B$3=""),"",IF($D1993&lt;&gt;单元查询!$B$3,"",IF(OR(单元查询!$D$3="",$E1993&amp;""=单元查询!$D$3&amp;""),IF(ISNUMBER($B1993),$B1993*10000,0)+ROW(),"")))</f>
        <v/>
      </c>
      <c r="U1993" s="0" t="str">
        <f aca="false">IF(OR($B1993="",$L1993="已完成"),"",IF(ISNUMBER($B1993),IF(设置!$B$6&lt;$B1993,"",(设置!$B$6-$B1993)*100000+ROW()),""))</f>
        <v/>
      </c>
      <c r="V1993" s="0" t="str">
        <f aca="false">IF(ISNUMBER($O1993),IF($O1993&gt;=2,IF(COUNTIFS($D1993:$D$2006,$D1993,$E1993:$E$2006,$E1993)=1,ROW(),""),""),"")</f>
        <v/>
      </c>
    </row>
    <row r="1994" customFormat="false" ht="15" hidden="false" customHeight="true" outlineLevel="0" collapsed="false">
      <c r="A1994" s="13" t="str">
        <f aca="false">IF(AND($B1994="",$D1994="",$E1994="",$F1994=""),"",IF(OR($B1994="",$D1994="",$E1994=""),"待补",IF($D1994="公共区域","公",IF($D1994="商铺","S",SUBSTITUTE($D1994,"栋","")))&amp;"-"&amp;$E1994&amp;"-"&amp;TEXT(MONTH($B1994),"00")&amp;TEXT(DAY($B1994),"00")&amp;IF(ISNUMBER($O1994),IF($O1994&gt;1,"-"&amp;TEXT($O1994,"00"),""),"")))</f>
        <v/>
      </c>
      <c r="B1994" s="14"/>
      <c r="C1994" s="10"/>
      <c r="D1994" s="10"/>
      <c r="E1994" s="10"/>
      <c r="F1994" s="16"/>
      <c r="G1994" s="10"/>
      <c r="H1994" s="10"/>
      <c r="I1994" s="10"/>
      <c r="J1994" s="10"/>
      <c r="K1994" s="10"/>
      <c r="L1994" s="10"/>
      <c r="M1994" s="14"/>
      <c r="N1994" s="17" t="str">
        <f aca="false">IF($B1994="","",IF($L1994="已完成",IF($M1994="","",$M1994-$B1994),IF(设置!$B$6&lt;$B1994,"",IF((设置!$B$6-$B1994)&gt;=设置!$B$5,"超期"&amp;(设置!$B$6-$B1994)&amp;"天","已等"&amp;(设置!$B$6-$B1994)&amp;"天"))))</f>
        <v/>
      </c>
      <c r="O1994" s="18" t="str">
        <f aca="false">IF(OR($D1994="",$E1994=""),"",COUNTIFS($D$7:$D1994,$D1994,$E$7:$E1994,$E1994))</f>
        <v/>
      </c>
      <c r="P1994" s="16"/>
      <c r="Q1994" s="19"/>
      <c r="R1994" s="10"/>
      <c r="S1994" s="16"/>
      <c r="T1994" s="0" t="str">
        <f aca="false">IF(OR($D1994="",单元查询!$B$3=""),"",IF($D1994&lt;&gt;单元查询!$B$3,"",IF(OR(单元查询!$D$3="",$E1994&amp;""=单元查询!$D$3&amp;""),IF(ISNUMBER($B1994),$B1994*10000,0)+ROW(),"")))</f>
        <v/>
      </c>
      <c r="U1994" s="0" t="str">
        <f aca="false">IF(OR($B1994="",$L1994="已完成"),"",IF(ISNUMBER($B1994),IF(设置!$B$6&lt;$B1994,"",(设置!$B$6-$B1994)*100000+ROW()),""))</f>
        <v/>
      </c>
      <c r="V1994" s="0" t="str">
        <f aca="false">IF(ISNUMBER($O1994),IF($O1994&gt;=2,IF(COUNTIFS($D1994:$D$2006,$D1994,$E1994:$E$2006,$E1994)=1,ROW(),""),""),"")</f>
        <v/>
      </c>
    </row>
    <row r="1995" customFormat="false" ht="15" hidden="false" customHeight="true" outlineLevel="0" collapsed="false">
      <c r="A1995" s="13" t="str">
        <f aca="false">IF(AND($B1995="",$D1995="",$E1995="",$F1995=""),"",IF(OR($B1995="",$D1995="",$E1995=""),"待补",IF($D1995="公共区域","公",IF($D1995="商铺","S",SUBSTITUTE($D1995,"栋","")))&amp;"-"&amp;$E1995&amp;"-"&amp;TEXT(MONTH($B1995),"00")&amp;TEXT(DAY($B1995),"00")&amp;IF(ISNUMBER($O1995),IF($O1995&gt;1,"-"&amp;TEXT($O1995,"00"),""),"")))</f>
        <v/>
      </c>
      <c r="B1995" s="14"/>
      <c r="C1995" s="10"/>
      <c r="D1995" s="10"/>
      <c r="E1995" s="10"/>
      <c r="F1995" s="16"/>
      <c r="G1995" s="10"/>
      <c r="H1995" s="10"/>
      <c r="I1995" s="10"/>
      <c r="J1995" s="10"/>
      <c r="K1995" s="10"/>
      <c r="L1995" s="10"/>
      <c r="M1995" s="14"/>
      <c r="N1995" s="17" t="str">
        <f aca="false">IF($B1995="","",IF($L1995="已完成",IF($M1995="","",$M1995-$B1995),IF(设置!$B$6&lt;$B1995,"",IF((设置!$B$6-$B1995)&gt;=设置!$B$5,"超期"&amp;(设置!$B$6-$B1995)&amp;"天","已等"&amp;(设置!$B$6-$B1995)&amp;"天"))))</f>
        <v/>
      </c>
      <c r="O1995" s="18" t="str">
        <f aca="false">IF(OR($D1995="",$E1995=""),"",COUNTIFS($D$7:$D1995,$D1995,$E$7:$E1995,$E1995))</f>
        <v/>
      </c>
      <c r="P1995" s="16"/>
      <c r="Q1995" s="19"/>
      <c r="R1995" s="10"/>
      <c r="S1995" s="16"/>
      <c r="T1995" s="0" t="str">
        <f aca="false">IF(OR($D1995="",单元查询!$B$3=""),"",IF($D1995&lt;&gt;单元查询!$B$3,"",IF(OR(单元查询!$D$3="",$E1995&amp;""=单元查询!$D$3&amp;""),IF(ISNUMBER($B1995),$B1995*10000,0)+ROW(),"")))</f>
        <v/>
      </c>
      <c r="U1995" s="0" t="str">
        <f aca="false">IF(OR($B1995="",$L1995="已完成"),"",IF(ISNUMBER($B1995),IF(设置!$B$6&lt;$B1995,"",(设置!$B$6-$B1995)*100000+ROW()),""))</f>
        <v/>
      </c>
      <c r="V1995" s="0" t="str">
        <f aca="false">IF(ISNUMBER($O1995),IF($O1995&gt;=2,IF(COUNTIFS($D1995:$D$2006,$D1995,$E1995:$E$2006,$E1995)=1,ROW(),""),""),"")</f>
        <v/>
      </c>
    </row>
    <row r="1996" customFormat="false" ht="15" hidden="false" customHeight="true" outlineLevel="0" collapsed="false">
      <c r="A1996" s="13" t="str">
        <f aca="false">IF(AND($B1996="",$D1996="",$E1996="",$F1996=""),"",IF(OR($B1996="",$D1996="",$E1996=""),"待补",IF($D1996="公共区域","公",IF($D1996="商铺","S",SUBSTITUTE($D1996,"栋","")))&amp;"-"&amp;$E1996&amp;"-"&amp;TEXT(MONTH($B1996),"00")&amp;TEXT(DAY($B1996),"00")&amp;IF(ISNUMBER($O1996),IF($O1996&gt;1,"-"&amp;TEXT($O1996,"00"),""),"")))</f>
        <v/>
      </c>
      <c r="B1996" s="14"/>
      <c r="C1996" s="10"/>
      <c r="D1996" s="10"/>
      <c r="E1996" s="10"/>
      <c r="F1996" s="16"/>
      <c r="G1996" s="10"/>
      <c r="H1996" s="10"/>
      <c r="I1996" s="10"/>
      <c r="J1996" s="10"/>
      <c r="K1996" s="10"/>
      <c r="L1996" s="10"/>
      <c r="M1996" s="14"/>
      <c r="N1996" s="17" t="str">
        <f aca="false">IF($B1996="","",IF($L1996="已完成",IF($M1996="","",$M1996-$B1996),IF(设置!$B$6&lt;$B1996,"",IF((设置!$B$6-$B1996)&gt;=设置!$B$5,"超期"&amp;(设置!$B$6-$B1996)&amp;"天","已等"&amp;(设置!$B$6-$B1996)&amp;"天"))))</f>
        <v/>
      </c>
      <c r="O1996" s="18" t="str">
        <f aca="false">IF(OR($D1996="",$E1996=""),"",COUNTIFS($D$7:$D1996,$D1996,$E$7:$E1996,$E1996))</f>
        <v/>
      </c>
      <c r="P1996" s="16"/>
      <c r="Q1996" s="19"/>
      <c r="R1996" s="10"/>
      <c r="S1996" s="16"/>
      <c r="T1996" s="0" t="str">
        <f aca="false">IF(OR($D1996="",单元查询!$B$3=""),"",IF($D1996&lt;&gt;单元查询!$B$3,"",IF(OR(单元查询!$D$3="",$E1996&amp;""=单元查询!$D$3&amp;""),IF(ISNUMBER($B1996),$B1996*10000,0)+ROW(),"")))</f>
        <v/>
      </c>
      <c r="U1996" s="0" t="str">
        <f aca="false">IF(OR($B1996="",$L1996="已完成"),"",IF(ISNUMBER($B1996),IF(设置!$B$6&lt;$B1996,"",(设置!$B$6-$B1996)*100000+ROW()),""))</f>
        <v/>
      </c>
      <c r="V1996" s="0" t="str">
        <f aca="false">IF(ISNUMBER($O1996),IF($O1996&gt;=2,IF(COUNTIFS($D1996:$D$2006,$D1996,$E1996:$E$2006,$E1996)=1,ROW(),""),""),"")</f>
        <v/>
      </c>
    </row>
    <row r="1997" customFormat="false" ht="15" hidden="false" customHeight="true" outlineLevel="0" collapsed="false">
      <c r="A1997" s="13" t="str">
        <f aca="false">IF(AND($B1997="",$D1997="",$E1997="",$F1997=""),"",IF(OR($B1997="",$D1997="",$E1997=""),"待补",IF($D1997="公共区域","公",IF($D1997="商铺","S",SUBSTITUTE($D1997,"栋","")))&amp;"-"&amp;$E1997&amp;"-"&amp;TEXT(MONTH($B1997),"00")&amp;TEXT(DAY($B1997),"00")&amp;IF(ISNUMBER($O1997),IF($O1997&gt;1,"-"&amp;TEXT($O1997,"00"),""),"")))</f>
        <v/>
      </c>
      <c r="B1997" s="14"/>
      <c r="C1997" s="10"/>
      <c r="D1997" s="10"/>
      <c r="E1997" s="10"/>
      <c r="F1997" s="16"/>
      <c r="G1997" s="10"/>
      <c r="H1997" s="10"/>
      <c r="I1997" s="10"/>
      <c r="J1997" s="10"/>
      <c r="K1997" s="10"/>
      <c r="L1997" s="10"/>
      <c r="M1997" s="14"/>
      <c r="N1997" s="17" t="str">
        <f aca="false">IF($B1997="","",IF($L1997="已完成",IF($M1997="","",$M1997-$B1997),IF(设置!$B$6&lt;$B1997,"",IF((设置!$B$6-$B1997)&gt;=设置!$B$5,"超期"&amp;(设置!$B$6-$B1997)&amp;"天","已等"&amp;(设置!$B$6-$B1997)&amp;"天"))))</f>
        <v/>
      </c>
      <c r="O1997" s="18" t="str">
        <f aca="false">IF(OR($D1997="",$E1997=""),"",COUNTIFS($D$7:$D1997,$D1997,$E$7:$E1997,$E1997))</f>
        <v/>
      </c>
      <c r="P1997" s="16"/>
      <c r="Q1997" s="19"/>
      <c r="R1997" s="10"/>
      <c r="S1997" s="16"/>
      <c r="T1997" s="0" t="str">
        <f aca="false">IF(OR($D1997="",单元查询!$B$3=""),"",IF($D1997&lt;&gt;单元查询!$B$3,"",IF(OR(单元查询!$D$3="",$E1997&amp;""=单元查询!$D$3&amp;""),IF(ISNUMBER($B1997),$B1997*10000,0)+ROW(),"")))</f>
        <v/>
      </c>
      <c r="U1997" s="0" t="str">
        <f aca="false">IF(OR($B1997="",$L1997="已完成"),"",IF(ISNUMBER($B1997),IF(设置!$B$6&lt;$B1997,"",(设置!$B$6-$B1997)*100000+ROW()),""))</f>
        <v/>
      </c>
      <c r="V1997" s="0" t="str">
        <f aca="false">IF(ISNUMBER($O1997),IF($O1997&gt;=2,IF(COUNTIFS($D1997:$D$2006,$D1997,$E1997:$E$2006,$E1997)=1,ROW(),""),""),"")</f>
        <v/>
      </c>
    </row>
    <row r="1998" customFormat="false" ht="15" hidden="false" customHeight="true" outlineLevel="0" collapsed="false">
      <c r="A1998" s="13" t="str">
        <f aca="false">IF(AND($B1998="",$D1998="",$E1998="",$F1998=""),"",IF(OR($B1998="",$D1998="",$E1998=""),"待补",IF($D1998="公共区域","公",IF($D1998="商铺","S",SUBSTITUTE($D1998,"栋","")))&amp;"-"&amp;$E1998&amp;"-"&amp;TEXT(MONTH($B1998),"00")&amp;TEXT(DAY($B1998),"00")&amp;IF(ISNUMBER($O1998),IF($O1998&gt;1,"-"&amp;TEXT($O1998,"00"),""),"")))</f>
        <v/>
      </c>
      <c r="B1998" s="14"/>
      <c r="C1998" s="10"/>
      <c r="D1998" s="10"/>
      <c r="E1998" s="10"/>
      <c r="F1998" s="16"/>
      <c r="G1998" s="10"/>
      <c r="H1998" s="10"/>
      <c r="I1998" s="10"/>
      <c r="J1998" s="10"/>
      <c r="K1998" s="10"/>
      <c r="L1998" s="10"/>
      <c r="M1998" s="14"/>
      <c r="N1998" s="17" t="str">
        <f aca="false">IF($B1998="","",IF($L1998="已完成",IF($M1998="","",$M1998-$B1998),IF(设置!$B$6&lt;$B1998,"",IF((设置!$B$6-$B1998)&gt;=设置!$B$5,"超期"&amp;(设置!$B$6-$B1998)&amp;"天","已等"&amp;(设置!$B$6-$B1998)&amp;"天"))))</f>
        <v/>
      </c>
      <c r="O1998" s="18" t="str">
        <f aca="false">IF(OR($D1998="",$E1998=""),"",COUNTIFS($D$7:$D1998,$D1998,$E$7:$E1998,$E1998))</f>
        <v/>
      </c>
      <c r="P1998" s="16"/>
      <c r="Q1998" s="19"/>
      <c r="R1998" s="10"/>
      <c r="S1998" s="16"/>
      <c r="T1998" s="0" t="str">
        <f aca="false">IF(OR($D1998="",单元查询!$B$3=""),"",IF($D1998&lt;&gt;单元查询!$B$3,"",IF(OR(单元查询!$D$3="",$E1998&amp;""=单元查询!$D$3&amp;""),IF(ISNUMBER($B1998),$B1998*10000,0)+ROW(),"")))</f>
        <v/>
      </c>
      <c r="U1998" s="0" t="str">
        <f aca="false">IF(OR($B1998="",$L1998="已完成"),"",IF(ISNUMBER($B1998),IF(设置!$B$6&lt;$B1998,"",(设置!$B$6-$B1998)*100000+ROW()),""))</f>
        <v/>
      </c>
      <c r="V1998" s="0" t="str">
        <f aca="false">IF(ISNUMBER($O1998),IF($O1998&gt;=2,IF(COUNTIFS($D1998:$D$2006,$D1998,$E1998:$E$2006,$E1998)=1,ROW(),""),""),"")</f>
        <v/>
      </c>
    </row>
    <row r="1999" customFormat="false" ht="15" hidden="false" customHeight="true" outlineLevel="0" collapsed="false">
      <c r="A1999" s="13" t="str">
        <f aca="false">IF(AND($B1999="",$D1999="",$E1999="",$F1999=""),"",IF(OR($B1999="",$D1999="",$E1999=""),"待补",IF($D1999="公共区域","公",IF($D1999="商铺","S",SUBSTITUTE($D1999,"栋","")))&amp;"-"&amp;$E1999&amp;"-"&amp;TEXT(MONTH($B1999),"00")&amp;TEXT(DAY($B1999),"00")&amp;IF(ISNUMBER($O1999),IF($O1999&gt;1,"-"&amp;TEXT($O1999,"00"),""),"")))</f>
        <v/>
      </c>
      <c r="B1999" s="14"/>
      <c r="C1999" s="10"/>
      <c r="D1999" s="10"/>
      <c r="E1999" s="10"/>
      <c r="F1999" s="16"/>
      <c r="G1999" s="10"/>
      <c r="H1999" s="10"/>
      <c r="I1999" s="10"/>
      <c r="J1999" s="10"/>
      <c r="K1999" s="10"/>
      <c r="L1999" s="10"/>
      <c r="M1999" s="14"/>
      <c r="N1999" s="17" t="str">
        <f aca="false">IF($B1999="","",IF($L1999="已完成",IF($M1999="","",$M1999-$B1999),IF(设置!$B$6&lt;$B1999,"",IF((设置!$B$6-$B1999)&gt;=设置!$B$5,"超期"&amp;(设置!$B$6-$B1999)&amp;"天","已等"&amp;(设置!$B$6-$B1999)&amp;"天"))))</f>
        <v/>
      </c>
      <c r="O1999" s="18" t="str">
        <f aca="false">IF(OR($D1999="",$E1999=""),"",COUNTIFS($D$7:$D1999,$D1999,$E$7:$E1999,$E1999))</f>
        <v/>
      </c>
      <c r="P1999" s="16"/>
      <c r="Q1999" s="19"/>
      <c r="R1999" s="10"/>
      <c r="S1999" s="16"/>
      <c r="T1999" s="0" t="str">
        <f aca="false">IF(OR($D1999="",单元查询!$B$3=""),"",IF($D1999&lt;&gt;单元查询!$B$3,"",IF(OR(单元查询!$D$3="",$E1999&amp;""=单元查询!$D$3&amp;""),IF(ISNUMBER($B1999),$B1999*10000,0)+ROW(),"")))</f>
        <v/>
      </c>
      <c r="U1999" s="0" t="str">
        <f aca="false">IF(OR($B1999="",$L1999="已完成"),"",IF(ISNUMBER($B1999),IF(设置!$B$6&lt;$B1999,"",(设置!$B$6-$B1999)*100000+ROW()),""))</f>
        <v/>
      </c>
      <c r="V1999" s="0" t="str">
        <f aca="false">IF(ISNUMBER($O1999),IF($O1999&gt;=2,IF(COUNTIFS($D1999:$D$2006,$D1999,$E1999:$E$2006,$E1999)=1,ROW(),""),""),"")</f>
        <v/>
      </c>
    </row>
    <row r="2000" customFormat="false" ht="15" hidden="false" customHeight="true" outlineLevel="0" collapsed="false">
      <c r="A2000" s="13" t="str">
        <f aca="false">IF(AND($B2000="",$D2000="",$E2000="",$F2000=""),"",IF(OR($B2000="",$D2000="",$E2000=""),"待补",IF($D2000="公共区域","公",IF($D2000="商铺","S",SUBSTITUTE($D2000,"栋","")))&amp;"-"&amp;$E2000&amp;"-"&amp;TEXT(MONTH($B2000),"00")&amp;TEXT(DAY($B2000),"00")&amp;IF(ISNUMBER($O2000),IF($O2000&gt;1,"-"&amp;TEXT($O2000,"00"),""),"")))</f>
        <v/>
      </c>
      <c r="B2000" s="14"/>
      <c r="C2000" s="10"/>
      <c r="D2000" s="10"/>
      <c r="E2000" s="10"/>
      <c r="F2000" s="16"/>
      <c r="G2000" s="10"/>
      <c r="H2000" s="10"/>
      <c r="I2000" s="10"/>
      <c r="J2000" s="10"/>
      <c r="K2000" s="10"/>
      <c r="L2000" s="10"/>
      <c r="M2000" s="14"/>
      <c r="N2000" s="17" t="str">
        <f aca="false">IF($B2000="","",IF($L2000="已完成",IF($M2000="","",$M2000-$B2000),IF(设置!$B$6&lt;$B2000,"",IF((设置!$B$6-$B2000)&gt;=设置!$B$5,"超期"&amp;(设置!$B$6-$B2000)&amp;"天","已等"&amp;(设置!$B$6-$B2000)&amp;"天"))))</f>
        <v/>
      </c>
      <c r="O2000" s="18" t="str">
        <f aca="false">IF(OR($D2000="",$E2000=""),"",COUNTIFS($D$7:$D2000,$D2000,$E$7:$E2000,$E2000))</f>
        <v/>
      </c>
      <c r="P2000" s="16"/>
      <c r="Q2000" s="19"/>
      <c r="R2000" s="10"/>
      <c r="S2000" s="16"/>
      <c r="T2000" s="0" t="str">
        <f aca="false">IF(OR($D2000="",单元查询!$B$3=""),"",IF($D2000&lt;&gt;单元查询!$B$3,"",IF(OR(单元查询!$D$3="",$E2000&amp;""=单元查询!$D$3&amp;""),IF(ISNUMBER($B2000),$B2000*10000,0)+ROW(),"")))</f>
        <v/>
      </c>
      <c r="U2000" s="0" t="str">
        <f aca="false">IF(OR($B2000="",$L2000="已完成"),"",IF(ISNUMBER($B2000),IF(设置!$B$6&lt;$B2000,"",(设置!$B$6-$B2000)*100000+ROW()),""))</f>
        <v/>
      </c>
      <c r="V2000" s="0" t="str">
        <f aca="false">IF(ISNUMBER($O2000),IF($O2000&gt;=2,IF(COUNTIFS($D2000:$D$2006,$D2000,$E2000:$E$2006,$E2000)=1,ROW(),""),""),"")</f>
        <v/>
      </c>
    </row>
    <row r="2001" customFormat="false" ht="15" hidden="false" customHeight="true" outlineLevel="0" collapsed="false">
      <c r="A2001" s="13" t="str">
        <f aca="false">IF(AND($B2001="",$D2001="",$E2001="",$F2001=""),"",IF(OR($B2001="",$D2001="",$E2001=""),"待补",IF($D2001="公共区域","公",IF($D2001="商铺","S",SUBSTITUTE($D2001,"栋","")))&amp;"-"&amp;$E2001&amp;"-"&amp;TEXT(MONTH($B2001),"00")&amp;TEXT(DAY($B2001),"00")&amp;IF(ISNUMBER($O2001),IF($O2001&gt;1,"-"&amp;TEXT($O2001,"00"),""),"")))</f>
        <v/>
      </c>
      <c r="B2001" s="14"/>
      <c r="C2001" s="10"/>
      <c r="D2001" s="10"/>
      <c r="E2001" s="10"/>
      <c r="F2001" s="16"/>
      <c r="G2001" s="10"/>
      <c r="H2001" s="10"/>
      <c r="I2001" s="10"/>
      <c r="J2001" s="10"/>
      <c r="K2001" s="10"/>
      <c r="L2001" s="10"/>
      <c r="M2001" s="14"/>
      <c r="N2001" s="17" t="str">
        <f aca="false">IF($B2001="","",IF($L2001="已完成",IF($M2001="","",$M2001-$B2001),IF(设置!$B$6&lt;$B2001,"",IF((设置!$B$6-$B2001)&gt;=设置!$B$5,"超期"&amp;(设置!$B$6-$B2001)&amp;"天","已等"&amp;(设置!$B$6-$B2001)&amp;"天"))))</f>
        <v/>
      </c>
      <c r="O2001" s="18" t="str">
        <f aca="false">IF(OR($D2001="",$E2001=""),"",COUNTIFS($D$7:$D2001,$D2001,$E$7:$E2001,$E2001))</f>
        <v/>
      </c>
      <c r="P2001" s="16"/>
      <c r="Q2001" s="19"/>
      <c r="R2001" s="10"/>
      <c r="S2001" s="16"/>
      <c r="T2001" s="0" t="str">
        <f aca="false">IF(OR($D2001="",单元查询!$B$3=""),"",IF($D2001&lt;&gt;单元查询!$B$3,"",IF(OR(单元查询!$D$3="",$E2001&amp;""=单元查询!$D$3&amp;""),IF(ISNUMBER($B2001),$B2001*10000,0)+ROW(),"")))</f>
        <v/>
      </c>
      <c r="U2001" s="0" t="str">
        <f aca="false">IF(OR($B2001="",$L2001="已完成"),"",IF(ISNUMBER($B2001),IF(设置!$B$6&lt;$B2001,"",(设置!$B$6-$B2001)*100000+ROW()),""))</f>
        <v/>
      </c>
      <c r="V2001" s="0" t="str">
        <f aca="false">IF(ISNUMBER($O2001),IF($O2001&gt;=2,IF(COUNTIFS($D2001:$D$2006,$D2001,$E2001:$E$2006,$E2001)=1,ROW(),""),""),"")</f>
        <v/>
      </c>
    </row>
    <row r="2002" customFormat="false" ht="15" hidden="false" customHeight="true" outlineLevel="0" collapsed="false">
      <c r="A2002" s="13" t="str">
        <f aca="false">IF(AND($B2002="",$D2002="",$E2002="",$F2002=""),"",IF(OR($B2002="",$D2002="",$E2002=""),"待补",IF($D2002="公共区域","公",IF($D2002="商铺","S",SUBSTITUTE($D2002,"栋","")))&amp;"-"&amp;$E2002&amp;"-"&amp;TEXT(MONTH($B2002),"00")&amp;TEXT(DAY($B2002),"00")&amp;IF(ISNUMBER($O2002),IF($O2002&gt;1,"-"&amp;TEXT($O2002,"00"),""),"")))</f>
        <v/>
      </c>
      <c r="B2002" s="14"/>
      <c r="C2002" s="10"/>
      <c r="D2002" s="10"/>
      <c r="E2002" s="10"/>
      <c r="F2002" s="16"/>
      <c r="G2002" s="10"/>
      <c r="H2002" s="10"/>
      <c r="I2002" s="10"/>
      <c r="J2002" s="10"/>
      <c r="K2002" s="10"/>
      <c r="L2002" s="10"/>
      <c r="M2002" s="14"/>
      <c r="N2002" s="17" t="str">
        <f aca="false">IF($B2002="","",IF($L2002="已完成",IF($M2002="","",$M2002-$B2002),IF(设置!$B$6&lt;$B2002,"",IF((设置!$B$6-$B2002)&gt;=设置!$B$5,"超期"&amp;(设置!$B$6-$B2002)&amp;"天","已等"&amp;(设置!$B$6-$B2002)&amp;"天"))))</f>
        <v/>
      </c>
      <c r="O2002" s="18" t="str">
        <f aca="false">IF(OR($D2002="",$E2002=""),"",COUNTIFS($D$7:$D2002,$D2002,$E$7:$E2002,$E2002))</f>
        <v/>
      </c>
      <c r="P2002" s="16"/>
      <c r="Q2002" s="19"/>
      <c r="R2002" s="10"/>
      <c r="S2002" s="16"/>
      <c r="T2002" s="0" t="str">
        <f aca="false">IF(OR($D2002="",单元查询!$B$3=""),"",IF($D2002&lt;&gt;单元查询!$B$3,"",IF(OR(单元查询!$D$3="",$E2002&amp;""=单元查询!$D$3&amp;""),IF(ISNUMBER($B2002),$B2002*10000,0)+ROW(),"")))</f>
        <v/>
      </c>
      <c r="U2002" s="0" t="str">
        <f aca="false">IF(OR($B2002="",$L2002="已完成"),"",IF(ISNUMBER($B2002),IF(设置!$B$6&lt;$B2002,"",(设置!$B$6-$B2002)*100000+ROW()),""))</f>
        <v/>
      </c>
      <c r="V2002" s="0" t="str">
        <f aca="false">IF(ISNUMBER($O2002),IF($O2002&gt;=2,IF(COUNTIFS($D2002:$D$2006,$D2002,$E2002:$E$2006,$E2002)=1,ROW(),""),""),"")</f>
        <v/>
      </c>
    </row>
    <row r="2003" customFormat="false" ht="15" hidden="false" customHeight="true" outlineLevel="0" collapsed="false">
      <c r="A2003" s="13" t="str">
        <f aca="false">IF(AND($B2003="",$D2003="",$E2003="",$F2003=""),"",IF(OR($B2003="",$D2003="",$E2003=""),"待补",IF($D2003="公共区域","公",IF($D2003="商铺","S",SUBSTITUTE($D2003,"栋","")))&amp;"-"&amp;$E2003&amp;"-"&amp;TEXT(MONTH($B2003),"00")&amp;TEXT(DAY($B2003),"00")&amp;IF(ISNUMBER($O2003),IF($O2003&gt;1,"-"&amp;TEXT($O2003,"00"),""),"")))</f>
        <v/>
      </c>
      <c r="B2003" s="14"/>
      <c r="C2003" s="10"/>
      <c r="D2003" s="10"/>
      <c r="E2003" s="10"/>
      <c r="F2003" s="16"/>
      <c r="G2003" s="10"/>
      <c r="H2003" s="10"/>
      <c r="I2003" s="10"/>
      <c r="J2003" s="10"/>
      <c r="K2003" s="10"/>
      <c r="L2003" s="10"/>
      <c r="M2003" s="14"/>
      <c r="N2003" s="17" t="str">
        <f aca="false">IF($B2003="","",IF($L2003="已完成",IF($M2003="","",$M2003-$B2003),IF(设置!$B$6&lt;$B2003,"",IF((设置!$B$6-$B2003)&gt;=设置!$B$5,"超期"&amp;(设置!$B$6-$B2003)&amp;"天","已等"&amp;(设置!$B$6-$B2003)&amp;"天"))))</f>
        <v/>
      </c>
      <c r="O2003" s="18" t="str">
        <f aca="false">IF(OR($D2003="",$E2003=""),"",COUNTIFS($D$7:$D2003,$D2003,$E$7:$E2003,$E2003))</f>
        <v/>
      </c>
      <c r="P2003" s="16"/>
      <c r="Q2003" s="19"/>
      <c r="R2003" s="10"/>
      <c r="S2003" s="16"/>
      <c r="T2003" s="0" t="str">
        <f aca="false">IF(OR($D2003="",单元查询!$B$3=""),"",IF($D2003&lt;&gt;单元查询!$B$3,"",IF(OR(单元查询!$D$3="",$E2003&amp;""=单元查询!$D$3&amp;""),IF(ISNUMBER($B2003),$B2003*10000,0)+ROW(),"")))</f>
        <v/>
      </c>
      <c r="U2003" s="0" t="str">
        <f aca="false">IF(OR($B2003="",$L2003="已完成"),"",IF(ISNUMBER($B2003),IF(设置!$B$6&lt;$B2003,"",(设置!$B$6-$B2003)*100000+ROW()),""))</f>
        <v/>
      </c>
      <c r="V2003" s="0" t="str">
        <f aca="false">IF(ISNUMBER($O2003),IF($O2003&gt;=2,IF(COUNTIFS($D2003:$D$2006,$D2003,$E2003:$E$2006,$E2003)=1,ROW(),""),""),"")</f>
        <v/>
      </c>
    </row>
    <row r="2004" customFormat="false" ht="15" hidden="false" customHeight="true" outlineLevel="0" collapsed="false">
      <c r="A2004" s="13" t="str">
        <f aca="false">IF(AND($B2004="",$D2004="",$E2004="",$F2004=""),"",IF(OR($B2004="",$D2004="",$E2004=""),"待补",IF($D2004="公共区域","公",IF($D2004="商铺","S",SUBSTITUTE($D2004,"栋","")))&amp;"-"&amp;$E2004&amp;"-"&amp;TEXT(MONTH($B2004),"00")&amp;TEXT(DAY($B2004),"00")&amp;IF(ISNUMBER($O2004),IF($O2004&gt;1,"-"&amp;TEXT($O2004,"00"),""),"")))</f>
        <v/>
      </c>
      <c r="B2004" s="14"/>
      <c r="C2004" s="10"/>
      <c r="D2004" s="10"/>
      <c r="E2004" s="10"/>
      <c r="F2004" s="16"/>
      <c r="G2004" s="10"/>
      <c r="H2004" s="10"/>
      <c r="I2004" s="10"/>
      <c r="J2004" s="10"/>
      <c r="K2004" s="10"/>
      <c r="L2004" s="10"/>
      <c r="M2004" s="14"/>
      <c r="N2004" s="17" t="str">
        <f aca="false">IF($B2004="","",IF($L2004="已完成",IF($M2004="","",$M2004-$B2004),IF(设置!$B$6&lt;$B2004,"",IF((设置!$B$6-$B2004)&gt;=设置!$B$5,"超期"&amp;(设置!$B$6-$B2004)&amp;"天","已等"&amp;(设置!$B$6-$B2004)&amp;"天"))))</f>
        <v/>
      </c>
      <c r="O2004" s="18" t="str">
        <f aca="false">IF(OR($D2004="",$E2004=""),"",COUNTIFS($D$7:$D2004,$D2004,$E$7:$E2004,$E2004))</f>
        <v/>
      </c>
      <c r="P2004" s="16"/>
      <c r="Q2004" s="19"/>
      <c r="R2004" s="10"/>
      <c r="S2004" s="16"/>
      <c r="T2004" s="0" t="str">
        <f aca="false">IF(OR($D2004="",单元查询!$B$3=""),"",IF($D2004&lt;&gt;单元查询!$B$3,"",IF(OR(单元查询!$D$3="",$E2004&amp;""=单元查询!$D$3&amp;""),IF(ISNUMBER($B2004),$B2004*10000,0)+ROW(),"")))</f>
        <v/>
      </c>
      <c r="U2004" s="0" t="str">
        <f aca="false">IF(OR($B2004="",$L2004="已完成"),"",IF(ISNUMBER($B2004),IF(设置!$B$6&lt;$B2004,"",(设置!$B$6-$B2004)*100000+ROW()),""))</f>
        <v/>
      </c>
      <c r="V2004" s="0" t="str">
        <f aca="false">IF(ISNUMBER($O2004),IF($O2004&gt;=2,IF(COUNTIFS($D2004:$D$2006,$D2004,$E2004:$E$2006,$E2004)=1,ROW(),""),""),"")</f>
        <v/>
      </c>
    </row>
    <row r="2005" customFormat="false" ht="15" hidden="false" customHeight="true" outlineLevel="0" collapsed="false">
      <c r="A2005" s="13" t="str">
        <f aca="false">IF(AND($B2005="",$D2005="",$E2005="",$F2005=""),"",IF(OR($B2005="",$D2005="",$E2005=""),"待补",IF($D2005="公共区域","公",IF($D2005="商铺","S",SUBSTITUTE($D2005,"栋","")))&amp;"-"&amp;$E2005&amp;"-"&amp;TEXT(MONTH($B2005),"00")&amp;TEXT(DAY($B2005),"00")&amp;IF(ISNUMBER($O2005),IF($O2005&gt;1,"-"&amp;TEXT($O2005,"00"),""),"")))</f>
        <v/>
      </c>
      <c r="B2005" s="14"/>
      <c r="C2005" s="10"/>
      <c r="D2005" s="10"/>
      <c r="E2005" s="10"/>
      <c r="F2005" s="16"/>
      <c r="G2005" s="10"/>
      <c r="H2005" s="10"/>
      <c r="I2005" s="10"/>
      <c r="J2005" s="10"/>
      <c r="K2005" s="10"/>
      <c r="L2005" s="10"/>
      <c r="M2005" s="14"/>
      <c r="N2005" s="17" t="str">
        <f aca="false">IF($B2005="","",IF($L2005="已完成",IF($M2005="","",$M2005-$B2005),IF(设置!$B$6&lt;$B2005,"",IF((设置!$B$6-$B2005)&gt;=设置!$B$5,"超期"&amp;(设置!$B$6-$B2005)&amp;"天","已等"&amp;(设置!$B$6-$B2005)&amp;"天"))))</f>
        <v/>
      </c>
      <c r="O2005" s="18" t="str">
        <f aca="false">IF(OR($D2005="",$E2005=""),"",COUNTIFS($D$7:$D2005,$D2005,$E$7:$E2005,$E2005))</f>
        <v/>
      </c>
      <c r="P2005" s="16"/>
      <c r="Q2005" s="19"/>
      <c r="R2005" s="10"/>
      <c r="S2005" s="16"/>
      <c r="T2005" s="0" t="str">
        <f aca="false">IF(OR($D2005="",单元查询!$B$3=""),"",IF($D2005&lt;&gt;单元查询!$B$3,"",IF(OR(单元查询!$D$3="",$E2005&amp;""=单元查询!$D$3&amp;""),IF(ISNUMBER($B2005),$B2005*10000,0)+ROW(),"")))</f>
        <v/>
      </c>
      <c r="U2005" s="0" t="str">
        <f aca="false">IF(OR($B2005="",$L2005="已完成"),"",IF(ISNUMBER($B2005),IF(设置!$B$6&lt;$B2005,"",(设置!$B$6-$B2005)*100000+ROW()),""))</f>
        <v/>
      </c>
      <c r="V2005" s="0" t="str">
        <f aca="false">IF(ISNUMBER($O2005),IF($O2005&gt;=2,IF(COUNTIFS($D2005:$D$2006,$D2005,$E2005:$E$2006,$E2005)=1,ROW(),""),""),"")</f>
        <v/>
      </c>
    </row>
    <row r="2006" customFormat="false" ht="15" hidden="false" customHeight="true" outlineLevel="0" collapsed="false">
      <c r="A2006" s="13" t="str">
        <f aca="false">IF(AND($B2006="",$D2006="",$E2006="",$F2006=""),"",IF(OR($B2006="",$D2006="",$E2006=""),"待补",IF($D2006="公共区域","公",IF($D2006="商铺","S",SUBSTITUTE($D2006,"栋","")))&amp;"-"&amp;$E2006&amp;"-"&amp;TEXT(MONTH($B2006),"00")&amp;TEXT(DAY($B2006),"00")&amp;IF(ISNUMBER($O2006),IF($O2006&gt;1,"-"&amp;TEXT($O2006,"00"),""),"")))</f>
        <v/>
      </c>
      <c r="B2006" s="14"/>
      <c r="C2006" s="10"/>
      <c r="D2006" s="10"/>
      <c r="E2006" s="10"/>
      <c r="F2006" s="16"/>
      <c r="G2006" s="10"/>
      <c r="H2006" s="10"/>
      <c r="I2006" s="10"/>
      <c r="J2006" s="10"/>
      <c r="K2006" s="10"/>
      <c r="L2006" s="10"/>
      <c r="M2006" s="14"/>
      <c r="N2006" s="17" t="str">
        <f aca="false">IF($B2006="","",IF($L2006="已完成",IF($M2006="","",$M2006-$B2006),IF(设置!$B$6&lt;$B2006,"",IF((设置!$B$6-$B2006)&gt;=设置!$B$5,"超期"&amp;(设置!$B$6-$B2006)&amp;"天","已等"&amp;(设置!$B$6-$B2006)&amp;"天"))))</f>
        <v/>
      </c>
      <c r="O2006" s="18" t="str">
        <f aca="false">IF(OR($D2006="",$E2006=""),"",COUNTIFS($D$7:$D2006,$D2006,$E$7:$E2006,$E2006))</f>
        <v/>
      </c>
      <c r="P2006" s="16"/>
      <c r="Q2006" s="19"/>
      <c r="R2006" s="10"/>
      <c r="S2006" s="16"/>
      <c r="T2006" s="0" t="str">
        <f aca="false">IF(OR($D2006="",单元查询!$B$3=""),"",IF($D2006&lt;&gt;单元查询!$B$3,"",IF(OR(单元查询!$D$3="",$E2006&amp;""=单元查询!$D$3&amp;""),IF(ISNUMBER($B2006),$B2006*10000,0)+ROW(),"")))</f>
        <v/>
      </c>
      <c r="U2006" s="0" t="str">
        <f aca="false">IF(OR($B2006="",$L2006="已完成"),"",IF(ISNUMBER($B2006),IF(设置!$B$6&lt;$B2006,"",(设置!$B$6-$B2006)*100000+ROW()),""))</f>
        <v/>
      </c>
      <c r="V2006" s="0" t="str">
        <f aca="false">IF(ISNUMBER($O2006),IF($O2006&gt;=2,IF(COUNTIFS($D2006:$D$2006,$D2006,$E2006:$E$2006,$E2006)=1,ROW(),""),""),"")</f>
        <v/>
      </c>
    </row>
  </sheetData>
  <autoFilter ref="A6:S2006"/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cellIs" priority="2" operator="equal" aboveAverage="0" equalAverage="0" bottom="0" percent="0" rank="0" text="" dxfId="13">
      <formula>"休息"</formula>
    </cfRule>
    <cfRule type="cellIs" priority="3" operator="equal" aboveAverage="0" equalAverage="0" bottom="0" percent="0" rank="0" text="" dxfId="14">
      <formula>"空闲"</formula>
    </cfRule>
    <cfRule type="containsText" priority="4" operator="containsText" aboveAverage="0" equalAverage="0" bottom="0" percent="0" rank="0" text="在岗" dxfId="15">
      <formula>NOT(ISERROR(SEARCH("在岗",H4)))</formula>
    </cfRule>
  </conditionalFormatting>
  <conditionalFormatting sqref="H3:L3">
    <cfRule type="cellIs" priority="5" operator="equal" aboveAverage="0" equalAverage="0" bottom="0" percent="0" rank="0" text="" dxfId="13">
      <formula>"休息"</formula>
    </cfRule>
  </conditionalFormatting>
  <conditionalFormatting sqref="N7:N2006">
    <cfRule type="containsText" priority="6" operator="containsText" aboveAverage="0" equalAverage="0" bottom="0" percent="0" rank="0" text="超期" dxfId="16">
      <formula>NOT(ISERROR(SEARCH("超期",N7)))</formula>
    </cfRule>
    <cfRule type="containsText" priority="7" operator="containsText" aboveAverage="0" equalAverage="0" bottom="0" percent="0" rank="0" text="已等" dxfId="15">
      <formula>NOT(ISERROR(SEARCH("已等",N7)))</formula>
    </cfRule>
  </conditionalFormatting>
  <conditionalFormatting sqref="H7:I2006">
    <cfRule type="cellIs" priority="8" operator="equal" aboveAverage="0" equalAverage="0" bottom="0" percent="0" rank="0" text="" dxfId="17">
      <formula>"取消"</formula>
    </cfRule>
  </conditionalFormatting>
  <conditionalFormatting sqref="K7:K2006">
    <cfRule type="cellIs" priority="9" operator="equal" aboveAverage="0" equalAverage="0" bottom="0" percent="0" rank="0" text="" dxfId="16">
      <formula>"优先1"</formula>
    </cfRule>
    <cfRule type="cellIs" priority="10" operator="equal" aboveAverage="0" equalAverage="0" bottom="0" percent="0" rank="0" text="" dxfId="18">
      <formula>"优先2"</formula>
    </cfRule>
    <cfRule type="cellIs" priority="11" operator="equal" aboveAverage="0" equalAverage="0" bottom="0" percent="0" rank="0" text="" dxfId="19">
      <formula>"优先3"</formula>
    </cfRule>
  </conditionalFormatting>
  <conditionalFormatting sqref="L7:L2006">
    <cfRule type="cellIs" priority="12" operator="equal" aboveAverage="0" equalAverage="0" bottom="0" percent="0" rank="0" text="" dxfId="20">
      <formula>"已完成"</formula>
    </cfRule>
    <cfRule type="cellIs" priority="13" operator="equal" aboveAverage="0" equalAverage="0" bottom="0" percent="0" rank="0" text="" dxfId="15">
      <formula>"跟进中"</formula>
    </cfRule>
    <cfRule type="cellIs" priority="14" operator="equal" aboveAverage="0" equalAverage="0" bottom="0" percent="0" rank="0" text="" dxfId="19">
      <formula>"需另约时间"</formula>
    </cfRule>
  </conditionalFormatting>
  <conditionalFormatting sqref="O7:O2006">
    <cfRule type="cellIs" priority="15" operator="between" aboveAverage="0" equalAverage="0" bottom="0" percent="0" rank="0" text="" dxfId="21">
      <formula>3</formula>
      <formula>99999</formula>
    </cfRule>
    <cfRule type="cellIs" priority="16" operator="equal" aboveAverage="0" equalAverage="0" bottom="0" percent="0" rank="0" text="" dxfId="22">
      <formula>2</formula>
    </cfRule>
  </conditionalFormatting>
  <conditionalFormatting sqref="A7:A2006">
    <cfRule type="cellIs" priority="17" operator="equal" aboveAverage="0" equalAverage="0" bottom="0" percent="0" rank="0" text="" dxfId="23">
      <formula>"待补"</formula>
    </cfRule>
  </conditionalFormatting>
  <conditionalFormatting sqref="R7:R2006">
    <cfRule type="cellIs" priority="18" operator="equal" aboveAverage="0" equalAverage="0" bottom="0" percent="0" rank="0" text="" dxfId="24">
      <formula>"非常满意"</formula>
    </cfRule>
    <cfRule type="cellIs" priority="19" operator="equal" aboveAverage="0" equalAverage="0" bottom="0" percent="0" rank="0" text="" dxfId="20">
      <formula>"满意"</formula>
    </cfRule>
    <cfRule type="cellIs" priority="20" operator="equal" aboveAverage="0" equalAverage="0" bottom="0" percent="0" rank="0" text="" dxfId="15">
      <formula>"一般"</formula>
    </cfRule>
    <cfRule type="cellIs" priority="21" operator="equal" aboveAverage="0" equalAverage="0" bottom="0" percent="0" rank="0" text="" dxfId="19">
      <formula>"不满意"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5-05-07。" errorStyle="stop" errorTitle="报修日期" operator="between" prompt="格式 2025-05-07。仪表盘按这一列统计，必须填。" promptTitle="报修日期" showDropDown="false" showErrorMessage="true" showInputMessage="true" sqref="B7:B2006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2006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2006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2006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2006" type="list">
      <formula1>可派单</formula1>
      <formula2>0</formula2>
    </dataValidation>
    <dataValidation allowBlank="true" errorStyle="stop" operator="between" showDropDown="false" showErrorMessage="false" showInputMessage="false" sqref="K7:K2006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2006" type="list">
      <formula1>"跟进中,需另约时间,已完成"</formula1>
      <formula2>0</formula2>
    </dataValidation>
    <dataValidation allowBlank="true" error="请输入日期，例如 2025-05-07。" errorStyle="stop" errorTitle="完成日期" operator="between" prompt="完成情况改为「已完成」时填，用来算处理天数。" promptTitle="完成日期" showDropDown="false" showErrorMessage="true" showInputMessage="true" sqref="M7:M2006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2006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2006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P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9"/>
    <col collapsed="false" customWidth="true" hidden="false" outlineLevel="0" max="4" min="4" style="1" width="11"/>
    <col collapsed="false" customWidth="true" hidden="false" outlineLevel="0" max="9" min="5" style="1" width="10"/>
    <col collapsed="false" customWidth="true" hidden="false" outlineLevel="0" max="10" min="10" style="1" width="11"/>
    <col collapsed="false" customWidth="true" hidden="false" outlineLevel="0" max="13" min="11" style="1" width="10"/>
    <col collapsed="false" customWidth="true" hidden="false" outlineLevel="0" max="14" min="14" style="1" width="11"/>
    <col collapsed="false" customWidth="true" hidden="true" outlineLevel="0" max="17" min="16" style="1" width="13"/>
  </cols>
  <sheetData>
    <row r="1" customFormat="false" ht="36" hidden="false" customHeight="true" outlineLevel="0" collapsed="false">
      <c r="A1" s="21" t="s">
        <v>454</v>
      </c>
      <c r="B1" s="21"/>
      <c r="C1" s="21"/>
      <c r="D1" s="21"/>
      <c r="E1" s="21"/>
      <c r="F1" s="21"/>
      <c r="G1" s="21"/>
      <c r="H1" s="21"/>
      <c r="I1" s="3" t="s">
        <v>455</v>
      </c>
      <c r="J1" s="3"/>
      <c r="K1" s="3"/>
      <c r="L1" s="3"/>
      <c r="M1" s="3"/>
      <c r="N1" s="3"/>
    </row>
    <row r="2" customFormat="false" ht="24" hidden="false" customHeight="true" outlineLevel="0" collapsed="false">
      <c r="A2" s="22" t="s">
        <v>456</v>
      </c>
      <c r="B2" s="23" t="n">
        <f aca="false">设置!$B$6</f>
        <v>45784</v>
      </c>
      <c r="C2" s="23"/>
      <c r="D2" s="24" t="s">
        <v>457</v>
      </c>
      <c r="E2" s="25" t="s">
        <v>458</v>
      </c>
      <c r="F2" s="7" t="str">
        <f aca="false">"　"&amp;TEXT(设置!$B$30,"yyyy-mm-dd")&amp;" ~ "&amp;TEXT(设置!$C$30,"yyyy-mm-dd")&amp;"　　米黄格可改；基准日在【设置】里改，留空即今天"</f>
        <v>　2025-05-01 ~ 2025-05-31　　米黄格可改；基准日在【设置】里改，留空即今天</v>
      </c>
      <c r="G2" s="7"/>
      <c r="H2" s="7"/>
      <c r="I2" s="7"/>
      <c r="J2" s="7"/>
      <c r="K2" s="7"/>
      <c r="L2" s="7"/>
      <c r="M2" s="7"/>
      <c r="N2" s="7"/>
    </row>
    <row r="3" customFormat="false" ht="7.5" hidden="false" customHeight="true" outlineLevel="0" collapsed="false"/>
    <row r="4" customFormat="false" ht="25.5" hidden="false" customHeight="true" outlineLevel="0" collapsed="false">
      <c r="A4" s="26" t="s">
        <v>459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customFormat="false" ht="19.5" hidden="false" customHeight="true" outlineLevel="0" collapsed="false">
      <c r="A5" s="27" t="s">
        <v>460</v>
      </c>
      <c r="B5" s="27"/>
      <c r="C5" s="28" t="s">
        <v>461</v>
      </c>
      <c r="D5" s="28"/>
      <c r="E5" s="28" t="s">
        <v>462</v>
      </c>
      <c r="F5" s="28"/>
      <c r="G5" s="28" t="s">
        <v>463</v>
      </c>
      <c r="H5" s="28"/>
      <c r="I5" s="28" t="s">
        <v>5</v>
      </c>
      <c r="J5" s="28"/>
      <c r="K5" s="29"/>
      <c r="L5" s="29"/>
      <c r="M5" s="29"/>
      <c r="N5" s="29"/>
    </row>
    <row r="6" customFormat="false" ht="36" hidden="false" customHeight="true" outlineLevel="0" collapsed="false">
      <c r="A6" s="30" t="n">
        <f aca="false">COUNTIFS(工单台账!$L$7:$L$2006,"&lt;&gt;已完成",工单台账!$F$7:$F$2006,"&lt;&gt;")</f>
        <v>19</v>
      </c>
      <c r="B6" s="30"/>
      <c r="C6" s="31" t="n">
        <f aca="false">COUNTIF(工单台账!$U$7:$U$2006,"&gt;="&amp;设置!$B$5*100000)</f>
        <v>17</v>
      </c>
      <c r="D6" s="31"/>
      <c r="E6" s="32" t="n">
        <f aca="false">COUNTIFS(工单台账!$O$7:$O$2006,2)</f>
        <v>5</v>
      </c>
      <c r="F6" s="32"/>
      <c r="G6" s="33" t="n">
        <f aca="false">COUNTIF(工单台账!$H$4:$L$4,"空闲")</f>
        <v>0</v>
      </c>
      <c r="H6" s="33"/>
      <c r="I6" s="33" t="n">
        <f aca="false">COUNTIF(工单台账!$H$4:$L$4,"休息")</f>
        <v>1</v>
      </c>
      <c r="J6" s="33"/>
    </row>
    <row r="7" customFormat="false" ht="18" hidden="false" customHeight="true" outlineLevel="0" collapsed="false">
      <c r="A7" s="34" t="s">
        <v>464</v>
      </c>
      <c r="B7" s="34"/>
      <c r="C7" s="35" t="str">
        <f aca="false">"等待 ≥ "&amp;设置!$B$5&amp;" 天"</f>
        <v>等待 ≥ 3 天</v>
      </c>
      <c r="D7" s="35"/>
      <c r="E7" s="35" t="s">
        <v>465</v>
      </c>
      <c r="F7" s="35"/>
      <c r="G7" s="35" t="s">
        <v>466</v>
      </c>
      <c r="H7" s="35"/>
      <c r="I7" s="35" t="s">
        <v>467</v>
      </c>
      <c r="J7" s="35"/>
      <c r="K7" s="36"/>
      <c r="L7" s="36"/>
      <c r="M7" s="36"/>
      <c r="N7" s="36"/>
    </row>
    <row r="8" customFormat="false" ht="7.5" hidden="false" customHeight="true" outlineLevel="0" collapsed="false"/>
    <row r="9" customFormat="false" ht="15" hidden="false" customHeight="true" outlineLevel="0" collapsed="false">
      <c r="A9" s="37" t="str">
        <f aca="false">"未结工单（按等待天数从长到短，最多列 15 单）　共 "&amp;A6&amp;" 单"</f>
        <v>未结工单（按等待天数从长到短，最多列 15 单）　共 19 单</v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</row>
    <row r="10" customFormat="false" ht="24" hidden="false" customHeight="true" outlineLevel="0" collapsed="false">
      <c r="A10" s="38" t="s">
        <v>12</v>
      </c>
      <c r="B10" s="38" t="s">
        <v>14</v>
      </c>
      <c r="C10" s="38" t="s">
        <v>15</v>
      </c>
      <c r="D10" s="38" t="s">
        <v>16</v>
      </c>
      <c r="E10" s="38" t="s">
        <v>17</v>
      </c>
      <c r="F10" s="38"/>
      <c r="G10" s="38"/>
      <c r="H10" s="38" t="s">
        <v>18</v>
      </c>
      <c r="I10" s="38" t="s">
        <v>468</v>
      </c>
      <c r="J10" s="38" t="s">
        <v>13</v>
      </c>
      <c r="K10" s="38" t="s">
        <v>469</v>
      </c>
      <c r="L10" s="38" t="s">
        <v>23</v>
      </c>
      <c r="M10" s="38" t="s">
        <v>470</v>
      </c>
      <c r="N10" s="38"/>
    </row>
    <row r="11" customFormat="false" ht="18.75" hidden="false" customHeight="true" outlineLevel="0" collapsed="false">
      <c r="A11" s="39" t="str">
        <f aca="false">IF($P11=0,"",INDEX(工单台账!$A$7:$A$2006,$P11-6)&amp;"")</f>
        <v>7-凉亭-0501</v>
      </c>
      <c r="B11" s="40" t="str">
        <f aca="false">IF($P11=0,"",INDEX(工单台账!$C$7:$C$2006,$P11-6)&amp;"")</f>
        <v>公区</v>
      </c>
      <c r="C11" s="40" t="str">
        <f aca="false">IF($P11=0,"",INDEX(工单台账!$D$7:$D$2006,$P11-6)&amp;"")</f>
        <v>7栋</v>
      </c>
      <c r="D11" s="40" t="str">
        <f aca="false">IF($P11=0,"",INDEX(工单台账!$E$7:$E$2006,$P11-6)&amp;"")</f>
        <v>凉亭</v>
      </c>
      <c r="E11" s="41" t="str">
        <f aca="false">IF($P11=0,"",INDEX(工单台账!$F$7:$F$2006,$P11-6)&amp;"")</f>
        <v>凉亭顶部雨后积水不退</v>
      </c>
      <c r="F11" s="41"/>
      <c r="G11" s="41"/>
      <c r="H11" s="40" t="str">
        <f aca="false">IF($P11=0,"",INDEX(工单台账!$G$7:$G$2006,$P11-6)&amp;"")</f>
        <v>给排水</v>
      </c>
      <c r="I11" s="39" t="str">
        <f aca="false">IF($P11=0,"",INDEX(工单台账!$H$7:$H$2006,$P11-6)&amp;IF(INDEX(工单台账!$I$7:$I$2006,$P11-6)="","","、"&amp;INDEX(工单台账!$I$7:$I$2006,$P11-6)))</f>
        <v>陈师傅、王师傅</v>
      </c>
      <c r="J11" s="42" t="n">
        <f aca="false">IF($P11=0,"",INDEX(工单台账!$B$7:$B$2006,$P11-6))</f>
        <v>45778</v>
      </c>
      <c r="K11" s="43" t="str">
        <f aca="false">IF($P11=0,"",INDEX(工单台账!$N$7:$N$2006,$P11-6))</f>
        <v>超期6天</v>
      </c>
      <c r="L11" s="40" t="str">
        <f aca="false">IF($P11=0,"",IF(INDEX(工单台账!$L$7:$L$2006,$P11-6)="","没填状态",INDEX(工单台账!$L$7:$L$2006,$P11-6)))</f>
        <v>跟进中</v>
      </c>
      <c r="M11" s="41" t="str">
        <f aca="false">IF($P11=0,"",INDEX(工单台账!$P$7:$P$2006,$P11-6)&amp;"")</f>
        <v>雨水管被落叶堵死，预计重新改管道</v>
      </c>
      <c r="N11" s="41"/>
      <c r="P11" s="1" t="n">
        <f aca="false">IFERROR(MOD(LARGE(工单台账!$U$7:$U$2006,1),100000),0)</f>
        <v>41</v>
      </c>
    </row>
    <row r="12" customFormat="false" ht="18.75" hidden="false" customHeight="true" outlineLevel="0" collapsed="false">
      <c r="A12" s="39" t="str">
        <f aca="false">IF($P12=0,"",INDEX(工单台账!$A$7:$A$2006,$P12-6)&amp;"")</f>
        <v>公-东大门-0501-02</v>
      </c>
      <c r="B12" s="40" t="str">
        <f aca="false">IF($P12=0,"",INDEX(工单台账!$C$7:$C$2006,$P12-6)&amp;"")</f>
        <v>公区</v>
      </c>
      <c r="C12" s="40" t="str">
        <f aca="false">IF($P12=0,"",INDEX(工单台账!$D$7:$D$2006,$P12-6)&amp;"")</f>
        <v>公共区域</v>
      </c>
      <c r="D12" s="40" t="str">
        <f aca="false">IF($P12=0,"",INDEX(工单台账!$E$7:$E$2006,$P12-6)&amp;"")</f>
        <v>东大门</v>
      </c>
      <c r="E12" s="41" t="str">
        <f aca="false">IF($P12=0,"",INDEX(工单台账!$F$7:$F$2006,$P12-6)&amp;"")</f>
        <v>门岗天花受潮破损修缮</v>
      </c>
      <c r="F12" s="41"/>
      <c r="G12" s="41"/>
      <c r="H12" s="40" t="str">
        <f aca="false">IF($P12=0,"",INDEX(工单台账!$G$7:$G$2006,$P12-6)&amp;"")</f>
        <v>墙地饰面</v>
      </c>
      <c r="I12" s="39" t="str">
        <f aca="false">IF($P12=0,"",INDEX(工单台账!$H$7:$H$2006,$P12-6)&amp;IF(INDEX(工单台账!$I$7:$I$2006,$P12-6)="","","、"&amp;INDEX(工单台账!$I$7:$I$2006,$P12-6)))</f>
        <v>刘师傅</v>
      </c>
      <c r="J12" s="42" t="n">
        <f aca="false">IF($P12=0,"",INDEX(工单台账!$B$7:$B$2006,$P12-6))</f>
        <v>45778</v>
      </c>
      <c r="K12" s="43" t="str">
        <f aca="false">IF($P12=0,"",INDEX(工单台账!$N$7:$N$2006,$P12-6))</f>
        <v>超期6天</v>
      </c>
      <c r="L12" s="40" t="str">
        <f aca="false">IF($P12=0,"",IF(INDEX(工单台账!$L$7:$L$2006,$P12-6)="","没填状态",INDEX(工单台账!$L$7:$L$2006,$P12-6)))</f>
        <v>跟进中</v>
      </c>
      <c r="M12" s="41" t="str">
        <f aca="false">IF($P12=0,"",INDEX(工单台账!$P$7:$P$2006,$P12-6)&amp;"")</f>
        <v>已补洞批腻子，待干燥后打磨刷乳胶漆</v>
      </c>
      <c r="N12" s="41"/>
      <c r="P12" s="1" t="n">
        <f aca="false">IFERROR(MOD(LARGE(工单台账!$U$7:$U$2006,2),100000),0)</f>
        <v>39</v>
      </c>
    </row>
    <row r="13" customFormat="false" ht="18.75" hidden="false" customHeight="true" outlineLevel="0" collapsed="false">
      <c r="A13" s="39" t="str">
        <f aca="false">IF($P13=0,"",INDEX(工单台账!$A$7:$A$2006,$P13-6)&amp;"")</f>
        <v>9-肉菜市场-0501</v>
      </c>
      <c r="B13" s="40" t="str">
        <f aca="false">IF($P13=0,"",INDEX(工单台账!$C$7:$C$2006,$P13-6)&amp;"")</f>
        <v>公区</v>
      </c>
      <c r="C13" s="40" t="str">
        <f aca="false">IF($P13=0,"",INDEX(工单台账!$D$7:$D$2006,$P13-6)&amp;"")</f>
        <v>9栋</v>
      </c>
      <c r="D13" s="40" t="str">
        <f aca="false">IF($P13=0,"",INDEX(工单台账!$E$7:$E$2006,$P13-6)&amp;"")</f>
        <v>肉菜市场</v>
      </c>
      <c r="E13" s="41" t="str">
        <f aca="false">IF($P13=0,"",INDEX(工单台账!$F$7:$F$2006,$P13-6)&amp;"")</f>
        <v>市场内墙雨后渗水</v>
      </c>
      <c r="F13" s="41"/>
      <c r="G13" s="41"/>
      <c r="H13" s="40" t="str">
        <f aca="false">IF($P13=0,"",INDEX(工单台账!$G$7:$G$2006,$P13-6)&amp;"")</f>
        <v>渗漏防水</v>
      </c>
      <c r="I13" s="39" t="str">
        <f aca="false">IF($P13=0,"",INDEX(工单台账!$H$7:$H$2006,$P13-6)&amp;IF(INDEX(工单台账!$I$7:$I$2006,$P13-6)="","","、"&amp;INDEX(工单台账!$I$7:$I$2006,$P13-6)))</f>
        <v>刘师傅</v>
      </c>
      <c r="J13" s="42" t="n">
        <f aca="false">IF($P13=0,"",INDEX(工单台账!$B$7:$B$2006,$P13-6))</f>
        <v>45778</v>
      </c>
      <c r="K13" s="43" t="str">
        <f aca="false">IF($P13=0,"",INDEX(工单台账!$N$7:$N$2006,$P13-6))</f>
        <v>超期6天</v>
      </c>
      <c r="L13" s="40" t="str">
        <f aca="false">IF($P13=0,"",IF(INDEX(工单台账!$L$7:$L$2006,$P13-6)="","没填状态",INDEX(工单台账!$L$7:$L$2006,$P13-6)))</f>
        <v>跟进中</v>
      </c>
      <c r="M13" s="41" t="str">
        <f aca="false">IF($P13=0,"",INDEX(工单台账!$P$7:$P$2006,$P13-6)&amp;"")</f>
        <v>待跟进</v>
      </c>
      <c r="N13" s="41"/>
      <c r="P13" s="1" t="n">
        <f aca="false">IFERROR(MOD(LARGE(工单台账!$U$7:$U$2006,3),100000),0)</f>
        <v>35</v>
      </c>
    </row>
    <row r="14" customFormat="false" ht="18.75" hidden="false" customHeight="true" outlineLevel="0" collapsed="false">
      <c r="A14" s="39" t="str">
        <f aca="false">IF($P14=0,"",INDEX(工单台账!$A$7:$A$2006,$P14-6)&amp;"")</f>
        <v>8-1602-0501</v>
      </c>
      <c r="B14" s="40" t="str">
        <f aca="false">IF($P14=0,"",INDEX(工单台账!$C$7:$C$2006,$P14-6)&amp;"")</f>
        <v>入户</v>
      </c>
      <c r="C14" s="40" t="str">
        <f aca="false">IF($P14=0,"",INDEX(工单台账!$D$7:$D$2006,$P14-6)&amp;"")</f>
        <v>8栋</v>
      </c>
      <c r="D14" s="40" t="str">
        <f aca="false">IF($P14=0,"",INDEX(工单台账!$E$7:$E$2006,$P14-6)&amp;"")</f>
        <v>1602</v>
      </c>
      <c r="E14" s="41" t="str">
        <f aca="false">IF($P14=0,"",INDEX(工单台账!$F$7:$F$2006,$P14-6)&amp;"")</f>
        <v>客厅空调管冷凝水滴落</v>
      </c>
      <c r="F14" s="41"/>
      <c r="G14" s="41"/>
      <c r="H14" s="40" t="str">
        <f aca="false">IF($P14=0,"",INDEX(工单台账!$G$7:$G$2006,$P14-6)&amp;"")</f>
        <v>空调暖通</v>
      </c>
      <c r="I14" s="39" t="str">
        <f aca="false">IF($P14=0,"",INDEX(工单台账!$H$7:$H$2006,$P14-6)&amp;IF(INDEX(工单台账!$I$7:$I$2006,$P14-6)="","","、"&amp;INDEX(工单台账!$I$7:$I$2006,$P14-6)))</f>
        <v/>
      </c>
      <c r="J14" s="42" t="n">
        <f aca="false">IF($P14=0,"",INDEX(工单台账!$B$7:$B$2006,$P14-6))</f>
        <v>45778</v>
      </c>
      <c r="K14" s="43" t="str">
        <f aca="false">IF($P14=0,"",INDEX(工单台账!$N$7:$N$2006,$P14-6))</f>
        <v>超期6天</v>
      </c>
      <c r="L14" s="40" t="str">
        <f aca="false">IF($P14=0,"",IF(INDEX(工单台账!$L$7:$L$2006,$P14-6)="","没填状态",INDEX(工单台账!$L$7:$L$2006,$P14-6)))</f>
        <v>跟进中</v>
      </c>
      <c r="M14" s="41" t="str">
        <f aca="false">IF($P14=0,"",INDEX(工单台账!$P$7:$P$2006,$P14-6)&amp;"")</f>
        <v>需先由第三方单位为楼上住户空调管加装保温棉</v>
      </c>
      <c r="N14" s="41"/>
      <c r="P14" s="1" t="n">
        <f aca="false">IFERROR(MOD(LARGE(工单台账!$U$7:$U$2006,4),100000),0)</f>
        <v>14</v>
      </c>
    </row>
    <row r="15" customFormat="false" ht="18.75" hidden="false" customHeight="true" outlineLevel="0" collapsed="false">
      <c r="A15" s="39" t="str">
        <f aca="false">IF($P15=0,"",INDEX(工单台账!$A$7:$A$2006,$P15-6)&amp;"")</f>
        <v>6-701-0501</v>
      </c>
      <c r="B15" s="40" t="str">
        <f aca="false">IF($P15=0,"",INDEX(工单台账!$C$7:$C$2006,$P15-6)&amp;"")</f>
        <v>入户</v>
      </c>
      <c r="C15" s="40" t="str">
        <f aca="false">IF($P15=0,"",INDEX(工单台账!$D$7:$D$2006,$P15-6)&amp;"")</f>
        <v>6栋</v>
      </c>
      <c r="D15" s="40" t="str">
        <f aca="false">IF($P15=0,"",INDEX(工单台账!$E$7:$E$2006,$P15-6)&amp;"")</f>
        <v>701</v>
      </c>
      <c r="E15" s="41" t="str">
        <f aca="false">IF($P15=0,"",INDEX(工单台账!$F$7:$F$2006,$P15-6)&amp;"")</f>
        <v>次卧墙面受潮鼓包起皮</v>
      </c>
      <c r="F15" s="41"/>
      <c r="G15" s="41"/>
      <c r="H15" s="40" t="str">
        <f aca="false">IF($P15=0,"",INDEX(工单台账!$G$7:$G$2006,$P15-6)&amp;"")</f>
        <v>墙地饰面</v>
      </c>
      <c r="I15" s="39" t="str">
        <f aca="false">IF($P15=0,"",INDEX(工单台账!$H$7:$H$2006,$P15-6)&amp;IF(INDEX(工单台账!$I$7:$I$2006,$P15-6)="","","、"&amp;INDEX(工单台账!$I$7:$I$2006,$P15-6)))</f>
        <v>李师傅</v>
      </c>
      <c r="J15" s="42" t="n">
        <f aca="false">IF($P15=0,"",INDEX(工单台账!$B$7:$B$2006,$P15-6))</f>
        <v>45778</v>
      </c>
      <c r="K15" s="43" t="str">
        <f aca="false">IF($P15=0,"",INDEX(工单台账!$N$7:$N$2006,$P15-6))</f>
        <v>超期6天</v>
      </c>
      <c r="L15" s="40" t="str">
        <f aca="false">IF($P15=0,"",IF(INDEX(工单台账!$L$7:$L$2006,$P15-6)="","没填状态",INDEX(工单台账!$L$7:$L$2006,$P15-6)))</f>
        <v>跟进中</v>
      </c>
      <c r="M15" s="41" t="str">
        <f aca="false">IF($P15=0,"",INDEX(工单台账!$P$7:$P$2006,$P15-6)&amp;"")</f>
        <v>已铲除鼓包批第一遍腻子，待干透后约第二次上门</v>
      </c>
      <c r="N15" s="41"/>
      <c r="P15" s="1" t="n">
        <f aca="false">IFERROR(MOD(LARGE(工单台账!$U$7:$U$2006,5),100000),0)</f>
        <v>13</v>
      </c>
    </row>
    <row r="16" customFormat="false" ht="18.75" hidden="false" customHeight="true" outlineLevel="0" collapsed="false">
      <c r="A16" s="39" t="str">
        <f aca="false">IF($P16=0,"",INDEX(工单台账!$A$7:$A$2006,$P16-6)&amp;"")</f>
        <v>6-2504-0501</v>
      </c>
      <c r="B16" s="40" t="str">
        <f aca="false">IF($P16=0,"",INDEX(工单台账!$C$7:$C$2006,$P16-6)&amp;"")</f>
        <v>入户</v>
      </c>
      <c r="C16" s="40" t="str">
        <f aca="false">IF($P16=0,"",INDEX(工单台账!$D$7:$D$2006,$P16-6)&amp;"")</f>
        <v>6栋</v>
      </c>
      <c r="D16" s="40" t="str">
        <f aca="false">IF($P16=0,"",INDEX(工单台账!$E$7:$E$2006,$P16-6)&amp;"")</f>
        <v>2504</v>
      </c>
      <c r="E16" s="41" t="str">
        <f aca="false">IF($P16=0,"",INDEX(工单台账!$F$7:$F$2006,$P16-6)&amp;"")</f>
        <v>空调开机后室内机滴水</v>
      </c>
      <c r="F16" s="41"/>
      <c r="G16" s="41"/>
      <c r="H16" s="40" t="str">
        <f aca="false">IF($P16=0,"",INDEX(工单台账!$G$7:$G$2006,$P16-6)&amp;"")</f>
        <v>空调暖通</v>
      </c>
      <c r="I16" s="39" t="str">
        <f aca="false">IF($P16=0,"",INDEX(工单台账!$H$7:$H$2006,$P16-6)&amp;IF(INDEX(工单台账!$I$7:$I$2006,$P16-6)="","","、"&amp;INDEX(工单台账!$I$7:$I$2006,$P16-6)))</f>
        <v>刘师傅、张师傅</v>
      </c>
      <c r="J16" s="42" t="n">
        <f aca="false">IF($P16=0,"",INDEX(工单台账!$B$7:$B$2006,$P16-6))</f>
        <v>45778</v>
      </c>
      <c r="K16" s="43" t="str">
        <f aca="false">IF($P16=0,"",INDEX(工单台账!$N$7:$N$2006,$P16-6))</f>
        <v>超期6天</v>
      </c>
      <c r="L16" s="40" t="str">
        <f aca="false">IF($P16=0,"",IF(INDEX(工单台账!$L$7:$L$2006,$P16-6)="","没填状态",INDEX(工单台账!$L$7:$L$2006,$P16-6)))</f>
        <v>跟进中</v>
      </c>
      <c r="M16" s="41" t="str">
        <f aca="false">IF($P16=0,"",INDEX(工单台账!$P$7:$P$2006,$P16-6)&amp;"")</f>
        <v>需重新包扎保温棉，待料处理</v>
      </c>
      <c r="N16" s="41"/>
      <c r="P16" s="1" t="n">
        <f aca="false">IFERROR(MOD(LARGE(工单台账!$U$7:$U$2006,6),100000),0)</f>
        <v>8</v>
      </c>
    </row>
    <row r="17" customFormat="false" ht="18.75" hidden="false" customHeight="true" outlineLevel="0" collapsed="false">
      <c r="A17" s="39" t="str">
        <f aca="false">IF($P17=0,"",INDEX(工单台账!$A$7:$A$2006,$P17-6)&amp;"")</f>
        <v>7-1301-0502</v>
      </c>
      <c r="B17" s="40" t="str">
        <f aca="false">IF($P17=0,"",INDEX(工单台账!$C$7:$C$2006,$P17-6)&amp;"")</f>
        <v>入户</v>
      </c>
      <c r="C17" s="40" t="str">
        <f aca="false">IF($P17=0,"",INDEX(工单台账!$D$7:$D$2006,$P17-6)&amp;"")</f>
        <v>7栋</v>
      </c>
      <c r="D17" s="40" t="str">
        <f aca="false">IF($P17=0,"",INDEX(工单台账!$E$7:$E$2006,$P17-6)&amp;"")</f>
        <v>1301</v>
      </c>
      <c r="E17" s="41" t="str">
        <f aca="false">IF($P17=0,"",INDEX(工单台账!$F$7:$F$2006,$P17-6)&amp;"")</f>
        <v>卧室墙面出现细小裂纹</v>
      </c>
      <c r="F17" s="41"/>
      <c r="G17" s="41"/>
      <c r="H17" s="40" t="str">
        <f aca="false">IF($P17=0,"",INDEX(工单台账!$G$7:$G$2006,$P17-6)&amp;"")</f>
        <v>墙地饰面</v>
      </c>
      <c r="I17" s="39" t="str">
        <f aca="false">IF($P17=0,"",INDEX(工单台账!$H$7:$H$2006,$P17-6)&amp;IF(INDEX(工单台账!$I$7:$I$2006,$P17-6)="","","、"&amp;INDEX(工单台账!$I$7:$I$2006,$P17-6)))</f>
        <v>李师傅</v>
      </c>
      <c r="J17" s="42" t="n">
        <f aca="false">IF($P17=0,"",INDEX(工单台账!$B$7:$B$2006,$P17-6))</f>
        <v>45779</v>
      </c>
      <c r="K17" s="43" t="str">
        <f aca="false">IF($P17=0,"",INDEX(工单台账!$N$7:$N$2006,$P17-6))</f>
        <v>超期5天</v>
      </c>
      <c r="L17" s="40" t="str">
        <f aca="false">IF($P17=0,"",IF(INDEX(工单台账!$L$7:$L$2006,$P17-6)="","没填状态",INDEX(工单台账!$L$7:$L$2006,$P17-6)))</f>
        <v>跟进中</v>
      </c>
      <c r="M17" s="41" t="str">
        <f aca="false">IF($P17=0,"",INDEX(工单台账!$P$7:$P$2006,$P17-6)&amp;"")</f>
        <v>已现场查看，待腻子干透后打磨修补</v>
      </c>
      <c r="N17" s="41"/>
      <c r="P17" s="1" t="n">
        <f aca="false">IFERROR(MOD(LARGE(工单台账!$U$7:$U$2006,7),100000),0)</f>
        <v>61</v>
      </c>
    </row>
    <row r="18" customFormat="false" ht="18.75" hidden="false" customHeight="true" outlineLevel="0" collapsed="false">
      <c r="A18" s="39" t="str">
        <f aca="false">IF($P18=0,"",INDEX(工单台账!$A$7:$A$2006,$P18-6)&amp;"")</f>
        <v>5-1501-0502</v>
      </c>
      <c r="B18" s="40" t="str">
        <f aca="false">IF($P18=0,"",INDEX(工单台账!$C$7:$C$2006,$P18-6)&amp;"")</f>
        <v>入户</v>
      </c>
      <c r="C18" s="40" t="str">
        <f aca="false">IF($P18=0,"",INDEX(工单台账!$D$7:$D$2006,$P18-6)&amp;"")</f>
        <v>5栋</v>
      </c>
      <c r="D18" s="40" t="str">
        <f aca="false">IF($P18=0,"",INDEX(工单台账!$E$7:$E$2006,$P18-6)&amp;"")</f>
        <v>1501</v>
      </c>
      <c r="E18" s="41" t="str">
        <f aca="false">IF($P18=0,"",INDEX(工单台账!$F$7:$F$2006,$P18-6)&amp;"")</f>
        <v>主卧外墙渗水，墙纸发霉</v>
      </c>
      <c r="F18" s="41"/>
      <c r="G18" s="41"/>
      <c r="H18" s="40" t="str">
        <f aca="false">IF($P18=0,"",INDEX(工单台账!$G$7:$G$2006,$P18-6)&amp;"")</f>
        <v>渗漏防水</v>
      </c>
      <c r="I18" s="39" t="str">
        <f aca="false">IF($P18=0,"",INDEX(工单台账!$H$7:$H$2006,$P18-6)&amp;IF(INDEX(工单台账!$I$7:$I$2006,$P18-6)="","","、"&amp;INDEX(工单台账!$I$7:$I$2006,$P18-6)))</f>
        <v>陈师傅</v>
      </c>
      <c r="J18" s="42" t="n">
        <f aca="false">IF($P18=0,"",INDEX(工单台账!$B$7:$B$2006,$P18-6))</f>
        <v>45779</v>
      </c>
      <c r="K18" s="43" t="str">
        <f aca="false">IF($P18=0,"",INDEX(工单台账!$N$7:$N$2006,$P18-6))</f>
        <v>超期5天</v>
      </c>
      <c r="L18" s="40" t="str">
        <f aca="false">IF($P18=0,"",IF(INDEX(工单台账!$L$7:$L$2006,$P18-6)="","没填状态",INDEX(工单台账!$L$7:$L$2006,$P18-6)))</f>
        <v>跟进中</v>
      </c>
      <c r="M18" s="41" t="str">
        <f aca="false">IF($P18=0,"",INDEX(工单台账!$P$7:$P$2006,$P18-6)&amp;"")</f>
        <v>已现场拍照留证，待后续协商处理（业主意向使用公共维修资金）</v>
      </c>
      <c r="N18" s="41"/>
      <c r="P18" s="1" t="n">
        <f aca="false">IFERROR(MOD(LARGE(工单台账!$U$7:$U$2006,8),100000),0)</f>
        <v>51</v>
      </c>
    </row>
    <row r="19" customFormat="false" ht="18.75" hidden="false" customHeight="true" outlineLevel="0" collapsed="false">
      <c r="A19" s="39" t="str">
        <f aca="false">IF($P19=0,"",INDEX(工单台账!$A$7:$A$2006,$P19-6)&amp;"")</f>
        <v>6-3304-0502</v>
      </c>
      <c r="B19" s="40" t="str">
        <f aca="false">IF($P19=0,"",INDEX(工单台账!$C$7:$C$2006,$P19-6)&amp;"")</f>
        <v>入户</v>
      </c>
      <c r="C19" s="40" t="str">
        <f aca="false">IF($P19=0,"",INDEX(工单台账!$D$7:$D$2006,$P19-6)&amp;"")</f>
        <v>6栋</v>
      </c>
      <c r="D19" s="40" t="str">
        <f aca="false">IF($P19=0,"",INDEX(工单台账!$E$7:$E$2006,$P19-6)&amp;"")</f>
        <v>3304</v>
      </c>
      <c r="E19" s="41" t="str">
        <f aca="false">IF($P19=0,"",INDEX(工单台账!$F$7:$F$2006,$P19-6)&amp;"")</f>
        <v>空调外机噪音大</v>
      </c>
      <c r="F19" s="41"/>
      <c r="G19" s="41"/>
      <c r="H19" s="40" t="str">
        <f aca="false">IF($P19=0,"",INDEX(工单台账!$G$7:$G$2006,$P19-6)&amp;"")</f>
        <v>空调暖通</v>
      </c>
      <c r="I19" s="39" t="str">
        <f aca="false">IF($P19=0,"",INDEX(工单台账!$H$7:$H$2006,$P19-6)&amp;IF(INDEX(工单台账!$I$7:$I$2006,$P19-6)="","","、"&amp;INDEX(工单台账!$I$7:$I$2006,$P19-6)))</f>
        <v>李师傅</v>
      </c>
      <c r="J19" s="42" t="n">
        <f aca="false">IF($P19=0,"",INDEX(工单台账!$B$7:$B$2006,$P19-6))</f>
        <v>45779</v>
      </c>
      <c r="K19" s="43" t="str">
        <f aca="false">IF($P19=0,"",INDEX(工单台账!$N$7:$N$2006,$P19-6))</f>
        <v>超期5天</v>
      </c>
      <c r="L19" s="40" t="str">
        <f aca="false">IF($P19=0,"",IF(INDEX(工单台账!$L$7:$L$2006,$P19-6)="","没填状态",INDEX(工单台账!$L$7:$L$2006,$P19-6)))</f>
        <v>跟进中</v>
      </c>
      <c r="M19" s="41" t="str">
        <f aca="false">IF($P19=0,"",INDEX(工单台账!$P$7:$P$2006,$P19-6)&amp;"")</f>
        <v>非物业维修范围，业主已联系空调售后</v>
      </c>
      <c r="N19" s="41"/>
      <c r="P19" s="1" t="n">
        <f aca="false">IFERROR(MOD(LARGE(工单台账!$U$7:$U$2006,9),100000),0)</f>
        <v>48</v>
      </c>
    </row>
    <row r="20" customFormat="false" ht="18.75" hidden="false" customHeight="true" outlineLevel="0" collapsed="false">
      <c r="A20" s="39" t="str">
        <f aca="false">IF($P20=0,"",INDEX(工单台账!$A$7:$A$2006,$P20-6)&amp;"")</f>
        <v>5-1602-0502</v>
      </c>
      <c r="B20" s="40" t="str">
        <f aca="false">IF($P20=0,"",INDEX(工单台账!$C$7:$C$2006,$P20-6)&amp;"")</f>
        <v>入户</v>
      </c>
      <c r="C20" s="40" t="str">
        <f aca="false">IF($P20=0,"",INDEX(工单台账!$D$7:$D$2006,$P20-6)&amp;"")</f>
        <v>5栋</v>
      </c>
      <c r="D20" s="40" t="str">
        <f aca="false">IF($P20=0,"",INDEX(工单台账!$E$7:$E$2006,$P20-6)&amp;"")</f>
        <v>1602</v>
      </c>
      <c r="E20" s="41" t="str">
        <f aca="false">IF($P20=0,"",INDEX(工单台账!$F$7:$F$2006,$P20-6)&amp;"")</f>
        <v>次卧外墙窗边渗水</v>
      </c>
      <c r="F20" s="41"/>
      <c r="G20" s="41"/>
      <c r="H20" s="40" t="str">
        <f aca="false">IF($P20=0,"",INDEX(工单台账!$G$7:$G$2006,$P20-6)&amp;"")</f>
        <v>渗漏防水</v>
      </c>
      <c r="I20" s="39" t="str">
        <f aca="false">IF($P20=0,"",INDEX(工单台账!$H$7:$H$2006,$P20-6)&amp;IF(INDEX(工单台账!$I$7:$I$2006,$P20-6)="","","、"&amp;INDEX(工单台账!$I$7:$I$2006,$P20-6)))</f>
        <v>李师傅</v>
      </c>
      <c r="J20" s="42" t="n">
        <f aca="false">IF($P20=0,"",INDEX(工单台账!$B$7:$B$2006,$P20-6))</f>
        <v>45779</v>
      </c>
      <c r="K20" s="43" t="str">
        <f aca="false">IF($P20=0,"",INDEX(工单台账!$N$7:$N$2006,$P20-6))</f>
        <v>超期5天</v>
      </c>
      <c r="L20" s="40" t="str">
        <f aca="false">IF($P20=0,"",IF(INDEX(工单台账!$L$7:$L$2006,$P20-6)="","没填状态",INDEX(工单台账!$L$7:$L$2006,$P20-6)))</f>
        <v>跟进中</v>
      </c>
      <c r="M20" s="41" t="str">
        <f aca="false">IF($P20=0,"",INDEX(工单台账!$P$7:$P$2006,$P20-6)&amp;"")</f>
        <v>已查看，业主要求先处理室内墙面，再排查渗水点并尽快修复</v>
      </c>
      <c r="N20" s="41"/>
      <c r="P20" s="1" t="n">
        <f aca="false">IFERROR(MOD(LARGE(工单台账!$U$7:$U$2006,10),100000),0)</f>
        <v>42</v>
      </c>
    </row>
    <row r="21" customFormat="false" ht="18.75" hidden="false" customHeight="true" outlineLevel="0" collapsed="false">
      <c r="A21" s="39" t="str">
        <f aca="false">IF($P21=0,"",INDEX(工单台账!$A$7:$A$2006,$P21-6)&amp;"")</f>
        <v>公-254车位-0503</v>
      </c>
      <c r="B21" s="40" t="str">
        <f aca="false">IF($P21=0,"",INDEX(工单台账!$C$7:$C$2006,$P21-6)&amp;"")</f>
        <v>公区</v>
      </c>
      <c r="C21" s="40" t="str">
        <f aca="false">IF($P21=0,"",INDEX(工单台账!$D$7:$D$2006,$P21-6)&amp;"")</f>
        <v>公共区域</v>
      </c>
      <c r="D21" s="40" t="str">
        <f aca="false">IF($P21=0,"",INDEX(工单台账!$E$7:$E$2006,$P21-6)&amp;"")</f>
        <v>254车位</v>
      </c>
      <c r="E21" s="41" t="str">
        <f aca="false">IF($P21=0,"",INDEX(工单台账!$F$7:$F$2006,$P21-6)&amp;"")</f>
        <v>车位顶板漏水</v>
      </c>
      <c r="F21" s="41"/>
      <c r="G21" s="41"/>
      <c r="H21" s="40" t="str">
        <f aca="false">IF($P21=0,"",INDEX(工单台账!$G$7:$G$2006,$P21-6)&amp;"")</f>
        <v>渗漏防水</v>
      </c>
      <c r="I21" s="39" t="str">
        <f aca="false">IF($P21=0,"",INDEX(工单台账!$H$7:$H$2006,$P21-6)&amp;IF(INDEX(工单台账!$I$7:$I$2006,$P21-6)="","","、"&amp;INDEX(工单台账!$I$7:$I$2006,$P21-6)))</f>
        <v/>
      </c>
      <c r="J21" s="42" t="n">
        <f aca="false">IF($P21=0,"",INDEX(工单台账!$B$7:$B$2006,$P21-6))</f>
        <v>45780</v>
      </c>
      <c r="K21" s="43" t="str">
        <f aca="false">IF($P21=0,"",INDEX(工单台账!$N$7:$N$2006,$P21-6))</f>
        <v>超期4天</v>
      </c>
      <c r="L21" s="40" t="str">
        <f aca="false">IF($P21=0,"",IF(INDEX(工单台账!$L$7:$L$2006,$P21-6)="","没填状态",INDEX(工单台账!$L$7:$L$2006,$P21-6)))</f>
        <v>没填状态</v>
      </c>
      <c r="M21" s="41" t="str">
        <f aca="false">IF($P21=0,"",INDEX(工单台账!$P$7:$P$2006,$P21-6)&amp;"")</f>
        <v/>
      </c>
      <c r="N21" s="41"/>
      <c r="P21" s="1" t="n">
        <f aca="false">IFERROR(MOD(LARGE(工单台账!$U$7:$U$2006,11),100000),0)</f>
        <v>96</v>
      </c>
    </row>
    <row r="22" customFormat="false" ht="18.75" hidden="false" customHeight="true" outlineLevel="0" collapsed="false">
      <c r="A22" s="39" t="str">
        <f aca="false">IF($P22=0,"",INDEX(工单台账!$A$7:$A$2006,$P22-6)&amp;"")</f>
        <v>6-2802-0503</v>
      </c>
      <c r="B22" s="40" t="str">
        <f aca="false">IF($P22=0,"",INDEX(工单台账!$C$7:$C$2006,$P22-6)&amp;"")</f>
        <v>入户</v>
      </c>
      <c r="C22" s="40" t="str">
        <f aca="false">IF($P22=0,"",INDEX(工单台账!$D$7:$D$2006,$P22-6)&amp;"")</f>
        <v>6栋</v>
      </c>
      <c r="D22" s="40" t="str">
        <f aca="false">IF($P22=0,"",INDEX(工单台账!$E$7:$E$2006,$P22-6)&amp;"")</f>
        <v>2802</v>
      </c>
      <c r="E22" s="41" t="str">
        <f aca="false">IF($P22=0,"",INDEX(工单台账!$F$7:$F$2006,$P22-6)&amp;"")</f>
        <v>连续下雨后阳台墙面渗水</v>
      </c>
      <c r="F22" s="41"/>
      <c r="G22" s="41"/>
      <c r="H22" s="40" t="str">
        <f aca="false">IF($P22=0,"",INDEX(工单台账!$G$7:$G$2006,$P22-6)&amp;"")</f>
        <v>渗漏防水</v>
      </c>
      <c r="I22" s="39" t="str">
        <f aca="false">IF($P22=0,"",INDEX(工单台账!$H$7:$H$2006,$P22-6)&amp;IF(INDEX(工单台账!$I$7:$I$2006,$P22-6)="","","、"&amp;INDEX(工单台账!$I$7:$I$2006,$P22-6)))</f>
        <v>陈师傅</v>
      </c>
      <c r="J22" s="42" t="n">
        <f aca="false">IF($P22=0,"",INDEX(工单台账!$B$7:$B$2006,$P22-6))</f>
        <v>45780</v>
      </c>
      <c r="K22" s="43" t="str">
        <f aca="false">IF($P22=0,"",INDEX(工单台账!$N$7:$N$2006,$P22-6))</f>
        <v>超期4天</v>
      </c>
      <c r="L22" s="40" t="str">
        <f aca="false">IF($P22=0,"",IF(INDEX(工单台账!$L$7:$L$2006,$P22-6)="","没填状态",INDEX(工单台账!$L$7:$L$2006,$P22-6)))</f>
        <v>跟进中</v>
      </c>
      <c r="M22" s="41" t="str">
        <f aca="false">IF($P22=0,"",INDEX(工单台账!$P$7:$P$2006,$P22-6)&amp;"")</f>
        <v>已拍照留证，待联系防水单位复查</v>
      </c>
      <c r="N22" s="41"/>
      <c r="P22" s="1" t="n">
        <f aca="false">IFERROR(MOD(LARGE(工单台账!$U$7:$U$2006,12),100000),0)</f>
        <v>95</v>
      </c>
    </row>
    <row r="23" customFormat="false" ht="18.75" hidden="false" customHeight="true" outlineLevel="0" collapsed="false">
      <c r="A23" s="39" t="str">
        <f aca="false">IF($P23=0,"",INDEX(工单台账!$A$7:$A$2006,$P23-6)&amp;"")</f>
        <v>7-3002-0503</v>
      </c>
      <c r="B23" s="40" t="str">
        <f aca="false">IF($P23=0,"",INDEX(工单台账!$C$7:$C$2006,$P23-6)&amp;"")</f>
        <v>入户</v>
      </c>
      <c r="C23" s="40" t="str">
        <f aca="false">IF($P23=0,"",INDEX(工单台账!$D$7:$D$2006,$P23-6)&amp;"")</f>
        <v>7栋</v>
      </c>
      <c r="D23" s="40" t="str">
        <f aca="false">IF($P23=0,"",INDEX(工单台账!$E$7:$E$2006,$P23-6)&amp;"")</f>
        <v>3002</v>
      </c>
      <c r="E23" s="41" t="str">
        <f aca="false">IF($P23=0,"",INDEX(工单台账!$F$7:$F$2006,$P23-6)&amp;"")</f>
        <v>需要加装插座并固定门把手</v>
      </c>
      <c r="F23" s="41"/>
      <c r="G23" s="41"/>
      <c r="H23" s="40" t="str">
        <f aca="false">IF($P23=0,"",INDEX(工单台账!$G$7:$G$2006,$P23-6)&amp;"")</f>
        <v>电气照明</v>
      </c>
      <c r="I23" s="39" t="str">
        <f aca="false">IF($P23=0,"",INDEX(工单台账!$H$7:$H$2006,$P23-6)&amp;IF(INDEX(工单台账!$I$7:$I$2006,$P23-6)="","","、"&amp;INDEX(工单台账!$I$7:$I$2006,$P23-6)))</f>
        <v>张师傅</v>
      </c>
      <c r="J23" s="42" t="n">
        <f aca="false">IF($P23=0,"",INDEX(工单台账!$B$7:$B$2006,$P23-6))</f>
        <v>45780</v>
      </c>
      <c r="K23" s="43" t="str">
        <f aca="false">IF($P23=0,"",INDEX(工单台账!$N$7:$N$2006,$P23-6))</f>
        <v>超期4天</v>
      </c>
      <c r="L23" s="40" t="str">
        <f aca="false">IF($P23=0,"",IF(INDEX(工单台账!$L$7:$L$2006,$P23-6)="","没填状态",INDEX(工单台账!$L$7:$L$2006,$P23-6)))</f>
        <v>跟进中</v>
      </c>
      <c r="M23" s="41" t="str">
        <f aca="false">IF($P23=0,"",INDEX(工单台账!$P$7:$P$2006,$P23-6)&amp;"")</f>
        <v>门把手已固定，插座待业主买好面板后再约时间</v>
      </c>
      <c r="N23" s="41"/>
      <c r="P23" s="1" t="n">
        <f aca="false">IFERROR(MOD(LARGE(工单台账!$U$7:$U$2006,13),100000),0)</f>
        <v>78</v>
      </c>
    </row>
    <row r="24" customFormat="false" ht="18.75" hidden="false" customHeight="true" outlineLevel="0" collapsed="false">
      <c r="A24" s="39" t="str">
        <f aca="false">IF($P24=0,"",INDEX(工单台账!$A$7:$A$2006,$P24-6)&amp;"")</f>
        <v>5-货梯-0504</v>
      </c>
      <c r="B24" s="40" t="str">
        <f aca="false">IF($P24=0,"",INDEX(工单台账!$C$7:$C$2006,$P24-6)&amp;"")</f>
        <v>公区</v>
      </c>
      <c r="C24" s="40" t="str">
        <f aca="false">IF($P24=0,"",INDEX(工单台账!$D$7:$D$2006,$P24-6)&amp;"")</f>
        <v>5栋</v>
      </c>
      <c r="D24" s="40" t="str">
        <f aca="false">IF($P24=0,"",INDEX(工单台账!$E$7:$E$2006,$P24-6)&amp;"")</f>
        <v>货梯</v>
      </c>
      <c r="E24" s="41" t="str">
        <f aca="false">IF($P24=0,"",INDEX(工单台账!$F$7:$F$2006,$P24-6)&amp;"")</f>
        <v>5栋货梯空调不凉</v>
      </c>
      <c r="F24" s="41"/>
      <c r="G24" s="41"/>
      <c r="H24" s="40" t="str">
        <f aca="false">IF($P24=0,"",INDEX(工单台账!$G$7:$G$2006,$P24-6)&amp;"")</f>
        <v>空调暖通</v>
      </c>
      <c r="I24" s="39" t="str">
        <f aca="false">IF($P24=0,"",INDEX(工单台账!$H$7:$H$2006,$P24-6)&amp;IF(INDEX(工单台账!$I$7:$I$2006,$P24-6)="","","、"&amp;INDEX(工单台账!$I$7:$I$2006,$P24-6)))</f>
        <v/>
      </c>
      <c r="J24" s="42" t="n">
        <f aca="false">IF($P24=0,"",INDEX(工单台账!$B$7:$B$2006,$P24-6))</f>
        <v>45781</v>
      </c>
      <c r="K24" s="43" t="str">
        <f aca="false">IF($P24=0,"",INDEX(工单台账!$N$7:$N$2006,$P24-6))</f>
        <v>超期3天</v>
      </c>
      <c r="L24" s="40" t="str">
        <f aca="false">IF($P24=0,"",IF(INDEX(工单台账!$L$7:$L$2006,$P24-6)="","没填状态",INDEX(工单台账!$L$7:$L$2006,$P24-6)))</f>
        <v>没填状态</v>
      </c>
      <c r="M24" s="41" t="str">
        <f aca="false">IF($P24=0,"",INDEX(工单台账!$P$7:$P$2006,$P24-6)&amp;"")</f>
        <v/>
      </c>
      <c r="N24" s="41"/>
      <c r="P24" s="1" t="n">
        <f aca="false">IFERROR(MOD(LARGE(工单台账!$U$7:$U$2006,14),100000),0)</f>
        <v>116</v>
      </c>
    </row>
    <row r="25" customFormat="false" ht="18.75" hidden="false" customHeight="true" outlineLevel="0" collapsed="false">
      <c r="A25" s="39" t="str">
        <f aca="false">IF($P25=0,"",INDEX(工单台账!$A$7:$A$2006,$P25-6)&amp;"")</f>
        <v>11-2904-0504</v>
      </c>
      <c r="B25" s="40" t="str">
        <f aca="false">IF($P25=0,"",INDEX(工单台账!$C$7:$C$2006,$P25-6)&amp;"")</f>
        <v>入户</v>
      </c>
      <c r="C25" s="40" t="str">
        <f aca="false">IF($P25=0,"",INDEX(工单台账!$D$7:$D$2006,$P25-6)&amp;"")</f>
        <v>11栋</v>
      </c>
      <c r="D25" s="40" t="str">
        <f aca="false">IF($P25=0,"",INDEX(工单台账!$E$7:$E$2006,$P25-6)&amp;"")</f>
        <v>2904</v>
      </c>
      <c r="E25" s="41" t="str">
        <f aca="false">IF($P25=0,"",INDEX(工单台账!$F$7:$F$2006,$P25-6)&amp;"")</f>
        <v>卫生间墙砖空鼓开裂</v>
      </c>
      <c r="F25" s="41"/>
      <c r="G25" s="41"/>
      <c r="H25" s="40" t="str">
        <f aca="false">IF($P25=0,"",INDEX(工单台账!$G$7:$G$2006,$P25-6)&amp;"")</f>
        <v>墙地饰面</v>
      </c>
      <c r="I25" s="39" t="str">
        <f aca="false">IF($P25=0,"",INDEX(工单台账!$H$7:$H$2006,$P25-6)&amp;IF(INDEX(工单台账!$I$7:$I$2006,$P25-6)="","","、"&amp;INDEX(工单台账!$I$7:$I$2006,$P25-6)))</f>
        <v>李师傅</v>
      </c>
      <c r="J25" s="42" t="n">
        <f aca="false">IF($P25=0,"",INDEX(工单台账!$B$7:$B$2006,$P25-6))</f>
        <v>45781</v>
      </c>
      <c r="K25" s="43" t="str">
        <f aca="false">IF($P25=0,"",INDEX(工单台账!$N$7:$N$2006,$P25-6))</f>
        <v>超期3天</v>
      </c>
      <c r="L25" s="40" t="str">
        <f aca="false">IF($P25=0,"",IF(INDEX(工单台账!$L$7:$L$2006,$P25-6)="","没填状态",INDEX(工单台账!$L$7:$L$2006,$P25-6)))</f>
        <v>跟进中</v>
      </c>
      <c r="M25" s="41" t="str">
        <f aca="false">IF($P25=0,"",INDEX(工单台账!$P$7:$P$2006,$P25-6)&amp;"")</f>
        <v>待业主确认施工时间后返修</v>
      </c>
      <c r="N25" s="41"/>
      <c r="P25" s="1" t="n">
        <f aca="false">IFERROR(MOD(LARGE(工单台账!$U$7:$U$2006,15),100000),0)</f>
        <v>113</v>
      </c>
    </row>
    <row r="26" customFormat="false" ht="15" hidden="false" customHeight="true" outlineLevel="0" collapsed="false">
      <c r="A26" s="7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customFormat="false" ht="7.5" hidden="false" customHeight="true" outlineLevel="0" collapsed="false"/>
    <row r="28" customFormat="false" ht="15" hidden="false" customHeight="true" outlineLevel="0" collapsed="false">
      <c r="A28" s="37" t="str">
        <f aca="false">"重复报修户（按最近一次报修从近到远，最多列 10 户；≥ 3 次建议主管上门回访）　共 "&amp;E6&amp;" 户"</f>
        <v>重复报修户（按最近一次报修从近到远，最多列 10 户；≥ 3 次建议主管上门回访）　共 5 户</v>
      </c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</row>
    <row r="29" customFormat="false" ht="24" hidden="false" customHeight="true" outlineLevel="0" collapsed="false">
      <c r="A29" s="38" t="s">
        <v>15</v>
      </c>
      <c r="B29" s="38" t="s">
        <v>16</v>
      </c>
      <c r="C29" s="38" t="s">
        <v>471</v>
      </c>
      <c r="D29" s="38" t="s">
        <v>472</v>
      </c>
      <c r="E29" s="38" t="s">
        <v>473</v>
      </c>
      <c r="F29" s="38"/>
      <c r="G29" s="38"/>
      <c r="H29" s="38" t="s">
        <v>18</v>
      </c>
      <c r="I29" s="38" t="s">
        <v>468</v>
      </c>
      <c r="J29" s="38" t="s">
        <v>23</v>
      </c>
      <c r="K29" s="38" t="s">
        <v>29</v>
      </c>
      <c r="L29" s="38" t="s">
        <v>27</v>
      </c>
      <c r="M29" s="38"/>
      <c r="N29" s="38"/>
    </row>
    <row r="30" customFormat="false" ht="18.75" hidden="false" customHeight="true" outlineLevel="0" collapsed="false">
      <c r="A30" s="40" t="str">
        <f aca="false">IF($P30=0,"",INDEX(工单台账!$D$7:$D$2006,$P30-6)&amp;"")</f>
        <v>8栋</v>
      </c>
      <c r="B30" s="40" t="str">
        <f aca="false">IF($P30=0,"",INDEX(工单台账!$E$7:$E$2006,$P30-6)&amp;"")</f>
        <v>1501</v>
      </c>
      <c r="C30" s="44" t="n">
        <f aca="false">IF($P30=0,"",INDEX(工单台账!$O$7:$O$2006,$P30-6))</f>
        <v>3</v>
      </c>
      <c r="D30" s="42" t="n">
        <f aca="false">IF($P30=0,"",INDEX(工单台账!$B$7:$B$2006,$P30-6))</f>
        <v>45784</v>
      </c>
      <c r="E30" s="41" t="str">
        <f aca="false">IF($P30=0,"",INDEX(工单台账!$F$7:$F$2006,$P30-6)&amp;"")</f>
        <v>想挂电视需要打孔</v>
      </c>
      <c r="F30" s="41"/>
      <c r="G30" s="41"/>
      <c r="H30" s="40" t="str">
        <f aca="false">IF($P30=0,"",INDEX(工单台账!$G$7:$G$2006,$P30-6)&amp;"")</f>
        <v>其他</v>
      </c>
      <c r="I30" s="40" t="str">
        <f aca="false">IF($P30=0,"",INDEX(工单台账!$H$7:$H$2006,$P30-6)&amp;"")</f>
        <v>张师傅</v>
      </c>
      <c r="J30" s="40" t="str">
        <f aca="false">IF($P30=0,"",INDEX(工单台账!$L$7:$L$2006,$P30-6)&amp;"")</f>
        <v>已完成</v>
      </c>
      <c r="K30" s="40" t="str">
        <f aca="false">IF($P30=0,"",INDEX(工单台账!$R$7:$R$2006,$P30-6)&amp;"")</f>
        <v>非常满意</v>
      </c>
      <c r="L30" s="41" t="str">
        <f aca="false">IF($P30=0,"",INDEX(工单台账!$P$7:$P$2006,$P30-6)&amp;"")</f>
        <v/>
      </c>
      <c r="M30" s="41"/>
      <c r="N30" s="41"/>
      <c r="P30" s="1" t="n">
        <f aca="false">IFERROR(LARGE(工单台账!$V$7:$V$2006,1),0)</f>
        <v>141</v>
      </c>
    </row>
    <row r="31" customFormat="false" ht="18.75" hidden="false" customHeight="true" outlineLevel="0" collapsed="false">
      <c r="A31" s="40" t="str">
        <f aca="false">IF($P31=0,"",INDEX(工单台账!$D$7:$D$2006,$P31-6)&amp;"")</f>
        <v>6栋</v>
      </c>
      <c r="B31" s="40" t="str">
        <f aca="false">IF($P31=0,"",INDEX(工单台账!$E$7:$E$2006,$P31-6)&amp;"")</f>
        <v>504</v>
      </c>
      <c r="C31" s="44" t="n">
        <f aca="false">IF($P31=0,"",INDEX(工单台账!$O$7:$O$2006,$P31-6))</f>
        <v>2</v>
      </c>
      <c r="D31" s="42" t="n">
        <f aca="false">IF($P31=0,"",INDEX(工单台账!$B$7:$B$2006,$P31-6))</f>
        <v>45784</v>
      </c>
      <c r="E31" s="41" t="str">
        <f aca="false">IF($P31=0,"",INDEX(工单台账!$F$7:$F$2006,$P31-6)&amp;"")</f>
        <v>燃气灶点火打不着</v>
      </c>
      <c r="F31" s="41"/>
      <c r="G31" s="41"/>
      <c r="H31" s="40" t="str">
        <f aca="false">IF($P31=0,"",INDEX(工单台账!$G$7:$G$2006,$P31-6)&amp;"")</f>
        <v>燃气厨电</v>
      </c>
      <c r="I31" s="40" t="str">
        <f aca="false">IF($P31=0,"",INDEX(工单台账!$H$7:$H$2006,$P31-6)&amp;"")</f>
        <v>张师傅</v>
      </c>
      <c r="J31" s="40" t="str">
        <f aca="false">IF($P31=0,"",INDEX(工单台账!$L$7:$L$2006,$P31-6)&amp;"")</f>
        <v>已完成</v>
      </c>
      <c r="K31" s="40" t="str">
        <f aca="false">IF($P31=0,"",INDEX(工单台账!$R$7:$R$2006,$P31-6)&amp;"")</f>
        <v>非常满意</v>
      </c>
      <c r="L31" s="41" t="str">
        <f aca="false">IF($P31=0,"",INDEX(工单台账!$P$7:$P$2006,$P31-6)&amp;"")</f>
        <v/>
      </c>
      <c r="M31" s="41"/>
      <c r="N31" s="41"/>
      <c r="P31" s="1" t="n">
        <f aca="false">IFERROR(LARGE(工单台账!$V$7:$V$2006,2),0)</f>
        <v>139</v>
      </c>
    </row>
    <row r="32" customFormat="false" ht="18.75" hidden="false" customHeight="true" outlineLevel="0" collapsed="false">
      <c r="A32" s="40" t="str">
        <f aca="false">IF($P32=0,"",INDEX(工单台账!$D$7:$D$2006,$P32-6)&amp;"")</f>
        <v>7栋</v>
      </c>
      <c r="B32" s="40" t="str">
        <f aca="false">IF($P32=0,"",INDEX(工单台账!$E$7:$E$2006,$P32-6)&amp;"")</f>
        <v>1304</v>
      </c>
      <c r="C32" s="44" t="n">
        <f aca="false">IF($P32=0,"",INDEX(工单台账!$O$7:$O$2006,$P32-6))</f>
        <v>2</v>
      </c>
      <c r="D32" s="42" t="n">
        <f aca="false">IF($P32=0,"",INDEX(工单台账!$B$7:$B$2006,$P32-6))</f>
        <v>45781</v>
      </c>
      <c r="E32" s="41" t="str">
        <f aca="false">IF($P32=0,"",INDEX(工单台账!$F$7:$F$2006,$P32-6)&amp;"")</f>
        <v>镜柜铰链到货了，麻烦上门安装</v>
      </c>
      <c r="F32" s="41"/>
      <c r="G32" s="41"/>
      <c r="H32" s="40" t="str">
        <f aca="false">IF($P32=0,"",INDEX(工单台账!$G$7:$G$2006,$P32-6)&amp;"")</f>
        <v>门窗五金</v>
      </c>
      <c r="I32" s="40" t="str">
        <f aca="false">IF($P32=0,"",INDEX(工单台账!$H$7:$H$2006,$P32-6)&amp;"")</f>
        <v>张师傅</v>
      </c>
      <c r="J32" s="40" t="str">
        <f aca="false">IF($P32=0,"",INDEX(工单台账!$L$7:$L$2006,$P32-6)&amp;"")</f>
        <v>已完成</v>
      </c>
      <c r="K32" s="40" t="str">
        <f aca="false">IF($P32=0,"",INDEX(工单台账!$R$7:$R$2006,$P32-6)&amp;"")</f>
        <v>非常满意</v>
      </c>
      <c r="L32" s="41" t="str">
        <f aca="false">IF($P32=0,"",INDEX(工单台账!$P$7:$P$2006,$P32-6)&amp;"")</f>
        <v/>
      </c>
      <c r="M32" s="41"/>
      <c r="N32" s="41"/>
      <c r="P32" s="1" t="n">
        <f aca="false">IFERROR(LARGE(工单台账!$V$7:$V$2006,3),0)</f>
        <v>105</v>
      </c>
    </row>
    <row r="33" customFormat="false" ht="18.75" hidden="false" customHeight="true" outlineLevel="0" collapsed="false">
      <c r="A33" s="40" t="str">
        <f aca="false">IF($P33=0,"",INDEX(工单台账!$D$7:$D$2006,$P33-6)&amp;"")</f>
        <v>5栋</v>
      </c>
      <c r="B33" s="40" t="str">
        <f aca="false">IF($P33=0,"",INDEX(工单台账!$E$7:$E$2006,$P33-6)&amp;"")</f>
        <v>503</v>
      </c>
      <c r="C33" s="44" t="n">
        <f aca="false">IF($P33=0,"",INDEX(工单台账!$O$7:$O$2006,$P33-6))</f>
        <v>2</v>
      </c>
      <c r="D33" s="42" t="n">
        <f aca="false">IF($P33=0,"",INDEX(工单台账!$B$7:$B$2006,$P33-6))</f>
        <v>45779</v>
      </c>
      <c r="E33" s="41" t="str">
        <f aca="false">IF($P33=0,"",INDEX(工单台账!$F$7:$F$2006,$P33-6)&amp;"")</f>
        <v>厨房、卫生间门槛石松动</v>
      </c>
      <c r="F33" s="41"/>
      <c r="G33" s="41"/>
      <c r="H33" s="40" t="str">
        <f aca="false">IF($P33=0,"",INDEX(工单台账!$G$7:$G$2006,$P33-6)&amp;"")</f>
        <v>墙地饰面</v>
      </c>
      <c r="I33" s="40" t="str">
        <f aca="false">IF($P33=0,"",INDEX(工单台账!$H$7:$H$2006,$P33-6)&amp;"")</f>
        <v>李师傅</v>
      </c>
      <c r="J33" s="40" t="str">
        <f aca="false">IF($P33=0,"",INDEX(工单台账!$L$7:$L$2006,$P33-6)&amp;"")</f>
        <v>已完成</v>
      </c>
      <c r="K33" s="40" t="str">
        <f aca="false">IF($P33=0,"",INDEX(工单台账!$R$7:$R$2006,$P33-6)&amp;"")</f>
        <v>非常满意</v>
      </c>
      <c r="L33" s="41" t="str">
        <f aca="false">IF($P33=0,"",INDEX(工单台账!$P$7:$P$2006,$P33-6)&amp;"")</f>
        <v/>
      </c>
      <c r="M33" s="41"/>
      <c r="N33" s="41"/>
      <c r="P33" s="1" t="n">
        <f aca="false">IFERROR(LARGE(工单台账!$V$7:$V$2006,4),0)</f>
        <v>55</v>
      </c>
    </row>
    <row r="34" customFormat="false" ht="18.75" hidden="false" customHeight="true" outlineLevel="0" collapsed="false">
      <c r="A34" s="40" t="str">
        <f aca="false">IF($P34=0,"",INDEX(工单台账!$D$7:$D$2006,$P34-6)&amp;"")</f>
        <v>公共区域</v>
      </c>
      <c r="B34" s="40" t="str">
        <f aca="false">IF($P34=0,"",INDEX(工单台账!$E$7:$E$2006,$P34-6)&amp;"")</f>
        <v>东大门</v>
      </c>
      <c r="C34" s="44" t="n">
        <f aca="false">IF($P34=0,"",INDEX(工单台账!$O$7:$O$2006,$P34-6))</f>
        <v>2</v>
      </c>
      <c r="D34" s="42" t="n">
        <f aca="false">IF($P34=0,"",INDEX(工单台账!$B$7:$B$2006,$P34-6))</f>
        <v>45778</v>
      </c>
      <c r="E34" s="41" t="str">
        <f aca="false">IF($P34=0,"",INDEX(工单台账!$F$7:$F$2006,$P34-6)&amp;"")</f>
        <v>门岗天花受潮破损修缮</v>
      </c>
      <c r="F34" s="41"/>
      <c r="G34" s="41"/>
      <c r="H34" s="40" t="str">
        <f aca="false">IF($P34=0,"",INDEX(工单台账!$G$7:$G$2006,$P34-6)&amp;"")</f>
        <v>墙地饰面</v>
      </c>
      <c r="I34" s="40" t="str">
        <f aca="false">IF($P34=0,"",INDEX(工单台账!$H$7:$H$2006,$P34-6)&amp;"")</f>
        <v>刘师傅</v>
      </c>
      <c r="J34" s="40" t="str">
        <f aca="false">IF($P34=0,"",INDEX(工单台账!$L$7:$L$2006,$P34-6)&amp;"")</f>
        <v>跟进中</v>
      </c>
      <c r="K34" s="40" t="str">
        <f aca="false">IF($P34=0,"",INDEX(工单台账!$R$7:$R$2006,$P34-6)&amp;"")</f>
        <v/>
      </c>
      <c r="L34" s="41" t="str">
        <f aca="false">IF($P34=0,"",INDEX(工单台账!$P$7:$P$2006,$P34-6)&amp;"")</f>
        <v>已补洞批腻子，待干燥后打磨刷乳胶漆</v>
      </c>
      <c r="M34" s="41"/>
      <c r="N34" s="41"/>
      <c r="P34" s="1" t="n">
        <f aca="false">IFERROR(LARGE(工单台账!$V$7:$V$2006,5),0)</f>
        <v>39</v>
      </c>
    </row>
    <row r="35" customFormat="false" ht="18.75" hidden="false" customHeight="true" outlineLevel="0" collapsed="false">
      <c r="A35" s="40" t="str">
        <f aca="false">IF($P35=0,"",INDEX(工单台账!$D$7:$D$2006,$P35-6)&amp;"")</f>
        <v/>
      </c>
      <c r="B35" s="40" t="str">
        <f aca="false">IF($P35=0,"",INDEX(工单台账!$E$7:$E$2006,$P35-6)&amp;"")</f>
        <v/>
      </c>
      <c r="C35" s="44" t="str">
        <f aca="false">IF($P35=0,"",INDEX(工单台账!$O$7:$O$2006,$P35-6))</f>
        <v/>
      </c>
      <c r="D35" s="42" t="str">
        <f aca="false">IF($P35=0,"",INDEX(工单台账!$B$7:$B$2006,$P35-6))</f>
        <v/>
      </c>
      <c r="E35" s="41" t="str">
        <f aca="false">IF($P35=0,"",INDEX(工单台账!$F$7:$F$2006,$P35-6)&amp;"")</f>
        <v/>
      </c>
      <c r="F35" s="41"/>
      <c r="G35" s="41"/>
      <c r="H35" s="40" t="str">
        <f aca="false">IF($P35=0,"",INDEX(工单台账!$G$7:$G$2006,$P35-6)&amp;"")</f>
        <v/>
      </c>
      <c r="I35" s="40" t="str">
        <f aca="false">IF($P35=0,"",INDEX(工单台账!$H$7:$H$2006,$P35-6)&amp;"")</f>
        <v/>
      </c>
      <c r="J35" s="40" t="str">
        <f aca="false">IF($P35=0,"",INDEX(工单台账!$L$7:$L$2006,$P35-6)&amp;"")</f>
        <v/>
      </c>
      <c r="K35" s="40" t="str">
        <f aca="false">IF($P35=0,"",INDEX(工单台账!$R$7:$R$2006,$P35-6)&amp;"")</f>
        <v/>
      </c>
      <c r="L35" s="41" t="str">
        <f aca="false">IF($P35=0,"",INDEX(工单台账!$P$7:$P$2006,$P35-6)&amp;"")</f>
        <v/>
      </c>
      <c r="M35" s="41"/>
      <c r="N35" s="41"/>
      <c r="P35" s="1" t="n">
        <f aca="false">IFERROR(LARGE(工单台账!$V$7:$V$2006,6),0)</f>
        <v>0</v>
      </c>
    </row>
    <row r="36" customFormat="false" ht="18.75" hidden="false" customHeight="true" outlineLevel="0" collapsed="false">
      <c r="A36" s="40" t="str">
        <f aca="false">IF($P36=0,"",INDEX(工单台账!$D$7:$D$2006,$P36-6)&amp;"")</f>
        <v/>
      </c>
      <c r="B36" s="40" t="str">
        <f aca="false">IF($P36=0,"",INDEX(工单台账!$E$7:$E$2006,$P36-6)&amp;"")</f>
        <v/>
      </c>
      <c r="C36" s="44" t="str">
        <f aca="false">IF($P36=0,"",INDEX(工单台账!$O$7:$O$2006,$P36-6))</f>
        <v/>
      </c>
      <c r="D36" s="42" t="str">
        <f aca="false">IF($P36=0,"",INDEX(工单台账!$B$7:$B$2006,$P36-6))</f>
        <v/>
      </c>
      <c r="E36" s="41" t="str">
        <f aca="false">IF($P36=0,"",INDEX(工单台账!$F$7:$F$2006,$P36-6)&amp;"")</f>
        <v/>
      </c>
      <c r="F36" s="41"/>
      <c r="G36" s="41"/>
      <c r="H36" s="40" t="str">
        <f aca="false">IF($P36=0,"",INDEX(工单台账!$G$7:$G$2006,$P36-6)&amp;"")</f>
        <v/>
      </c>
      <c r="I36" s="40" t="str">
        <f aca="false">IF($P36=0,"",INDEX(工单台账!$H$7:$H$2006,$P36-6)&amp;"")</f>
        <v/>
      </c>
      <c r="J36" s="40" t="str">
        <f aca="false">IF($P36=0,"",INDEX(工单台账!$L$7:$L$2006,$P36-6)&amp;"")</f>
        <v/>
      </c>
      <c r="K36" s="40" t="str">
        <f aca="false">IF($P36=0,"",INDEX(工单台账!$R$7:$R$2006,$P36-6)&amp;"")</f>
        <v/>
      </c>
      <c r="L36" s="41" t="str">
        <f aca="false">IF($P36=0,"",INDEX(工单台账!$P$7:$P$2006,$P36-6)&amp;"")</f>
        <v/>
      </c>
      <c r="M36" s="41"/>
      <c r="N36" s="41"/>
      <c r="P36" s="1" t="n">
        <f aca="false">IFERROR(LARGE(工单台账!$V$7:$V$2006,7),0)</f>
        <v>0</v>
      </c>
    </row>
    <row r="37" customFormat="false" ht="18.75" hidden="false" customHeight="true" outlineLevel="0" collapsed="false">
      <c r="A37" s="40" t="str">
        <f aca="false">IF($P37=0,"",INDEX(工单台账!$D$7:$D$2006,$P37-6)&amp;"")</f>
        <v/>
      </c>
      <c r="B37" s="40" t="str">
        <f aca="false">IF($P37=0,"",INDEX(工单台账!$E$7:$E$2006,$P37-6)&amp;"")</f>
        <v/>
      </c>
      <c r="C37" s="44" t="str">
        <f aca="false">IF($P37=0,"",INDEX(工单台账!$O$7:$O$2006,$P37-6))</f>
        <v/>
      </c>
      <c r="D37" s="42" t="str">
        <f aca="false">IF($P37=0,"",INDEX(工单台账!$B$7:$B$2006,$P37-6))</f>
        <v/>
      </c>
      <c r="E37" s="41" t="str">
        <f aca="false">IF($P37=0,"",INDEX(工单台账!$F$7:$F$2006,$P37-6)&amp;"")</f>
        <v/>
      </c>
      <c r="F37" s="41"/>
      <c r="G37" s="41"/>
      <c r="H37" s="40" t="str">
        <f aca="false">IF($P37=0,"",INDEX(工单台账!$G$7:$G$2006,$P37-6)&amp;"")</f>
        <v/>
      </c>
      <c r="I37" s="40" t="str">
        <f aca="false">IF($P37=0,"",INDEX(工单台账!$H$7:$H$2006,$P37-6)&amp;"")</f>
        <v/>
      </c>
      <c r="J37" s="40" t="str">
        <f aca="false">IF($P37=0,"",INDEX(工单台账!$L$7:$L$2006,$P37-6)&amp;"")</f>
        <v/>
      </c>
      <c r="K37" s="40" t="str">
        <f aca="false">IF($P37=0,"",INDEX(工单台账!$R$7:$R$2006,$P37-6)&amp;"")</f>
        <v/>
      </c>
      <c r="L37" s="41" t="str">
        <f aca="false">IF($P37=0,"",INDEX(工单台账!$P$7:$P$2006,$P37-6)&amp;"")</f>
        <v/>
      </c>
      <c r="M37" s="41"/>
      <c r="N37" s="41"/>
      <c r="P37" s="1" t="n">
        <f aca="false">IFERROR(LARGE(工单台账!$V$7:$V$2006,8),0)</f>
        <v>0</v>
      </c>
    </row>
    <row r="38" customFormat="false" ht="18.75" hidden="false" customHeight="true" outlineLevel="0" collapsed="false">
      <c r="A38" s="40" t="str">
        <f aca="false">IF($P38=0,"",INDEX(工单台账!$D$7:$D$2006,$P38-6)&amp;"")</f>
        <v/>
      </c>
      <c r="B38" s="40" t="str">
        <f aca="false">IF($P38=0,"",INDEX(工单台账!$E$7:$E$2006,$P38-6)&amp;"")</f>
        <v/>
      </c>
      <c r="C38" s="44" t="str">
        <f aca="false">IF($P38=0,"",INDEX(工单台账!$O$7:$O$2006,$P38-6))</f>
        <v/>
      </c>
      <c r="D38" s="42" t="str">
        <f aca="false">IF($P38=0,"",INDEX(工单台账!$B$7:$B$2006,$P38-6))</f>
        <v/>
      </c>
      <c r="E38" s="41" t="str">
        <f aca="false">IF($P38=0,"",INDEX(工单台账!$F$7:$F$2006,$P38-6)&amp;"")</f>
        <v/>
      </c>
      <c r="F38" s="41"/>
      <c r="G38" s="41"/>
      <c r="H38" s="40" t="str">
        <f aca="false">IF($P38=0,"",INDEX(工单台账!$G$7:$G$2006,$P38-6)&amp;"")</f>
        <v/>
      </c>
      <c r="I38" s="40" t="str">
        <f aca="false">IF($P38=0,"",INDEX(工单台账!$H$7:$H$2006,$P38-6)&amp;"")</f>
        <v/>
      </c>
      <c r="J38" s="40" t="str">
        <f aca="false">IF($P38=0,"",INDEX(工单台账!$L$7:$L$2006,$P38-6)&amp;"")</f>
        <v/>
      </c>
      <c r="K38" s="40" t="str">
        <f aca="false">IF($P38=0,"",INDEX(工单台账!$R$7:$R$2006,$P38-6)&amp;"")</f>
        <v/>
      </c>
      <c r="L38" s="41" t="str">
        <f aca="false">IF($P38=0,"",INDEX(工单台账!$P$7:$P$2006,$P38-6)&amp;"")</f>
        <v/>
      </c>
      <c r="M38" s="41"/>
      <c r="N38" s="41"/>
      <c r="P38" s="1" t="n">
        <f aca="false">IFERROR(LARGE(工单台账!$V$7:$V$2006,9),0)</f>
        <v>0</v>
      </c>
    </row>
    <row r="39" customFormat="false" ht="18.75" hidden="false" customHeight="true" outlineLevel="0" collapsed="false">
      <c r="A39" s="40" t="str">
        <f aca="false">IF($P39=0,"",INDEX(工单台账!$D$7:$D$2006,$P39-6)&amp;"")</f>
        <v/>
      </c>
      <c r="B39" s="40" t="str">
        <f aca="false">IF($P39=0,"",INDEX(工单台账!$E$7:$E$2006,$P39-6)&amp;"")</f>
        <v/>
      </c>
      <c r="C39" s="44" t="str">
        <f aca="false">IF($P39=0,"",INDEX(工单台账!$O$7:$O$2006,$P39-6))</f>
        <v/>
      </c>
      <c r="D39" s="42" t="str">
        <f aca="false">IF($P39=0,"",INDEX(工单台账!$B$7:$B$2006,$P39-6))</f>
        <v/>
      </c>
      <c r="E39" s="41" t="str">
        <f aca="false">IF($P39=0,"",INDEX(工单台账!$F$7:$F$2006,$P39-6)&amp;"")</f>
        <v/>
      </c>
      <c r="F39" s="41"/>
      <c r="G39" s="41"/>
      <c r="H39" s="40" t="str">
        <f aca="false">IF($P39=0,"",INDEX(工单台账!$G$7:$G$2006,$P39-6)&amp;"")</f>
        <v/>
      </c>
      <c r="I39" s="40" t="str">
        <f aca="false">IF($P39=0,"",INDEX(工单台账!$H$7:$H$2006,$P39-6)&amp;"")</f>
        <v/>
      </c>
      <c r="J39" s="40" t="str">
        <f aca="false">IF($P39=0,"",INDEX(工单台账!$L$7:$L$2006,$P39-6)&amp;"")</f>
        <v/>
      </c>
      <c r="K39" s="40" t="str">
        <f aca="false">IF($P39=0,"",INDEX(工单台账!$R$7:$R$2006,$P39-6)&amp;"")</f>
        <v/>
      </c>
      <c r="L39" s="41" t="str">
        <f aca="false">IF($P39=0,"",INDEX(工单台账!$P$7:$P$2006,$P39-6)&amp;"")</f>
        <v/>
      </c>
      <c r="M39" s="41"/>
      <c r="N39" s="41"/>
      <c r="P39" s="1" t="n">
        <f aca="false">IFERROR(LARGE(工单台账!$V$7:$V$2006,10),0)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26" t="str">
        <f aca="false">"二、这一期的表现　（"&amp;$E$2&amp;"）"</f>
        <v>二、这一期的表现　（本月）</v>
      </c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</row>
    <row r="42" customFormat="false" ht="19.5" hidden="false" customHeight="true" outlineLevel="0" collapsed="false">
      <c r="A42" s="27" t="s">
        <v>474</v>
      </c>
      <c r="B42" s="27"/>
      <c r="C42" s="28" t="s">
        <v>475</v>
      </c>
      <c r="D42" s="28"/>
      <c r="E42" s="28" t="s">
        <v>476</v>
      </c>
      <c r="F42" s="28"/>
      <c r="G42" s="28" t="s">
        <v>477</v>
      </c>
      <c r="H42" s="28"/>
      <c r="I42" s="28" t="s">
        <v>478</v>
      </c>
      <c r="J42" s="28"/>
      <c r="K42" s="29"/>
      <c r="L42" s="29"/>
      <c r="M42" s="29"/>
      <c r="N42" s="29"/>
    </row>
    <row r="43" customFormat="false" ht="36" hidden="false" customHeight="true" outlineLevel="0" collapsed="false">
      <c r="A43" s="30" t="n">
        <f aca="false">COUNTIFS(工单台账!$B$7:$B$2006,"&gt;="&amp;设置!$B$30,工单台账!$B$7:$B$2006,"&lt;="&amp;设置!$C$30)</f>
        <v>143</v>
      </c>
      <c r="B43" s="30"/>
      <c r="C43" s="45" t="n">
        <f aca="false">IFERROR(COUNTIFS(工单台账!$B$7:$B$2006,"&gt;="&amp;设置!$B$30,工单台账!$B$7:$B$2006,"&lt;="&amp;设置!$C$30,工单台账!$L$7:$L$2006,"已完成")/A43,"-")</f>
        <v>0.867132867132867</v>
      </c>
      <c r="D43" s="45"/>
      <c r="E43" s="45" t="n">
        <f aca="false">IFERROR((COUNTIFS(工单台账!$B$7:$B$2006,"&gt;="&amp;设置!$B$30,工单台账!$B$7:$B$2006,"&lt;="&amp;设置!$C$30,工单台账!$R$7:$R$2006,"非常满意")+COUNTIFS(工单台账!$B$7:$B$2006,"&gt;="&amp;设置!$B$30,工单台账!$B$7:$B$2006,"&lt;="&amp;设置!$C$30,工单台账!$R$7:$R$2006,"满意"))/COUNTIFS(工单台账!$B$7:$B$2006,"&gt;="&amp;设置!$B$30,工单台账!$B$7:$B$2006,"&lt;="&amp;设置!$C$30,工单台账!$R$7:$R$2006,"&lt;&gt;"),"-")</f>
        <v>0.990990990990991</v>
      </c>
      <c r="F43" s="45"/>
      <c r="G43" s="46" t="str">
        <f aca="false">IFERROR(SUMIFS(工单台账!$N$7:$N$2006,工单台账!$B$7:$B$2006,"&gt;="&amp;设置!$B$30,工单台账!$B$7:$B$2006,"&lt;="&amp;设置!$C$30,工单台账!$L$7:$L$2006,"已完成",工单台账!$M$7:$M$2006,"&lt;&gt;")/COUNTIFS(工单台账!$B$7:$B$2006,"&gt;="&amp;设置!$B$30,工单台账!$B$7:$B$2006,"&lt;="&amp;设置!$C$30,工单台账!$L$7:$L$2006,"已完成",工单台账!$M$7:$M$2006,"&lt;&gt;"),"-")</f>
        <v>-</v>
      </c>
      <c r="H43" s="46"/>
      <c r="I43" s="47" t="n">
        <f aca="false">SUMIFS(工单台账!$Q$7:$Q$2006,工单台账!$B$7:$B$2006,"&gt;="&amp;设置!$B$30,工单台账!$B$7:$B$2006,"&lt;="&amp;设置!$C$30)</f>
        <v>0</v>
      </c>
      <c r="J43" s="47"/>
    </row>
    <row r="44" customFormat="false" ht="18" hidden="false" customHeight="true" outlineLevel="0" collapsed="false">
      <c r="A44" s="34" t="s">
        <v>479</v>
      </c>
      <c r="B44" s="34"/>
      <c r="C44" s="35" t="s">
        <v>480</v>
      </c>
      <c r="D44" s="35"/>
      <c r="E44" s="35" t="s">
        <v>481</v>
      </c>
      <c r="F44" s="35"/>
      <c r="G44" s="35" t="s">
        <v>482</v>
      </c>
      <c r="H44" s="35"/>
      <c r="I44" s="35" t="s">
        <v>483</v>
      </c>
      <c r="J44" s="35"/>
      <c r="K44" s="36"/>
      <c r="L44" s="36"/>
      <c r="M44" s="36"/>
      <c r="N44" s="36"/>
    </row>
    <row r="45" customFormat="false" ht="7.5" hidden="false" customHeight="true" outlineLevel="0" collapsed="false"/>
    <row r="46" customFormat="false" ht="15" hidden="false" customHeight="true" outlineLevel="0" collapsed="false">
      <c r="A46" s="37" t="s">
        <v>484</v>
      </c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</row>
    <row r="47" customFormat="false" ht="24" hidden="false" customHeight="true" outlineLevel="0" collapsed="false">
      <c r="A47" s="38" t="s">
        <v>485</v>
      </c>
      <c r="B47" s="38" t="s">
        <v>3</v>
      </c>
      <c r="C47" s="38" t="s">
        <v>486</v>
      </c>
      <c r="D47" s="38" t="s">
        <v>43</v>
      </c>
      <c r="E47" s="38" t="s">
        <v>487</v>
      </c>
      <c r="F47" s="38" t="s">
        <v>475</v>
      </c>
      <c r="G47" s="38" t="s">
        <v>45</v>
      </c>
      <c r="H47" s="38" t="s">
        <v>65</v>
      </c>
      <c r="I47" s="38" t="s">
        <v>70</v>
      </c>
      <c r="J47" s="38" t="s">
        <v>488</v>
      </c>
      <c r="K47" s="38" t="s">
        <v>476</v>
      </c>
      <c r="L47" s="38" t="s">
        <v>489</v>
      </c>
      <c r="M47" s="38" t="s">
        <v>10</v>
      </c>
      <c r="N47" s="38"/>
    </row>
    <row r="48" customFormat="false" ht="19.5" hidden="false" customHeight="true" outlineLevel="0" collapsed="false">
      <c r="A48" s="10" t="str">
        <f aca="false">IF(INDEX(设置!$F$26:$F$30,MATCH(1,设置!$P$26:$P$30,0))=0,"—","第 1 名")</f>
        <v>第 1 名</v>
      </c>
      <c r="B48" s="10" t="str">
        <f aca="false">INDEX(设置!$E$26:$E$30,MATCH(1,设置!$P$26:$P$30,0))</f>
        <v>张师傅</v>
      </c>
      <c r="C48" s="48" t="n">
        <f aca="false">INDEX(设置!$F$26:$F$30,MATCH(1,设置!$P$26:$P$30,0))</f>
        <v>67</v>
      </c>
      <c r="D48" s="48" t="n">
        <f aca="false">INDEX(设置!$G$26:$G$30,MATCH(1,设置!$P$26:$P$30,0))</f>
        <v>64</v>
      </c>
      <c r="E48" s="48" t="n">
        <f aca="false">INDEX(设置!$H$26:$H$30,MATCH(1,设置!$P$26:$P$30,0))</f>
        <v>3</v>
      </c>
      <c r="F48" s="49" t="n">
        <f aca="false">IFERROR(D48/C48,"")</f>
        <v>0.955223880597015</v>
      </c>
      <c r="G48" s="48" t="n">
        <f aca="false">INDEX(设置!$I$26:$I$30,MATCH(1,设置!$P$26:$P$30,0))</f>
        <v>52</v>
      </c>
      <c r="H48" s="48" t="n">
        <f aca="false">INDEX(设置!$J$26:$J$30,MATCH(1,设置!$P$26:$P$30,0))</f>
        <v>2</v>
      </c>
      <c r="I48" s="48" t="n">
        <f aca="false">INDEX(设置!$K$26:$K$30,MATCH(1,设置!$P$26:$P$30,0))</f>
        <v>1</v>
      </c>
      <c r="J48" s="48" t="n">
        <f aca="false">INDEX(设置!$L$26:$L$30,MATCH(1,设置!$P$26:$P$30,0))</f>
        <v>0</v>
      </c>
      <c r="K48" s="49" t="n">
        <f aca="false">IFERROR((G48+H48)/SUM(G48:J48),"")</f>
        <v>0.981818181818182</v>
      </c>
      <c r="L48" s="50" t="n">
        <f aca="false">INDEX(设置!$N$26:$N$30,MATCH(1,设置!$P$26:$P$30,0))</f>
        <v>98.5</v>
      </c>
      <c r="M48" s="10" t="str">
        <f aca="false">IFERROR(INDEX(工单台账!$H$4:$L$4,MATCH(B48,工单台账!$H$2:$L$2,0)),"")</f>
        <v>休息</v>
      </c>
      <c r="N48" s="10"/>
    </row>
    <row r="49" customFormat="false" ht="19.5" hidden="false" customHeight="true" outlineLevel="0" collapsed="false">
      <c r="A49" s="10" t="str">
        <f aca="false">IF(INDEX(设置!$F$26:$F$30,MATCH(2,设置!$P$26:$P$30,0))=0,"—","第 2 名")</f>
        <v>第 2 名</v>
      </c>
      <c r="B49" s="10" t="str">
        <f aca="false">INDEX(设置!$E$26:$E$30,MATCH(2,设置!$P$26:$P$30,0))</f>
        <v>李师傅</v>
      </c>
      <c r="C49" s="48" t="n">
        <f aca="false">INDEX(设置!$F$26:$F$30,MATCH(2,设置!$P$26:$P$30,0))</f>
        <v>40</v>
      </c>
      <c r="D49" s="48" t="n">
        <f aca="false">INDEX(设置!$G$26:$G$30,MATCH(2,设置!$P$26:$P$30,0))</f>
        <v>33</v>
      </c>
      <c r="E49" s="48" t="n">
        <f aca="false">INDEX(设置!$H$26:$H$30,MATCH(2,设置!$P$26:$P$30,0))</f>
        <v>7</v>
      </c>
      <c r="F49" s="49" t="n">
        <f aca="false">IFERROR(D49/C49,"")</f>
        <v>0.825</v>
      </c>
      <c r="G49" s="48" t="n">
        <f aca="false">INDEX(设置!$I$26:$I$30,MATCH(2,设置!$P$26:$P$30,0))</f>
        <v>32</v>
      </c>
      <c r="H49" s="48" t="n">
        <f aca="false">INDEX(设置!$J$26:$J$30,MATCH(2,设置!$P$26:$P$30,0))</f>
        <v>4</v>
      </c>
      <c r="I49" s="48" t="n">
        <f aca="false">INDEX(设置!$K$26:$K$30,MATCH(2,设置!$P$26:$P$30,0))</f>
        <v>0</v>
      </c>
      <c r="J49" s="48" t="n">
        <f aca="false">INDEX(设置!$L$26:$L$30,MATCH(2,设置!$P$26:$P$30,0))</f>
        <v>0</v>
      </c>
      <c r="K49" s="49" t="n">
        <f aca="false">IFERROR((G49+H49)/SUM(G49:J49),"")</f>
        <v>1</v>
      </c>
      <c r="L49" s="50" t="n">
        <f aca="false">INDEX(设置!$N$26:$N$30,MATCH(2,设置!$P$26:$P$30,0))</f>
        <v>97.8</v>
      </c>
      <c r="M49" s="10" t="str">
        <f aca="false">IFERROR(INDEX(工单台账!$H$4:$L$4,MATCH(B49,工单台账!$H$2:$L$2,0)),"")</f>
        <v>在岗 7 单</v>
      </c>
      <c r="N49" s="10"/>
    </row>
    <row r="50" customFormat="false" ht="19.5" hidden="false" customHeight="true" outlineLevel="0" collapsed="false">
      <c r="A50" s="10" t="str">
        <f aca="false">IF(INDEX(设置!$F$26:$F$30,MATCH(3,设置!$P$26:$P$30,0))=0,"—","第 3 名")</f>
        <v>第 3 名</v>
      </c>
      <c r="B50" s="10" t="str">
        <f aca="false">INDEX(设置!$E$26:$E$30,MATCH(3,设置!$P$26:$P$30,0))</f>
        <v>陈师傅</v>
      </c>
      <c r="C50" s="48" t="n">
        <f aca="false">INDEX(设置!$F$26:$F$30,MATCH(3,设置!$P$26:$P$30,0))</f>
        <v>16</v>
      </c>
      <c r="D50" s="48" t="n">
        <f aca="false">INDEX(设置!$G$26:$G$30,MATCH(3,设置!$P$26:$P$30,0))</f>
        <v>12</v>
      </c>
      <c r="E50" s="48" t="n">
        <f aca="false">INDEX(设置!$H$26:$H$30,MATCH(3,设置!$P$26:$P$30,0))</f>
        <v>4</v>
      </c>
      <c r="F50" s="49" t="n">
        <f aca="false">IFERROR(D50/C50,"")</f>
        <v>0.75</v>
      </c>
      <c r="G50" s="48" t="n">
        <f aca="false">INDEX(设置!$I$26:$I$30,MATCH(3,设置!$P$26:$P$30,0))</f>
        <v>4</v>
      </c>
      <c r="H50" s="48" t="n">
        <f aca="false">INDEX(设置!$J$26:$J$30,MATCH(3,设置!$P$26:$P$30,0))</f>
        <v>1</v>
      </c>
      <c r="I50" s="48" t="n">
        <f aca="false">INDEX(设置!$K$26:$K$30,MATCH(3,设置!$P$26:$P$30,0))</f>
        <v>0</v>
      </c>
      <c r="J50" s="48" t="n">
        <f aca="false">INDEX(设置!$L$26:$L$30,MATCH(3,设置!$P$26:$P$30,0))</f>
        <v>0</v>
      </c>
      <c r="K50" s="49" t="n">
        <f aca="false">IFERROR((G50+H50)/SUM(G50:J50),"")</f>
        <v>1</v>
      </c>
      <c r="L50" s="50" t="n">
        <f aca="false">INDEX(设置!$N$26:$N$30,MATCH(3,设置!$P$26:$P$30,0))</f>
        <v>96</v>
      </c>
      <c r="M50" s="10" t="str">
        <f aca="false">IFERROR(INDEX(工单台账!$H$4:$L$4,MATCH(B50,工单台账!$H$2:$L$2,0)),"")</f>
        <v>在岗 4 单</v>
      </c>
      <c r="N50" s="10"/>
    </row>
    <row r="51" customFormat="false" ht="19.5" hidden="false" customHeight="true" outlineLevel="0" collapsed="false">
      <c r="A51" s="10" t="str">
        <f aca="false">IF(INDEX(设置!$F$26:$F$30,MATCH(4,设置!$P$26:$P$30,0))=0,"—","第 4 名")</f>
        <v>第 4 名</v>
      </c>
      <c r="B51" s="10" t="str">
        <f aca="false">INDEX(设置!$E$26:$E$30,MATCH(4,设置!$P$26:$P$30,0))</f>
        <v>刘师傅</v>
      </c>
      <c r="C51" s="48" t="n">
        <f aca="false">INDEX(设置!$F$26:$F$30,MATCH(4,设置!$P$26:$P$30,0))</f>
        <v>13</v>
      </c>
      <c r="D51" s="48" t="n">
        <f aca="false">INDEX(设置!$G$26:$G$30,MATCH(4,设置!$P$26:$P$30,0))</f>
        <v>10</v>
      </c>
      <c r="E51" s="48" t="n">
        <f aca="false">INDEX(设置!$H$26:$H$30,MATCH(4,设置!$P$26:$P$30,0))</f>
        <v>3</v>
      </c>
      <c r="F51" s="49" t="n">
        <f aca="false">IFERROR(D51/C51,"")</f>
        <v>0.769230769230769</v>
      </c>
      <c r="G51" s="48" t="n">
        <f aca="false">INDEX(设置!$I$26:$I$30,MATCH(4,设置!$P$26:$P$30,0))</f>
        <v>8</v>
      </c>
      <c r="H51" s="48" t="n">
        <f aca="false">INDEX(设置!$J$26:$J$30,MATCH(4,设置!$P$26:$P$30,0))</f>
        <v>1</v>
      </c>
      <c r="I51" s="48" t="n">
        <f aca="false">INDEX(设置!$K$26:$K$30,MATCH(4,设置!$P$26:$P$30,0))</f>
        <v>0</v>
      </c>
      <c r="J51" s="48" t="n">
        <f aca="false">INDEX(设置!$L$26:$L$30,MATCH(4,设置!$P$26:$P$30,0))</f>
        <v>0</v>
      </c>
      <c r="K51" s="49" t="n">
        <f aca="false">IFERROR((G51+H51)/SUM(G51:J51),"")</f>
        <v>1</v>
      </c>
      <c r="L51" s="50" t="n">
        <f aca="false">INDEX(设置!$N$26:$N$30,MATCH(4,设置!$P$26:$P$30,0))</f>
        <v>97.8</v>
      </c>
      <c r="M51" s="10" t="str">
        <f aca="false">IFERROR(INDEX(工单台账!$H$4:$L$4,MATCH(B51,工单台账!$H$2:$L$2,0)),"")</f>
        <v>在岗 3 单</v>
      </c>
      <c r="N51" s="10"/>
    </row>
    <row r="52" customFormat="false" ht="19.5" hidden="false" customHeight="true" outlineLevel="0" collapsed="false">
      <c r="A52" s="10" t="str">
        <f aca="false">IF(INDEX(设置!$F$26:$F$30,MATCH(5,设置!$P$26:$P$30,0))=0,"—","第 5 名")</f>
        <v>第 5 名</v>
      </c>
      <c r="B52" s="10" t="str">
        <f aca="false">INDEX(设置!$E$26:$E$30,MATCH(5,设置!$P$26:$P$30,0))</f>
        <v>王师傅</v>
      </c>
      <c r="C52" s="48" t="n">
        <f aca="false">INDEX(设置!$F$26:$F$30,MATCH(5,设置!$P$26:$P$30,0))</f>
        <v>8</v>
      </c>
      <c r="D52" s="48" t="n">
        <f aca="false">INDEX(设置!$G$26:$G$30,MATCH(5,设置!$P$26:$P$30,0))</f>
        <v>7</v>
      </c>
      <c r="E52" s="48" t="n">
        <f aca="false">INDEX(设置!$H$26:$H$30,MATCH(5,设置!$P$26:$P$30,0))</f>
        <v>1</v>
      </c>
      <c r="F52" s="49" t="n">
        <f aca="false">IFERROR(D52/C52,"")</f>
        <v>0.875</v>
      </c>
      <c r="G52" s="48" t="n">
        <f aca="false">INDEX(设置!$I$26:$I$30,MATCH(5,设置!$P$26:$P$30,0))</f>
        <v>3</v>
      </c>
      <c r="H52" s="48" t="n">
        <f aca="false">INDEX(设置!$J$26:$J$30,MATCH(5,设置!$P$26:$P$30,0))</f>
        <v>1</v>
      </c>
      <c r="I52" s="48" t="n">
        <f aca="false">INDEX(设置!$K$26:$K$30,MATCH(5,设置!$P$26:$P$30,0))</f>
        <v>0</v>
      </c>
      <c r="J52" s="48" t="n">
        <f aca="false">INDEX(设置!$L$26:$L$30,MATCH(5,设置!$P$26:$P$30,0))</f>
        <v>0</v>
      </c>
      <c r="K52" s="49" t="n">
        <f aca="false">IFERROR((G52+H52)/SUM(G52:J52),"")</f>
        <v>1</v>
      </c>
      <c r="L52" s="50" t="n">
        <f aca="false">INDEX(设置!$N$26:$N$30,MATCH(5,设置!$P$26:$P$30,0))</f>
        <v>95</v>
      </c>
      <c r="M52" s="10" t="str">
        <f aca="false">IFERROR(INDEX(工单台账!$H$4:$L$4,MATCH(B52,工单台账!$H$2:$L$2,0)),"")</f>
        <v>在岗 1 单</v>
      </c>
      <c r="N52" s="10"/>
    </row>
    <row r="53" customFormat="false" ht="7.5" hidden="false" customHeight="true" outlineLevel="0" collapsed="false"/>
    <row r="54" customFormat="false" ht="25.5" hidden="false" customHeight="true" outlineLevel="0" collapsed="false">
      <c r="A54" s="26" t="str">
        <f aca="false">"三、问题集中在哪　（"&amp;$E$2&amp;"）"</f>
        <v>三、问题集中在哪　（本月）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  <row r="55" customFormat="false" ht="15" hidden="false" customHeight="true" outlineLevel="0" collapsed="false">
      <c r="A55" s="37" t="s">
        <v>490</v>
      </c>
      <c r="B55" s="37"/>
      <c r="C55" s="37"/>
      <c r="D55" s="37"/>
      <c r="E55" s="37"/>
      <c r="F55" s="37"/>
      <c r="G55" s="37"/>
      <c r="H55" s="37"/>
      <c r="I55" s="37"/>
    </row>
    <row r="56" customFormat="false" ht="27.75" hidden="false" customHeight="true" outlineLevel="0" collapsed="false">
      <c r="A56" s="38" t="s">
        <v>18</v>
      </c>
      <c r="B56" s="38" t="s">
        <v>474</v>
      </c>
      <c r="C56" s="38" t="s">
        <v>43</v>
      </c>
      <c r="D56" s="38" t="s">
        <v>487</v>
      </c>
      <c r="E56" s="38" t="s">
        <v>475</v>
      </c>
      <c r="F56" s="38" t="s">
        <v>491</v>
      </c>
      <c r="G56" s="38" t="s">
        <v>477</v>
      </c>
      <c r="H56" s="38" t="s">
        <v>476</v>
      </c>
      <c r="I56" s="38" t="s">
        <v>492</v>
      </c>
    </row>
    <row r="57" customFormat="false" ht="18.75" hidden="false" customHeight="true" outlineLevel="0" collapsed="false">
      <c r="A57" s="51" t="s">
        <v>62</v>
      </c>
      <c r="B57" s="48" t="n">
        <f aca="false">COUNTIFS(工单台账!$B$7:$B$2006,"&gt;="&amp;设置!$B$30,工单台账!$B$7:$B$2006,"&lt;="&amp;设置!$C$30,工单台账!$G$7:$G$2006,$A57)</f>
        <v>43</v>
      </c>
      <c r="C57" s="48" t="n">
        <f aca="false">COUNTIFS(工单台账!$B$7:$B$2006,"&gt;="&amp;设置!$B$30,工单台账!$B$7:$B$2006,"&lt;="&amp;设置!$C$30,工单台账!$G$7:$G$2006,$A57,工单台账!$L$7:$L$2006,"已完成")</f>
        <v>43</v>
      </c>
      <c r="D57" s="48" t="n">
        <f aca="false">B57-C57</f>
        <v>0</v>
      </c>
      <c r="E57" s="49" t="n">
        <f aca="false">IFERROR(C57/B57,"")</f>
        <v>1</v>
      </c>
      <c r="F57" s="49" t="n">
        <f aca="false">IFERROR(B57/$B$68,"")</f>
        <v>0.300699300699301</v>
      </c>
      <c r="G57" s="52" t="str">
        <f aca="false">IFERROR(SUMIFS(工单台账!$N$7:$N$2006,工单台账!$B$7:$B$2006,"&gt;="&amp;设置!$B$30,工单台账!$B$7:$B$2006,"&lt;="&amp;设置!$C$30,工单台账!$G$7:$G$2006,$A57,工单台账!$L$7:$L$2006,"已完成",工单台账!$M$7:$M$2006,"&lt;&gt;")/COUNTIFS(工单台账!$B$7:$B$2006,"&gt;="&amp;设置!$B$30,工单台账!$B$7:$B$2006,"&lt;="&amp;设置!$C$30,工单台账!$G$7:$G$2006,$A57,工单台账!$L$7:$L$2006,"已完成",工单台账!$M$7:$M$2006,"&lt;&gt;"),"-")</f>
        <v>-</v>
      </c>
      <c r="H57" s="49" t="n">
        <f aca="false">IFERROR((COUNTIFS(工单台账!$B$7:$B$2006,"&gt;="&amp;设置!$B$30,工单台账!$B$7:$B$2006,"&lt;="&amp;设置!$C$30,工单台账!$G$7:$G$2006,$A57,工单台账!$R$7:$R$2006,"非常满意")+COUNTIFS(工单台账!$B$7:$B$2006,"&gt;="&amp;设置!$B$30,工单台账!$B$7:$B$2006,"&lt;="&amp;设置!$C$30,工单台账!$G$7:$G$2006,$A57,工单台账!$R$7:$R$2006,"满意"))/COUNTIFS(工单台账!$B$7:$B$2006,"&gt;="&amp;设置!$B$30,工单台账!$B$7:$B$2006,"&lt;="&amp;设置!$C$30,工单台账!$G$7:$G$2006,$A57,工单台账!$R$7:$R$2006,"&lt;&gt;"),"")</f>
        <v>1</v>
      </c>
      <c r="I57" s="53" t="n">
        <f aca="false">SUMIFS(工单台账!$Q$7:$Q$2006,工单台账!$B$7:$B$2006,"&gt;="&amp;设置!$B$30,工单台账!$B$7:$B$2006,"&lt;="&amp;设置!$C$30,工单台账!$G$7:$G$2006,$A57)</f>
        <v>0</v>
      </c>
    </row>
    <row r="58" customFormat="false" ht="18.75" hidden="false" customHeight="true" outlineLevel="0" collapsed="false">
      <c r="A58" s="51" t="s">
        <v>108</v>
      </c>
      <c r="B58" s="48" t="n">
        <f aca="false">COUNTIFS(工单台账!$B$7:$B$2006,"&gt;="&amp;设置!$B$30,工单台账!$B$7:$B$2006,"&lt;="&amp;设置!$C$30,工单台账!$G$7:$G$2006,$A58)</f>
        <v>27</v>
      </c>
      <c r="C58" s="48" t="n">
        <f aca="false">COUNTIFS(工单台账!$B$7:$B$2006,"&gt;="&amp;设置!$B$30,工单台账!$B$7:$B$2006,"&lt;="&amp;设置!$C$30,工单台账!$G$7:$G$2006,$A58,工单台账!$L$7:$L$2006,"已完成")</f>
        <v>24</v>
      </c>
      <c r="D58" s="48" t="n">
        <f aca="false">B58-C58</f>
        <v>3</v>
      </c>
      <c r="E58" s="49" t="n">
        <f aca="false">IFERROR(C58/B58,"")</f>
        <v>0.888888888888889</v>
      </c>
      <c r="F58" s="49" t="n">
        <f aca="false">IFERROR(B58/$B$68,"")</f>
        <v>0.188811188811189</v>
      </c>
      <c r="G58" s="52" t="str">
        <f aca="false">IFERROR(SUMIFS(工单台账!$N$7:$N$2006,工单台账!$B$7:$B$2006,"&gt;="&amp;设置!$B$30,工单台账!$B$7:$B$2006,"&lt;="&amp;设置!$C$30,工单台账!$G$7:$G$2006,$A58,工单台账!$L$7:$L$2006,"已完成",工单台账!$M$7:$M$2006,"&lt;&gt;")/COUNTIFS(工单台账!$B$7:$B$2006,"&gt;="&amp;设置!$B$30,工单台账!$B$7:$B$2006,"&lt;="&amp;设置!$C$30,工单台账!$G$7:$G$2006,$A58,工单台账!$L$7:$L$2006,"已完成",工单台账!$M$7:$M$2006,"&lt;&gt;"),"-")</f>
        <v>-</v>
      </c>
      <c r="H58" s="49" t="n">
        <f aca="false">IFERROR((COUNTIFS(工单台账!$B$7:$B$2006,"&gt;="&amp;设置!$B$30,工单台账!$B$7:$B$2006,"&lt;="&amp;设置!$C$30,工单台账!$G$7:$G$2006,$A58,工单台账!$R$7:$R$2006,"非常满意")+COUNTIFS(工单台账!$B$7:$B$2006,"&gt;="&amp;设置!$B$30,工单台账!$B$7:$B$2006,"&lt;="&amp;设置!$C$30,工单台账!$G$7:$G$2006,$A58,工单台账!$R$7:$R$2006,"满意"))/COUNTIFS(工单台账!$B$7:$B$2006,"&gt;="&amp;设置!$B$30,工单台账!$B$7:$B$2006,"&lt;="&amp;设置!$C$30,工单台账!$G$7:$G$2006,$A58,工单台账!$R$7:$R$2006,"&lt;&gt;"),"")</f>
        <v>1</v>
      </c>
      <c r="I58" s="53" t="n">
        <f aca="false">SUMIFS(工单台账!$Q$7:$Q$2006,工单台账!$B$7:$B$2006,"&gt;="&amp;设置!$B$30,工单台账!$B$7:$B$2006,"&lt;="&amp;设置!$C$30,工单台账!$G$7:$G$2006,$A58)</f>
        <v>0</v>
      </c>
    </row>
    <row r="59" customFormat="false" ht="18.75" hidden="false" customHeight="true" outlineLevel="0" collapsed="false">
      <c r="A59" s="51" t="s">
        <v>120</v>
      </c>
      <c r="B59" s="48" t="n">
        <f aca="false">COUNTIFS(工单台账!$B$7:$B$2006,"&gt;="&amp;设置!$B$30,工单台账!$B$7:$B$2006,"&lt;="&amp;设置!$C$30,工单台账!$G$7:$G$2006,$A59)</f>
        <v>18</v>
      </c>
      <c r="C59" s="48" t="n">
        <f aca="false">COUNTIFS(工单台账!$B$7:$B$2006,"&gt;="&amp;设置!$B$30,工单台账!$B$7:$B$2006,"&lt;="&amp;设置!$C$30,工单台账!$G$7:$G$2006,$A59,工单台账!$L$7:$L$2006,"已完成")</f>
        <v>17</v>
      </c>
      <c r="D59" s="48" t="n">
        <f aca="false">B59-C59</f>
        <v>1</v>
      </c>
      <c r="E59" s="49" t="n">
        <f aca="false">IFERROR(C59/B59,"")</f>
        <v>0.944444444444444</v>
      </c>
      <c r="F59" s="49" t="n">
        <f aca="false">IFERROR(B59/$B$68,"")</f>
        <v>0.125874125874126</v>
      </c>
      <c r="G59" s="52" t="str">
        <f aca="false">IFERROR(SUMIFS(工单台账!$N$7:$N$2006,工单台账!$B$7:$B$2006,"&gt;="&amp;设置!$B$30,工单台账!$B$7:$B$2006,"&lt;="&amp;设置!$C$30,工单台账!$G$7:$G$2006,$A59,工单台账!$L$7:$L$2006,"已完成",工单台账!$M$7:$M$2006,"&lt;&gt;")/COUNTIFS(工单台账!$B$7:$B$2006,"&gt;="&amp;设置!$B$30,工单台账!$B$7:$B$2006,"&lt;="&amp;设置!$C$30,工单台账!$G$7:$G$2006,$A59,工单台账!$L$7:$L$2006,"已完成",工单台账!$M$7:$M$2006,"&lt;&gt;"),"-")</f>
        <v>-</v>
      </c>
      <c r="H59" s="49" t="n">
        <f aca="false">IFERROR((COUNTIFS(工单台账!$B$7:$B$2006,"&gt;="&amp;设置!$B$30,工单台账!$B$7:$B$2006,"&lt;="&amp;设置!$C$30,工单台账!$G$7:$G$2006,$A59,工单台账!$R$7:$R$2006,"非常满意")+COUNTIFS(工单台账!$B$7:$B$2006,"&gt;="&amp;设置!$B$30,工单台账!$B$7:$B$2006,"&lt;="&amp;设置!$C$30,工单台账!$G$7:$G$2006,$A59,工单台账!$R$7:$R$2006,"满意"))/COUNTIFS(工单台账!$B$7:$B$2006,"&gt;="&amp;设置!$B$30,工单台账!$B$7:$B$2006,"&lt;="&amp;设置!$C$30,工单台账!$G$7:$G$2006,$A59,工单台账!$R$7:$R$2006,"&lt;&gt;"),"")</f>
        <v>1</v>
      </c>
      <c r="I59" s="53" t="n">
        <f aca="false">SUMIFS(工单台账!$Q$7:$Q$2006,工单台账!$B$7:$B$2006,"&gt;="&amp;设置!$B$30,工单台账!$B$7:$B$2006,"&lt;="&amp;设置!$C$30,工单台账!$G$7:$G$2006,$A59)</f>
        <v>0</v>
      </c>
    </row>
    <row r="60" customFormat="false" ht="18.75" hidden="false" customHeight="true" outlineLevel="0" collapsed="false">
      <c r="A60" s="51" t="s">
        <v>38</v>
      </c>
      <c r="B60" s="48" t="n">
        <f aca="false">COUNTIFS(工单台账!$B$7:$B$2006,"&gt;="&amp;设置!$B$30,工单台账!$B$7:$B$2006,"&lt;="&amp;设置!$C$30,工单台账!$G$7:$G$2006,$A60)</f>
        <v>19</v>
      </c>
      <c r="C60" s="48" t="n">
        <f aca="false">COUNTIFS(工单台账!$B$7:$B$2006,"&gt;="&amp;设置!$B$30,工单台账!$B$7:$B$2006,"&lt;="&amp;设置!$C$30,工单台账!$G$7:$G$2006,$A60,工单台账!$L$7:$L$2006,"已完成")</f>
        <v>14</v>
      </c>
      <c r="D60" s="48" t="n">
        <f aca="false">B60-C60</f>
        <v>5</v>
      </c>
      <c r="E60" s="49" t="n">
        <f aca="false">IFERROR(C60/B60,"")</f>
        <v>0.736842105263158</v>
      </c>
      <c r="F60" s="49" t="n">
        <f aca="false">IFERROR(B60/$B$68,"")</f>
        <v>0.132867132867133</v>
      </c>
      <c r="G60" s="52" t="str">
        <f aca="false">IFERROR(SUMIFS(工单台账!$N$7:$N$2006,工单台账!$B$7:$B$2006,"&gt;="&amp;设置!$B$30,工单台账!$B$7:$B$2006,"&lt;="&amp;设置!$C$30,工单台账!$G$7:$G$2006,$A60,工单台账!$L$7:$L$2006,"已完成",工单台账!$M$7:$M$2006,"&lt;&gt;")/COUNTIFS(工单台账!$B$7:$B$2006,"&gt;="&amp;设置!$B$30,工单台账!$B$7:$B$2006,"&lt;="&amp;设置!$C$30,工单台账!$G$7:$G$2006,$A60,工单台账!$L$7:$L$2006,"已完成",工单台账!$M$7:$M$2006,"&lt;&gt;"),"-")</f>
        <v>-</v>
      </c>
      <c r="H60" s="49" t="n">
        <f aca="false">IFERROR((COUNTIFS(工单台账!$B$7:$B$2006,"&gt;="&amp;设置!$B$30,工单台账!$B$7:$B$2006,"&lt;="&amp;设置!$C$30,工单台账!$G$7:$G$2006,$A60,工单台账!$R$7:$R$2006,"非常满意")+COUNTIFS(工单台账!$B$7:$B$2006,"&gt;="&amp;设置!$B$30,工单台账!$B$7:$B$2006,"&lt;="&amp;设置!$C$30,工单台账!$G$7:$G$2006,$A60,工单台账!$R$7:$R$2006,"满意"))/COUNTIFS(工单台账!$B$7:$B$2006,"&gt;="&amp;设置!$B$30,工单台账!$B$7:$B$2006,"&lt;="&amp;设置!$C$30,工单台账!$G$7:$G$2006,$A60,工单台账!$R$7:$R$2006,"&lt;&gt;"),"")</f>
        <v>0.928571428571429</v>
      </c>
      <c r="I60" s="53" t="n">
        <f aca="false">SUMIFS(工单台账!$Q$7:$Q$2006,工单台账!$B$7:$B$2006,"&gt;="&amp;设置!$B$30,工单台账!$B$7:$B$2006,"&lt;="&amp;设置!$C$30,工单台账!$G$7:$G$2006,$A60)</f>
        <v>0</v>
      </c>
    </row>
    <row r="61" customFormat="false" ht="18.75" hidden="false" customHeight="true" outlineLevel="0" collapsed="false">
      <c r="A61" s="51" t="s">
        <v>56</v>
      </c>
      <c r="B61" s="48" t="n">
        <f aca="false">COUNTIFS(工单台账!$B$7:$B$2006,"&gt;="&amp;设置!$B$30,工单台账!$B$7:$B$2006,"&lt;="&amp;设置!$C$30,工单台账!$G$7:$G$2006,$A61)</f>
        <v>8</v>
      </c>
      <c r="C61" s="48" t="n">
        <f aca="false">COUNTIFS(工单台账!$B$7:$B$2006,"&gt;="&amp;设置!$B$30,工单台账!$B$7:$B$2006,"&lt;="&amp;设置!$C$30,工单台账!$G$7:$G$2006,$A61,工单台账!$L$7:$L$2006,"已完成")</f>
        <v>2</v>
      </c>
      <c r="D61" s="48" t="n">
        <f aca="false">B61-C61</f>
        <v>6</v>
      </c>
      <c r="E61" s="49" t="n">
        <f aca="false">IFERROR(C61/B61,"")</f>
        <v>0.25</v>
      </c>
      <c r="F61" s="49" t="n">
        <f aca="false">IFERROR(B61/$B$68,"")</f>
        <v>0.0559440559440559</v>
      </c>
      <c r="G61" s="52" t="str">
        <f aca="false">IFERROR(SUMIFS(工单台账!$N$7:$N$2006,工单台账!$B$7:$B$2006,"&gt;="&amp;设置!$B$30,工单台账!$B$7:$B$2006,"&lt;="&amp;设置!$C$30,工单台账!$G$7:$G$2006,$A61,工单台账!$L$7:$L$2006,"已完成",工单台账!$M$7:$M$2006,"&lt;&gt;")/COUNTIFS(工单台账!$B$7:$B$2006,"&gt;="&amp;设置!$B$30,工单台账!$B$7:$B$2006,"&lt;="&amp;设置!$C$30,工单台账!$G$7:$G$2006,$A61,工单台账!$L$7:$L$2006,"已完成",工单台账!$M$7:$M$2006,"&lt;&gt;"),"-")</f>
        <v>-</v>
      </c>
      <c r="H61" s="49" t="n">
        <f aca="false">IFERROR((COUNTIFS(工单台账!$B$7:$B$2006,"&gt;="&amp;设置!$B$30,工单台账!$B$7:$B$2006,"&lt;="&amp;设置!$C$30,工单台账!$G$7:$G$2006,$A61,工单台账!$R$7:$R$2006,"非常满意")+COUNTIFS(工单台账!$B$7:$B$2006,"&gt;="&amp;设置!$B$30,工单台账!$B$7:$B$2006,"&lt;="&amp;设置!$C$30,工单台账!$G$7:$G$2006,$A61,工单台账!$R$7:$R$2006,"满意"))/COUNTIFS(工单台账!$B$7:$B$2006,"&gt;="&amp;设置!$B$30,工单台账!$B$7:$B$2006,"&lt;="&amp;设置!$C$30,工单台账!$G$7:$G$2006,$A61,工单台账!$R$7:$R$2006,"&lt;&gt;"),"")</f>
        <v>1</v>
      </c>
      <c r="I61" s="53" t="n">
        <f aca="false">SUMIFS(工单台账!$Q$7:$Q$2006,工单台账!$B$7:$B$2006,"&gt;="&amp;设置!$B$30,工单台账!$B$7:$B$2006,"&lt;="&amp;设置!$C$30,工单台账!$G$7:$G$2006,$A61)</f>
        <v>0</v>
      </c>
    </row>
    <row r="62" customFormat="false" ht="18.75" hidden="false" customHeight="true" outlineLevel="0" collapsed="false">
      <c r="A62" s="51" t="s">
        <v>78</v>
      </c>
      <c r="B62" s="48" t="n">
        <f aca="false">COUNTIFS(工单台账!$B$7:$B$2006,"&gt;="&amp;设置!$B$30,工单台账!$B$7:$B$2006,"&lt;="&amp;设置!$C$30,工单台账!$G$7:$G$2006,$A62)</f>
        <v>15</v>
      </c>
      <c r="C62" s="48" t="n">
        <f aca="false">COUNTIFS(工单台账!$B$7:$B$2006,"&gt;="&amp;设置!$B$30,工单台账!$B$7:$B$2006,"&lt;="&amp;设置!$C$30,工单台账!$G$7:$G$2006,$A62,工单台账!$L$7:$L$2006,"已完成")</f>
        <v>11</v>
      </c>
      <c r="D62" s="48" t="n">
        <f aca="false">B62-C62</f>
        <v>4</v>
      </c>
      <c r="E62" s="49" t="n">
        <f aca="false">IFERROR(C62/B62,"")</f>
        <v>0.733333333333333</v>
      </c>
      <c r="F62" s="49" t="n">
        <f aca="false">IFERROR(B62/$B$68,"")</f>
        <v>0.104895104895105</v>
      </c>
      <c r="G62" s="52" t="str">
        <f aca="false">IFERROR(SUMIFS(工单台账!$N$7:$N$2006,工单台账!$B$7:$B$2006,"&gt;="&amp;设置!$B$30,工单台账!$B$7:$B$2006,"&lt;="&amp;设置!$C$30,工单台账!$G$7:$G$2006,$A62,工单台账!$L$7:$L$2006,"已完成",工单台账!$M$7:$M$2006,"&lt;&gt;")/COUNTIFS(工单台账!$B$7:$B$2006,"&gt;="&amp;设置!$B$30,工单台账!$B$7:$B$2006,"&lt;="&amp;设置!$C$30,工单台账!$G$7:$G$2006,$A62,工单台账!$L$7:$L$2006,"已完成",工单台账!$M$7:$M$2006,"&lt;&gt;"),"-")</f>
        <v>-</v>
      </c>
      <c r="H62" s="49" t="n">
        <f aca="false">IFERROR((COUNTIFS(工单台账!$B$7:$B$2006,"&gt;="&amp;设置!$B$30,工单台账!$B$7:$B$2006,"&lt;="&amp;设置!$C$30,工单台账!$G$7:$G$2006,$A62,工单台账!$R$7:$R$2006,"非常满意")+COUNTIFS(工单台账!$B$7:$B$2006,"&gt;="&amp;设置!$B$30,工单台账!$B$7:$B$2006,"&lt;="&amp;设置!$C$30,工单台账!$G$7:$G$2006,$A62,工单台账!$R$7:$R$2006,"满意"))/COUNTIFS(工单台账!$B$7:$B$2006,"&gt;="&amp;设置!$B$30,工单台账!$B$7:$B$2006,"&lt;="&amp;设置!$C$30,工单台账!$G$7:$G$2006,$A62,工单台账!$R$7:$R$2006,"&lt;&gt;"),"")</f>
        <v>1</v>
      </c>
      <c r="I62" s="53" t="n">
        <f aca="false">SUMIFS(工单台账!$Q$7:$Q$2006,工单台账!$B$7:$B$2006,"&gt;="&amp;设置!$B$30,工单台账!$B$7:$B$2006,"&lt;="&amp;设置!$C$30,工单台账!$G$7:$G$2006,$A62)</f>
        <v>0</v>
      </c>
    </row>
    <row r="63" customFormat="false" ht="18.75" hidden="false" customHeight="true" outlineLevel="0" collapsed="false">
      <c r="A63" s="51" t="s">
        <v>188</v>
      </c>
      <c r="B63" s="48" t="n">
        <f aca="false">COUNTIFS(工单台账!$B$7:$B$2006,"&gt;="&amp;设置!$B$30,工单台账!$B$7:$B$2006,"&lt;="&amp;设置!$C$30,工单台账!$G$7:$G$2006,$A63)</f>
        <v>4</v>
      </c>
      <c r="C63" s="48" t="n">
        <f aca="false">COUNTIFS(工单台账!$B$7:$B$2006,"&gt;="&amp;设置!$B$30,工单台账!$B$7:$B$2006,"&lt;="&amp;设置!$C$30,工单台账!$G$7:$G$2006,$A63,工单台账!$L$7:$L$2006,"已完成")</f>
        <v>4</v>
      </c>
      <c r="D63" s="48" t="n">
        <f aca="false">B63-C63</f>
        <v>0</v>
      </c>
      <c r="E63" s="49" t="n">
        <f aca="false">IFERROR(C63/B63,"")</f>
        <v>1</v>
      </c>
      <c r="F63" s="49" t="n">
        <f aca="false">IFERROR(B63/$B$68,"")</f>
        <v>0.027972027972028</v>
      </c>
      <c r="G63" s="52" t="str">
        <f aca="false">IFERROR(SUMIFS(工单台账!$N$7:$N$2006,工单台账!$B$7:$B$2006,"&gt;="&amp;设置!$B$30,工单台账!$B$7:$B$2006,"&lt;="&amp;设置!$C$30,工单台账!$G$7:$G$2006,$A63,工单台账!$L$7:$L$2006,"已完成",工单台账!$M$7:$M$2006,"&lt;&gt;")/COUNTIFS(工单台账!$B$7:$B$2006,"&gt;="&amp;设置!$B$30,工单台账!$B$7:$B$2006,"&lt;="&amp;设置!$C$30,工单台账!$G$7:$G$2006,$A63,工单台账!$L$7:$L$2006,"已完成",工单台账!$M$7:$M$2006,"&lt;&gt;"),"-")</f>
        <v>-</v>
      </c>
      <c r="H63" s="49" t="n">
        <f aca="false">IFERROR((COUNTIFS(工单台账!$B$7:$B$2006,"&gt;="&amp;设置!$B$30,工单台账!$B$7:$B$2006,"&lt;="&amp;设置!$C$30,工单台账!$G$7:$G$2006,$A63,工单台账!$R$7:$R$2006,"非常满意")+COUNTIFS(工单台账!$B$7:$B$2006,"&gt;="&amp;设置!$B$30,工单台账!$B$7:$B$2006,"&lt;="&amp;设置!$C$30,工单台账!$G$7:$G$2006,$A63,工单台账!$R$7:$R$2006,"满意"))/COUNTIFS(工单台账!$B$7:$B$2006,"&gt;="&amp;设置!$B$30,工单台账!$B$7:$B$2006,"&lt;="&amp;设置!$C$30,工单台账!$G$7:$G$2006,$A63,工单台账!$R$7:$R$2006,"&lt;&gt;"),"")</f>
        <v>1</v>
      </c>
      <c r="I63" s="53" t="n">
        <f aca="false">SUMIFS(工单台账!$Q$7:$Q$2006,工单台账!$B$7:$B$2006,"&gt;="&amp;设置!$B$30,工单台账!$B$7:$B$2006,"&lt;="&amp;设置!$C$30,工单台账!$G$7:$G$2006,$A63)</f>
        <v>0</v>
      </c>
    </row>
    <row r="64" customFormat="false" ht="18.75" hidden="false" customHeight="true" outlineLevel="0" collapsed="false">
      <c r="A64" s="51" t="s">
        <v>160</v>
      </c>
      <c r="B64" s="48" t="n">
        <f aca="false">COUNTIFS(工单台账!$B$7:$B$2006,"&gt;="&amp;设置!$B$30,工单台账!$B$7:$B$2006,"&lt;="&amp;设置!$C$30,工单台账!$G$7:$G$2006,$A64)</f>
        <v>4</v>
      </c>
      <c r="C64" s="48" t="n">
        <f aca="false">COUNTIFS(工单台账!$B$7:$B$2006,"&gt;="&amp;设置!$B$30,工单台账!$B$7:$B$2006,"&lt;="&amp;设置!$C$30,工单台账!$G$7:$G$2006,$A64,工单台账!$L$7:$L$2006,"已完成")</f>
        <v>4</v>
      </c>
      <c r="D64" s="48" t="n">
        <f aca="false">B64-C64</f>
        <v>0</v>
      </c>
      <c r="E64" s="49" t="n">
        <f aca="false">IFERROR(C64/B64,"")</f>
        <v>1</v>
      </c>
      <c r="F64" s="49" t="n">
        <f aca="false">IFERROR(B64/$B$68,"")</f>
        <v>0.027972027972028</v>
      </c>
      <c r="G64" s="52" t="str">
        <f aca="false">IFERROR(SUMIFS(工单台账!$N$7:$N$2006,工单台账!$B$7:$B$2006,"&gt;="&amp;设置!$B$30,工单台账!$B$7:$B$2006,"&lt;="&amp;设置!$C$30,工单台账!$G$7:$G$2006,$A64,工单台账!$L$7:$L$2006,"已完成",工单台账!$M$7:$M$2006,"&lt;&gt;")/COUNTIFS(工单台账!$B$7:$B$2006,"&gt;="&amp;设置!$B$30,工单台账!$B$7:$B$2006,"&lt;="&amp;设置!$C$30,工单台账!$G$7:$G$2006,$A64,工单台账!$L$7:$L$2006,"已完成",工单台账!$M$7:$M$2006,"&lt;&gt;"),"-")</f>
        <v>-</v>
      </c>
      <c r="H64" s="49" t="str">
        <f aca="false">IFERROR((COUNTIFS(工单台账!$B$7:$B$2006,"&gt;="&amp;设置!$B$30,工单台账!$B$7:$B$2006,"&lt;="&amp;设置!$C$30,工单台账!$G$7:$G$2006,$A64,工单台账!$R$7:$R$2006,"非常满意")+COUNTIFS(工单台账!$B$7:$B$2006,"&gt;="&amp;设置!$B$30,工单台账!$B$7:$B$2006,"&lt;="&amp;设置!$C$30,工单台账!$G$7:$G$2006,$A64,工单台账!$R$7:$R$2006,"满意"))/COUNTIFS(工单台账!$B$7:$B$2006,"&gt;="&amp;设置!$B$30,工单台账!$B$7:$B$2006,"&lt;="&amp;设置!$C$30,工单台账!$G$7:$G$2006,$A64,工单台账!$R$7:$R$2006,"&lt;&gt;"),"")</f>
        <v/>
      </c>
      <c r="I64" s="53" t="n">
        <f aca="false">SUMIFS(工单台账!$Q$7:$Q$2006,工单台账!$B$7:$B$2006,"&gt;="&amp;设置!$B$30,工单台账!$B$7:$B$2006,"&lt;="&amp;设置!$C$30,工单台账!$G$7:$G$2006,$A64)</f>
        <v>0</v>
      </c>
    </row>
    <row r="65" customFormat="false" ht="18.75" hidden="false" customHeight="true" outlineLevel="0" collapsed="false">
      <c r="A65" s="51" t="s">
        <v>155</v>
      </c>
      <c r="B65" s="48" t="n">
        <f aca="false">COUNTIFS(工单台账!$B$7:$B$2006,"&gt;="&amp;设置!$B$30,工单台账!$B$7:$B$2006,"&lt;="&amp;设置!$C$30,工单台账!$G$7:$G$2006,$A65)</f>
        <v>1</v>
      </c>
      <c r="C65" s="48" t="n">
        <f aca="false">COUNTIFS(工单台账!$B$7:$B$2006,"&gt;="&amp;设置!$B$30,工单台账!$B$7:$B$2006,"&lt;="&amp;设置!$C$30,工单台账!$G$7:$G$2006,$A65,工单台账!$L$7:$L$2006,"已完成")</f>
        <v>1</v>
      </c>
      <c r="D65" s="48" t="n">
        <f aca="false">B65-C65</f>
        <v>0</v>
      </c>
      <c r="E65" s="49" t="n">
        <f aca="false">IFERROR(C65/B65,"")</f>
        <v>1</v>
      </c>
      <c r="F65" s="49" t="n">
        <f aca="false">IFERROR(B65/$B$68,"")</f>
        <v>0.00699300699300699</v>
      </c>
      <c r="G65" s="52" t="str">
        <f aca="false">IFERROR(SUMIFS(工单台账!$N$7:$N$2006,工单台账!$B$7:$B$2006,"&gt;="&amp;设置!$B$30,工单台账!$B$7:$B$2006,"&lt;="&amp;设置!$C$30,工单台账!$G$7:$G$2006,$A65,工单台账!$L$7:$L$2006,"已完成",工单台账!$M$7:$M$2006,"&lt;&gt;")/COUNTIFS(工单台账!$B$7:$B$2006,"&gt;="&amp;设置!$B$30,工单台账!$B$7:$B$2006,"&lt;="&amp;设置!$C$30,工单台账!$G$7:$G$2006,$A65,工单台账!$L$7:$L$2006,"已完成",工单台账!$M$7:$M$2006,"&lt;&gt;"),"-")</f>
        <v>-</v>
      </c>
      <c r="H65" s="49" t="str">
        <f aca="false">IFERROR((COUNTIFS(工单台账!$B$7:$B$2006,"&gt;="&amp;设置!$B$30,工单台账!$B$7:$B$2006,"&lt;="&amp;设置!$C$30,工单台账!$G$7:$G$2006,$A65,工单台账!$R$7:$R$2006,"非常满意")+COUNTIFS(工单台账!$B$7:$B$2006,"&gt;="&amp;设置!$B$30,工单台账!$B$7:$B$2006,"&lt;="&amp;设置!$C$30,工单台账!$G$7:$G$2006,$A65,工单台账!$R$7:$R$2006,"满意"))/COUNTIFS(工单台账!$B$7:$B$2006,"&gt;="&amp;设置!$B$30,工单台账!$B$7:$B$2006,"&lt;="&amp;设置!$C$30,工单台账!$G$7:$G$2006,$A65,工单台账!$R$7:$R$2006,"&lt;&gt;"),"")</f>
        <v/>
      </c>
      <c r="I65" s="53" t="n">
        <f aca="false">SUMIFS(工单台账!$Q$7:$Q$2006,工单台账!$B$7:$B$2006,"&gt;="&amp;设置!$B$30,工单台账!$B$7:$B$2006,"&lt;="&amp;设置!$C$30,工单台账!$G$7:$G$2006,$A65)</f>
        <v>0</v>
      </c>
    </row>
    <row r="66" customFormat="false" ht="18.75" hidden="false" customHeight="true" outlineLevel="0" collapsed="false">
      <c r="A66" s="51" t="s">
        <v>200</v>
      </c>
      <c r="B66" s="48" t="n">
        <f aca="false">COUNTIFS(工单台账!$B$7:$B$2006,"&gt;="&amp;设置!$B$30,工单台账!$B$7:$B$2006,"&lt;="&amp;设置!$C$30,工单台账!$G$7:$G$2006,$A66)</f>
        <v>4</v>
      </c>
      <c r="C66" s="48" t="n">
        <f aca="false">COUNTIFS(工单台账!$B$7:$B$2006,"&gt;="&amp;设置!$B$30,工单台账!$B$7:$B$2006,"&lt;="&amp;设置!$C$30,工单台账!$G$7:$G$2006,$A66,工单台账!$L$7:$L$2006,"已完成")</f>
        <v>4</v>
      </c>
      <c r="D66" s="48" t="n">
        <f aca="false">B66-C66</f>
        <v>0</v>
      </c>
      <c r="E66" s="49" t="n">
        <f aca="false">IFERROR(C66/B66,"")</f>
        <v>1</v>
      </c>
      <c r="F66" s="49" t="n">
        <f aca="false">IFERROR(B66/$B$68,"")</f>
        <v>0.027972027972028</v>
      </c>
      <c r="G66" s="52" t="str">
        <f aca="false">IFERROR(SUMIFS(工单台账!$N$7:$N$2006,工单台账!$B$7:$B$2006,"&gt;="&amp;设置!$B$30,工单台账!$B$7:$B$2006,"&lt;="&amp;设置!$C$30,工单台账!$G$7:$G$2006,$A66,工单台账!$L$7:$L$2006,"已完成",工单台账!$M$7:$M$2006,"&lt;&gt;")/COUNTIFS(工单台账!$B$7:$B$2006,"&gt;="&amp;设置!$B$30,工单台账!$B$7:$B$2006,"&lt;="&amp;设置!$C$30,工单台账!$G$7:$G$2006,$A66,工单台账!$L$7:$L$2006,"已完成",工单台账!$M$7:$M$2006,"&lt;&gt;"),"-")</f>
        <v>-</v>
      </c>
      <c r="H66" s="49" t="n">
        <f aca="false">IFERROR((COUNTIFS(工单台账!$B$7:$B$2006,"&gt;="&amp;设置!$B$30,工单台账!$B$7:$B$2006,"&lt;="&amp;设置!$C$30,工单台账!$G$7:$G$2006,$A66,工单台账!$R$7:$R$2006,"非常满意")+COUNTIFS(工单台账!$B$7:$B$2006,"&gt;="&amp;设置!$B$30,工单台账!$B$7:$B$2006,"&lt;="&amp;设置!$C$30,工单台账!$G$7:$G$2006,$A66,工单台账!$R$7:$R$2006,"满意"))/COUNTIFS(工单台账!$B$7:$B$2006,"&gt;="&amp;设置!$B$30,工单台账!$B$7:$B$2006,"&lt;="&amp;设置!$C$30,工单台账!$G$7:$G$2006,$A66,工单台账!$R$7:$R$2006,"&lt;&gt;"),"")</f>
        <v>1</v>
      </c>
      <c r="I66" s="53" t="n">
        <f aca="false">SUMIFS(工单台账!$Q$7:$Q$2006,工单台账!$B$7:$B$2006,"&gt;="&amp;设置!$B$30,工单台账!$B$7:$B$2006,"&lt;="&amp;设置!$C$30,工单台账!$G$7:$G$2006,$A66)</f>
        <v>0</v>
      </c>
    </row>
    <row r="67" customFormat="false" ht="18.75" hidden="false" customHeight="true" outlineLevel="0" collapsed="false">
      <c r="A67" s="51" t="s">
        <v>493</v>
      </c>
      <c r="B67" s="48" t="n">
        <f aca="false">COUNTIFS(工单台账!$B$7:$B$2006,"&gt;="&amp;设置!$B$30,工单台账!$B$7:$B$2006,"&lt;="&amp;设置!$C$30)-SUM(B57:B66)</f>
        <v>0</v>
      </c>
      <c r="C67" s="48" t="n">
        <f aca="false">COUNTIFS(工单台账!$B$7:$B$2006,"&gt;="&amp;设置!$B$30,工单台账!$B$7:$B$2006,"&lt;="&amp;设置!$C$30,工单台账!$L$7:$L$2006,"已完成")-SUM(C57:C66)</f>
        <v>0</v>
      </c>
      <c r="D67" s="48" t="n">
        <f aca="false">B67-C67</f>
        <v>0</v>
      </c>
      <c r="E67" s="49" t="str">
        <f aca="false">IFERROR(C67/B67,"")</f>
        <v/>
      </c>
      <c r="F67" s="49" t="n">
        <f aca="false">IFERROR(B67/$B$68,"")</f>
        <v>0</v>
      </c>
      <c r="G67" s="52" t="s">
        <v>494</v>
      </c>
      <c r="H67" s="49"/>
      <c r="I67" s="53" t="n">
        <f aca="false">SUMIFS(工单台账!$Q$7:$Q$2006,工单台账!$B$7:$B$2006,"&gt;="&amp;设置!$B$30,工单台账!$B$7:$B$2006,"&lt;="&amp;设置!$C$30)-SUM(I57:I66)</f>
        <v>0</v>
      </c>
    </row>
    <row r="68" customFormat="false" ht="15" hidden="false" customHeight="true" outlineLevel="0" collapsed="false">
      <c r="A68" s="54" t="s">
        <v>495</v>
      </c>
      <c r="B68" s="55" t="n">
        <f aca="false">SUM(B57:B67)</f>
        <v>143</v>
      </c>
      <c r="C68" s="55" t="n">
        <f aca="false">SUM(C57:C67)</f>
        <v>124</v>
      </c>
      <c r="D68" s="55" t="n">
        <f aca="false">SUM(D57:D67)</f>
        <v>19</v>
      </c>
      <c r="E68" s="56" t="n">
        <f aca="false">IFERROR(C68/B68,"")</f>
        <v>0.867132867132867</v>
      </c>
      <c r="F68" s="56" t="n">
        <f aca="false">IF(B68=0,"",1)</f>
        <v>1</v>
      </c>
      <c r="G68" s="57" t="str">
        <f aca="false">G43</f>
        <v>-</v>
      </c>
      <c r="H68" s="56" t="n">
        <f aca="false">E43</f>
        <v>0.990990990990991</v>
      </c>
      <c r="I68" s="58" t="n">
        <f aca="false">SUM(I57:I67)</f>
        <v>0</v>
      </c>
    </row>
    <row r="70" customFormat="false" ht="15" hidden="false" customHeight="true" outlineLevel="0" collapsed="false">
      <c r="A70" s="37" t="s">
        <v>496</v>
      </c>
      <c r="B70" s="37"/>
      <c r="C70" s="37"/>
      <c r="D70" s="37"/>
      <c r="E70" s="37"/>
      <c r="F70" s="37"/>
      <c r="G70" s="37"/>
      <c r="H70" s="37"/>
      <c r="I70" s="37"/>
    </row>
    <row r="71" customFormat="false" ht="27.75" hidden="false" customHeight="true" outlineLevel="0" collapsed="false">
      <c r="A71" s="38" t="s">
        <v>15</v>
      </c>
      <c r="B71" s="38" t="s">
        <v>474</v>
      </c>
      <c r="C71" s="38" t="s">
        <v>34</v>
      </c>
      <c r="D71" s="38" t="s">
        <v>149</v>
      </c>
      <c r="E71" s="38" t="s">
        <v>43</v>
      </c>
      <c r="F71" s="38" t="s">
        <v>487</v>
      </c>
      <c r="G71" s="38" t="s">
        <v>475</v>
      </c>
      <c r="H71" s="38" t="s">
        <v>476</v>
      </c>
      <c r="I71" s="38" t="s">
        <v>462</v>
      </c>
    </row>
    <row r="72" customFormat="false" ht="18.75" hidden="false" customHeight="true" outlineLevel="0" collapsed="false">
      <c r="A72" s="51" t="str">
        <f aca="false">设置!E9&amp;""</f>
        <v>1栋</v>
      </c>
      <c r="B72" s="48" t="n">
        <f aca="false">COUNTIFS(工单台账!$B$7:$B$2006,"&gt;="&amp;设置!$B$30,工单台账!$B$7:$B$2006,"&lt;="&amp;设置!$C$30,工单台账!$D$7:$D$2006,$A72)</f>
        <v>8</v>
      </c>
      <c r="C72" s="48" t="n">
        <f aca="false">COUNTIFS(工单台账!$B$7:$B$2006,"&gt;="&amp;设置!$B$30,工单台账!$B$7:$B$2006,"&lt;="&amp;设置!$C$30,工单台账!$D$7:$D$2006,$A72,工单台账!$C$7:$C$2006,"入户")</f>
        <v>8</v>
      </c>
      <c r="D72" s="48" t="n">
        <f aca="false">COUNTIFS(工单台账!$B$7:$B$2006,"&gt;="&amp;设置!$B$30,工单台账!$B$7:$B$2006,"&lt;="&amp;设置!$C$30,工单台账!$D$7:$D$2006,$A72,工单台账!$C$7:$C$2006,"公区")</f>
        <v>0</v>
      </c>
      <c r="E72" s="48" t="n">
        <f aca="false">COUNTIFS(工单台账!$B$7:$B$2006,"&gt;="&amp;设置!$B$30,工单台账!$B$7:$B$2006,"&lt;="&amp;设置!$C$30,工单台账!$D$7:$D$2006,$A72,工单台账!$L$7:$L$2006,"已完成")</f>
        <v>8</v>
      </c>
      <c r="F72" s="48" t="n">
        <f aca="false">B72-E72</f>
        <v>0</v>
      </c>
      <c r="G72" s="49" t="n">
        <f aca="false">IFERROR(E72/B72,"")</f>
        <v>1</v>
      </c>
      <c r="H72" s="49" t="n">
        <f aca="false">IFERROR((COUNTIFS(工单台账!$B$7:$B$2006,"&gt;="&amp;设置!$B$30,工单台账!$B$7:$B$2006,"&lt;="&amp;设置!$C$30,工单台账!$D$7:$D$2006,$A72,工单台账!$R$7:$R$2006,"非常满意")+COUNTIFS(工单台账!$B$7:$B$2006,"&gt;="&amp;设置!$B$30,工单台账!$B$7:$B$2006,"&lt;="&amp;设置!$C$30,工单台账!$D$7:$D$2006,$A72,工单台账!$R$7:$R$2006,"满意"))/COUNTIFS(工单台账!$B$7:$B$2006,"&gt;="&amp;设置!$B$30,工单台账!$B$7:$B$2006,"&lt;="&amp;设置!$C$30,工单台账!$D$7:$D$2006,$A72,工单台账!$R$7:$R$2006,"&lt;&gt;"),"")</f>
        <v>1</v>
      </c>
      <c r="I72" s="48" t="n">
        <f aca="false">COUNTIFS(工单台账!$D$7:$D$2006,$A72,工单台账!$O$7:$O$2006,2,工单台账!$B$7:$B$2006,"&gt;="&amp;设置!$B$30,工单台账!$B$7:$B$2006,"&lt;="&amp;设置!$C$30)</f>
        <v>0</v>
      </c>
    </row>
    <row r="73" customFormat="false" ht="18.75" hidden="false" customHeight="true" outlineLevel="0" collapsed="false">
      <c r="A73" s="51" t="str">
        <f aca="false">设置!E10&amp;""</f>
        <v>2栋</v>
      </c>
      <c r="B73" s="48" t="n">
        <f aca="false">COUNTIFS(工单台账!$B$7:$B$2006,"&gt;="&amp;设置!$B$30,工单台账!$B$7:$B$2006,"&lt;="&amp;设置!$C$30,工单台账!$D$7:$D$2006,$A73)</f>
        <v>7</v>
      </c>
      <c r="C73" s="48" t="n">
        <f aca="false">COUNTIFS(工单台账!$B$7:$B$2006,"&gt;="&amp;设置!$B$30,工单台账!$B$7:$B$2006,"&lt;="&amp;设置!$C$30,工单台账!$D$7:$D$2006,$A73,工单台账!$C$7:$C$2006,"入户")</f>
        <v>6</v>
      </c>
      <c r="D73" s="48" t="n">
        <f aca="false">COUNTIFS(工单台账!$B$7:$B$2006,"&gt;="&amp;设置!$B$30,工单台账!$B$7:$B$2006,"&lt;="&amp;设置!$C$30,工单台账!$D$7:$D$2006,$A73,工单台账!$C$7:$C$2006,"公区")</f>
        <v>1</v>
      </c>
      <c r="E73" s="48" t="n">
        <f aca="false">COUNTIFS(工单台账!$B$7:$B$2006,"&gt;="&amp;设置!$B$30,工单台账!$B$7:$B$2006,"&lt;="&amp;设置!$C$30,工单台账!$D$7:$D$2006,$A73,工单台账!$L$7:$L$2006,"已完成")</f>
        <v>7</v>
      </c>
      <c r="F73" s="48" t="n">
        <f aca="false">B73-E73</f>
        <v>0</v>
      </c>
      <c r="G73" s="49" t="n">
        <f aca="false">IFERROR(E73/B73,"")</f>
        <v>1</v>
      </c>
      <c r="H73" s="49" t="n">
        <f aca="false">IFERROR((COUNTIFS(工单台账!$B$7:$B$2006,"&gt;="&amp;设置!$B$30,工单台账!$B$7:$B$2006,"&lt;="&amp;设置!$C$30,工单台账!$D$7:$D$2006,$A73,工单台账!$R$7:$R$2006,"非常满意")+COUNTIFS(工单台账!$B$7:$B$2006,"&gt;="&amp;设置!$B$30,工单台账!$B$7:$B$2006,"&lt;="&amp;设置!$C$30,工单台账!$D$7:$D$2006,$A73,工单台账!$R$7:$R$2006,"满意"))/COUNTIFS(工单台账!$B$7:$B$2006,"&gt;="&amp;设置!$B$30,工单台账!$B$7:$B$2006,"&lt;="&amp;设置!$C$30,工单台账!$D$7:$D$2006,$A73,工单台账!$R$7:$R$2006,"&lt;&gt;"),"")</f>
        <v>1</v>
      </c>
      <c r="I73" s="48" t="n">
        <f aca="false">COUNTIFS(工单台账!$D$7:$D$2006,$A73,工单台账!$O$7:$O$2006,2,工单台账!$B$7:$B$2006,"&gt;="&amp;设置!$B$30,工单台账!$B$7:$B$2006,"&lt;="&amp;设置!$C$30)</f>
        <v>0</v>
      </c>
    </row>
    <row r="74" customFormat="false" ht="18.75" hidden="false" customHeight="true" outlineLevel="0" collapsed="false">
      <c r="A74" s="51" t="str">
        <f aca="false">设置!E11&amp;""</f>
        <v>3栋</v>
      </c>
      <c r="B74" s="48" t="n">
        <f aca="false">COUNTIFS(工单台账!$B$7:$B$2006,"&gt;="&amp;设置!$B$30,工单台账!$B$7:$B$2006,"&lt;="&amp;设置!$C$30,工单台账!$D$7:$D$2006,$A74)</f>
        <v>7</v>
      </c>
      <c r="C74" s="48" t="n">
        <f aca="false">COUNTIFS(工单台账!$B$7:$B$2006,"&gt;="&amp;设置!$B$30,工单台账!$B$7:$B$2006,"&lt;="&amp;设置!$C$30,工单台账!$D$7:$D$2006,$A74,工单台账!$C$7:$C$2006,"入户")</f>
        <v>5</v>
      </c>
      <c r="D74" s="48" t="n">
        <f aca="false">COUNTIFS(工单台账!$B$7:$B$2006,"&gt;="&amp;设置!$B$30,工单台账!$B$7:$B$2006,"&lt;="&amp;设置!$C$30,工单台账!$D$7:$D$2006,$A74,工单台账!$C$7:$C$2006,"公区")</f>
        <v>2</v>
      </c>
      <c r="E74" s="48" t="n">
        <f aca="false">COUNTIFS(工单台账!$B$7:$B$2006,"&gt;="&amp;设置!$B$30,工单台账!$B$7:$B$2006,"&lt;="&amp;设置!$C$30,工单台账!$D$7:$D$2006,$A74,工单台账!$L$7:$L$2006,"已完成")</f>
        <v>6</v>
      </c>
      <c r="F74" s="48" t="n">
        <f aca="false">B74-E74</f>
        <v>1</v>
      </c>
      <c r="G74" s="49" t="n">
        <f aca="false">IFERROR(E74/B74,"")</f>
        <v>0.857142857142857</v>
      </c>
      <c r="H74" s="49" t="n">
        <f aca="false">IFERROR((COUNTIFS(工单台账!$B$7:$B$2006,"&gt;="&amp;设置!$B$30,工单台账!$B$7:$B$2006,"&lt;="&amp;设置!$C$30,工单台账!$D$7:$D$2006,$A74,工单台账!$R$7:$R$2006,"非常满意")+COUNTIFS(工单台账!$B$7:$B$2006,"&gt;="&amp;设置!$B$30,工单台账!$B$7:$B$2006,"&lt;="&amp;设置!$C$30,工单台账!$D$7:$D$2006,$A74,工单台账!$R$7:$R$2006,"满意"))/COUNTIFS(工单台账!$B$7:$B$2006,"&gt;="&amp;设置!$B$30,工单台账!$B$7:$B$2006,"&lt;="&amp;设置!$C$30,工单台账!$D$7:$D$2006,$A74,工单台账!$R$7:$R$2006,"&lt;&gt;"),"")</f>
        <v>1</v>
      </c>
      <c r="I74" s="48" t="n">
        <f aca="false">COUNTIFS(工单台账!$D$7:$D$2006,$A74,工单台账!$O$7:$O$2006,2,工单台账!$B$7:$B$2006,"&gt;="&amp;设置!$B$30,工单台账!$B$7:$B$2006,"&lt;="&amp;设置!$C$30)</f>
        <v>0</v>
      </c>
    </row>
    <row r="75" customFormat="false" ht="18.75" hidden="false" customHeight="true" outlineLevel="0" collapsed="false">
      <c r="A75" s="51" t="str">
        <f aca="false">设置!E12&amp;""</f>
        <v>4栋</v>
      </c>
      <c r="B75" s="48" t="n">
        <f aca="false">COUNTIFS(工单台账!$B$7:$B$2006,"&gt;="&amp;设置!$B$30,工单台账!$B$7:$B$2006,"&lt;="&amp;设置!$C$30,工单台账!$D$7:$D$2006,$A75)</f>
        <v>6</v>
      </c>
      <c r="C75" s="48" t="n">
        <f aca="false">COUNTIFS(工单台账!$B$7:$B$2006,"&gt;="&amp;设置!$B$30,工单台账!$B$7:$B$2006,"&lt;="&amp;设置!$C$30,工单台账!$D$7:$D$2006,$A75,工单台账!$C$7:$C$2006,"入户")</f>
        <v>6</v>
      </c>
      <c r="D75" s="48" t="n">
        <f aca="false">COUNTIFS(工单台账!$B$7:$B$2006,"&gt;="&amp;设置!$B$30,工单台账!$B$7:$B$2006,"&lt;="&amp;设置!$C$30,工单台账!$D$7:$D$2006,$A75,工单台账!$C$7:$C$2006,"公区")</f>
        <v>0</v>
      </c>
      <c r="E75" s="48" t="n">
        <f aca="false">COUNTIFS(工单台账!$B$7:$B$2006,"&gt;="&amp;设置!$B$30,工单台账!$B$7:$B$2006,"&lt;="&amp;设置!$C$30,工单台账!$D$7:$D$2006,$A75,工单台账!$L$7:$L$2006,"已完成")</f>
        <v>6</v>
      </c>
      <c r="F75" s="48" t="n">
        <f aca="false">B75-E75</f>
        <v>0</v>
      </c>
      <c r="G75" s="49" t="n">
        <f aca="false">IFERROR(E75/B75,"")</f>
        <v>1</v>
      </c>
      <c r="H75" s="49" t="n">
        <f aca="false">IFERROR((COUNTIFS(工单台账!$B$7:$B$2006,"&gt;="&amp;设置!$B$30,工单台账!$B$7:$B$2006,"&lt;="&amp;设置!$C$30,工单台账!$D$7:$D$2006,$A75,工单台账!$R$7:$R$2006,"非常满意")+COUNTIFS(工单台账!$B$7:$B$2006,"&gt;="&amp;设置!$B$30,工单台账!$B$7:$B$2006,"&lt;="&amp;设置!$C$30,工单台账!$D$7:$D$2006,$A75,工单台账!$R$7:$R$2006,"满意"))/COUNTIFS(工单台账!$B$7:$B$2006,"&gt;="&amp;设置!$B$30,工单台账!$B$7:$B$2006,"&lt;="&amp;设置!$C$30,工单台账!$D$7:$D$2006,$A75,工单台账!$R$7:$R$2006,"&lt;&gt;"),"")</f>
        <v>1</v>
      </c>
      <c r="I75" s="48" t="n">
        <f aca="false">COUNTIFS(工单台账!$D$7:$D$2006,$A75,工单台账!$O$7:$O$2006,2,工单台账!$B$7:$B$2006,"&gt;="&amp;设置!$B$30,工单台账!$B$7:$B$2006,"&lt;="&amp;设置!$C$30)</f>
        <v>0</v>
      </c>
    </row>
    <row r="76" customFormat="false" ht="18.75" hidden="false" customHeight="true" outlineLevel="0" collapsed="false">
      <c r="A76" s="51" t="str">
        <f aca="false">设置!E13&amp;""</f>
        <v>5栋</v>
      </c>
      <c r="B76" s="48" t="n">
        <f aca="false">COUNTIFS(工单台账!$B$7:$B$2006,"&gt;="&amp;设置!$B$30,工单台账!$B$7:$B$2006,"&lt;="&amp;设置!$C$30,工单台账!$D$7:$D$2006,$A76)</f>
        <v>17</v>
      </c>
      <c r="C76" s="48" t="n">
        <f aca="false">COUNTIFS(工单台账!$B$7:$B$2006,"&gt;="&amp;设置!$B$30,工单台账!$B$7:$B$2006,"&lt;="&amp;设置!$C$30,工单台账!$D$7:$D$2006,$A76,工单台账!$C$7:$C$2006,"入户")</f>
        <v>15</v>
      </c>
      <c r="D76" s="48" t="n">
        <f aca="false">COUNTIFS(工单台账!$B$7:$B$2006,"&gt;="&amp;设置!$B$30,工单台账!$B$7:$B$2006,"&lt;="&amp;设置!$C$30,工单台账!$D$7:$D$2006,$A76,工单台账!$C$7:$C$2006,"公区")</f>
        <v>2</v>
      </c>
      <c r="E76" s="48" t="n">
        <f aca="false">COUNTIFS(工单台账!$B$7:$B$2006,"&gt;="&amp;设置!$B$30,工单台账!$B$7:$B$2006,"&lt;="&amp;设置!$C$30,工单台账!$D$7:$D$2006,$A76,工单台账!$L$7:$L$2006,"已完成")</f>
        <v>14</v>
      </c>
      <c r="F76" s="48" t="n">
        <f aca="false">B76-E76</f>
        <v>3</v>
      </c>
      <c r="G76" s="49" t="n">
        <f aca="false">IFERROR(E76/B76,"")</f>
        <v>0.823529411764706</v>
      </c>
      <c r="H76" s="49" t="n">
        <f aca="false">IFERROR((COUNTIFS(工单台账!$B$7:$B$2006,"&gt;="&amp;设置!$B$30,工单台账!$B$7:$B$2006,"&lt;="&amp;设置!$C$30,工单台账!$D$7:$D$2006,$A76,工单台账!$R$7:$R$2006,"非常满意")+COUNTIFS(工单台账!$B$7:$B$2006,"&gt;="&amp;设置!$B$30,工单台账!$B$7:$B$2006,"&lt;="&amp;设置!$C$30,工单台账!$D$7:$D$2006,$A76,工单台账!$R$7:$R$2006,"满意"))/COUNTIFS(工单台账!$B$7:$B$2006,"&gt;="&amp;设置!$B$30,工单台账!$B$7:$B$2006,"&lt;="&amp;设置!$C$30,工单台账!$D$7:$D$2006,$A76,工单台账!$R$7:$R$2006,"&lt;&gt;"),"")</f>
        <v>1</v>
      </c>
      <c r="I76" s="48" t="n">
        <f aca="false">COUNTIFS(工单台账!$D$7:$D$2006,$A76,工单台账!$O$7:$O$2006,2,工单台账!$B$7:$B$2006,"&gt;="&amp;设置!$B$30,工单台账!$B$7:$B$2006,"&lt;="&amp;设置!$C$30)</f>
        <v>1</v>
      </c>
    </row>
    <row r="77" customFormat="false" ht="18.75" hidden="false" customHeight="true" outlineLevel="0" collapsed="false">
      <c r="A77" s="51" t="str">
        <f aca="false">设置!E14&amp;""</f>
        <v>6栋</v>
      </c>
      <c r="B77" s="48" t="n">
        <f aca="false">COUNTIFS(工单台账!$B$7:$B$2006,"&gt;="&amp;设置!$B$30,工单台账!$B$7:$B$2006,"&lt;="&amp;设置!$C$30,工单台账!$D$7:$D$2006,$A77)</f>
        <v>17</v>
      </c>
      <c r="C77" s="48" t="n">
        <f aca="false">COUNTIFS(工单台账!$B$7:$B$2006,"&gt;="&amp;设置!$B$30,工单台账!$B$7:$B$2006,"&lt;="&amp;设置!$C$30,工单台账!$D$7:$D$2006,$A77,工单台账!$C$7:$C$2006,"入户")</f>
        <v>17</v>
      </c>
      <c r="D77" s="48" t="n">
        <f aca="false">COUNTIFS(工单台账!$B$7:$B$2006,"&gt;="&amp;设置!$B$30,工单台账!$B$7:$B$2006,"&lt;="&amp;设置!$C$30,工单台账!$D$7:$D$2006,$A77,工单台账!$C$7:$C$2006,"公区")</f>
        <v>0</v>
      </c>
      <c r="E77" s="48" t="n">
        <f aca="false">COUNTIFS(工单台账!$B$7:$B$2006,"&gt;="&amp;设置!$B$30,工单台账!$B$7:$B$2006,"&lt;="&amp;设置!$C$30,工单台账!$D$7:$D$2006,$A77,工单台账!$L$7:$L$2006,"已完成")</f>
        <v>13</v>
      </c>
      <c r="F77" s="48" t="n">
        <f aca="false">B77-E77</f>
        <v>4</v>
      </c>
      <c r="G77" s="49" t="n">
        <f aca="false">IFERROR(E77/B77,"")</f>
        <v>0.764705882352941</v>
      </c>
      <c r="H77" s="49" t="n">
        <f aca="false">IFERROR((COUNTIFS(工单台账!$B$7:$B$2006,"&gt;="&amp;设置!$B$30,工单台账!$B$7:$B$2006,"&lt;="&amp;设置!$C$30,工单台账!$D$7:$D$2006,$A77,工单台账!$R$7:$R$2006,"非常满意")+COUNTIFS(工单台账!$B$7:$B$2006,"&gt;="&amp;设置!$B$30,工单台账!$B$7:$B$2006,"&lt;="&amp;设置!$C$30,工单台账!$D$7:$D$2006,$A77,工单台账!$R$7:$R$2006,"满意"))/COUNTIFS(工单台账!$B$7:$B$2006,"&gt;="&amp;设置!$B$30,工单台账!$B$7:$B$2006,"&lt;="&amp;设置!$C$30,工单台账!$D$7:$D$2006,$A77,工单台账!$R$7:$R$2006,"&lt;&gt;"),"")</f>
        <v>0.933333333333333</v>
      </c>
      <c r="I77" s="48" t="n">
        <f aca="false">COUNTIFS(工单台账!$D$7:$D$2006,$A77,工单台账!$O$7:$O$2006,2,工单台账!$B$7:$B$2006,"&gt;="&amp;设置!$B$30,工单台账!$B$7:$B$2006,"&lt;="&amp;设置!$C$30)</f>
        <v>1</v>
      </c>
    </row>
    <row r="78" customFormat="false" ht="18.75" hidden="false" customHeight="true" outlineLevel="0" collapsed="false">
      <c r="A78" s="51" t="str">
        <f aca="false">设置!E15&amp;""</f>
        <v>7栋</v>
      </c>
      <c r="B78" s="48" t="n">
        <f aca="false">COUNTIFS(工单台账!$B$7:$B$2006,"&gt;="&amp;设置!$B$30,工单台账!$B$7:$B$2006,"&lt;="&amp;设置!$C$30,工单台账!$D$7:$D$2006,$A78)</f>
        <v>14</v>
      </c>
      <c r="C78" s="48" t="n">
        <f aca="false">COUNTIFS(工单台账!$B$7:$B$2006,"&gt;="&amp;设置!$B$30,工单台账!$B$7:$B$2006,"&lt;="&amp;设置!$C$30,工单台账!$D$7:$D$2006,$A78,工单台账!$C$7:$C$2006,"入户")</f>
        <v>13</v>
      </c>
      <c r="D78" s="48" t="n">
        <f aca="false">COUNTIFS(工单台账!$B$7:$B$2006,"&gt;="&amp;设置!$B$30,工单台账!$B$7:$B$2006,"&lt;="&amp;设置!$C$30,工单台账!$D$7:$D$2006,$A78,工单台账!$C$7:$C$2006,"公区")</f>
        <v>1</v>
      </c>
      <c r="E78" s="48" t="n">
        <f aca="false">COUNTIFS(工单台账!$B$7:$B$2006,"&gt;="&amp;设置!$B$30,工单台账!$B$7:$B$2006,"&lt;="&amp;设置!$C$30,工单台账!$D$7:$D$2006,$A78,工单台账!$L$7:$L$2006,"已完成")</f>
        <v>11</v>
      </c>
      <c r="F78" s="48" t="n">
        <f aca="false">B78-E78</f>
        <v>3</v>
      </c>
      <c r="G78" s="49" t="n">
        <f aca="false">IFERROR(E78/B78,"")</f>
        <v>0.785714285714286</v>
      </c>
      <c r="H78" s="49" t="n">
        <f aca="false">IFERROR((COUNTIFS(工单台账!$B$7:$B$2006,"&gt;="&amp;设置!$B$30,工单台账!$B$7:$B$2006,"&lt;="&amp;设置!$C$30,工单台账!$D$7:$D$2006,$A78,工单台账!$R$7:$R$2006,"非常满意")+COUNTIFS(工单台账!$B$7:$B$2006,"&gt;="&amp;设置!$B$30,工单台账!$B$7:$B$2006,"&lt;="&amp;设置!$C$30,工单台账!$D$7:$D$2006,$A78,工单台账!$R$7:$R$2006,"满意"))/COUNTIFS(工单台账!$B$7:$B$2006,"&gt;="&amp;设置!$B$30,工单台账!$B$7:$B$2006,"&lt;="&amp;设置!$C$30,工单台账!$D$7:$D$2006,$A78,工单台账!$R$7:$R$2006,"&lt;&gt;"),"")</f>
        <v>1</v>
      </c>
      <c r="I78" s="48" t="n">
        <f aca="false">COUNTIFS(工单台账!$D$7:$D$2006,$A78,工单台账!$O$7:$O$2006,2,工单台账!$B$7:$B$2006,"&gt;="&amp;设置!$B$30,工单台账!$B$7:$B$2006,"&lt;="&amp;设置!$C$30)</f>
        <v>1</v>
      </c>
    </row>
    <row r="79" customFormat="false" ht="18.75" hidden="false" customHeight="true" outlineLevel="0" collapsed="false">
      <c r="A79" s="51" t="str">
        <f aca="false">设置!E16&amp;""</f>
        <v>8栋</v>
      </c>
      <c r="B79" s="48" t="n">
        <f aca="false">COUNTIFS(工单台账!$B$7:$B$2006,"&gt;="&amp;设置!$B$30,工单台账!$B$7:$B$2006,"&lt;="&amp;设置!$C$30,工单台账!$D$7:$D$2006,$A79)</f>
        <v>16</v>
      </c>
      <c r="C79" s="48" t="n">
        <f aca="false">COUNTIFS(工单台账!$B$7:$B$2006,"&gt;="&amp;设置!$B$30,工单台账!$B$7:$B$2006,"&lt;="&amp;设置!$C$30,工单台账!$D$7:$D$2006,$A79,工单台账!$C$7:$C$2006,"入户")</f>
        <v>15</v>
      </c>
      <c r="D79" s="48" t="n">
        <f aca="false">COUNTIFS(工单台账!$B$7:$B$2006,"&gt;="&amp;设置!$B$30,工单台账!$B$7:$B$2006,"&lt;="&amp;设置!$C$30,工单台账!$D$7:$D$2006,$A79,工单台账!$C$7:$C$2006,"公区")</f>
        <v>1</v>
      </c>
      <c r="E79" s="48" t="n">
        <f aca="false">COUNTIFS(工单台账!$B$7:$B$2006,"&gt;="&amp;设置!$B$30,工单台账!$B$7:$B$2006,"&lt;="&amp;设置!$C$30,工单台账!$D$7:$D$2006,$A79,工单台账!$L$7:$L$2006,"已完成")</f>
        <v>14</v>
      </c>
      <c r="F79" s="48" t="n">
        <f aca="false">B79-E79</f>
        <v>2</v>
      </c>
      <c r="G79" s="49" t="n">
        <f aca="false">IFERROR(E79/B79,"")</f>
        <v>0.875</v>
      </c>
      <c r="H79" s="49" t="n">
        <f aca="false">IFERROR((COUNTIFS(工单台账!$B$7:$B$2006,"&gt;="&amp;设置!$B$30,工单台账!$B$7:$B$2006,"&lt;="&amp;设置!$C$30,工单台账!$D$7:$D$2006,$A79,工单台账!$R$7:$R$2006,"非常满意")+COUNTIFS(工单台账!$B$7:$B$2006,"&gt;="&amp;设置!$B$30,工单台账!$B$7:$B$2006,"&lt;="&amp;设置!$C$30,工单台账!$D$7:$D$2006,$A79,工单台账!$R$7:$R$2006,"满意"))/COUNTIFS(工单台账!$B$7:$B$2006,"&gt;="&amp;设置!$B$30,工单台账!$B$7:$B$2006,"&lt;="&amp;设置!$C$30,工单台账!$D$7:$D$2006,$A79,工单台账!$R$7:$R$2006,"&lt;&gt;"),"")</f>
        <v>1</v>
      </c>
      <c r="I79" s="48" t="n">
        <f aca="false">COUNTIFS(工单台账!$D$7:$D$2006,$A79,工单台账!$O$7:$O$2006,2,工单台账!$B$7:$B$2006,"&gt;="&amp;设置!$B$30,工单台账!$B$7:$B$2006,"&lt;="&amp;设置!$C$30)</f>
        <v>1</v>
      </c>
    </row>
    <row r="80" customFormat="false" ht="18.75" hidden="false" customHeight="true" outlineLevel="0" collapsed="false">
      <c r="A80" s="51" t="str">
        <f aca="false">设置!E17&amp;""</f>
        <v>9栋</v>
      </c>
      <c r="B80" s="48" t="n">
        <f aca="false">COUNTIFS(工单台账!$B$7:$B$2006,"&gt;="&amp;设置!$B$30,工单台账!$B$7:$B$2006,"&lt;="&amp;设置!$C$30,工单台账!$D$7:$D$2006,$A80)</f>
        <v>14</v>
      </c>
      <c r="C80" s="48" t="n">
        <f aca="false">COUNTIFS(工单台账!$B$7:$B$2006,"&gt;="&amp;设置!$B$30,工单台账!$B$7:$B$2006,"&lt;="&amp;设置!$C$30,工单台账!$D$7:$D$2006,$A80,工单台账!$C$7:$C$2006,"入户")</f>
        <v>12</v>
      </c>
      <c r="D80" s="48" t="n">
        <f aca="false">COUNTIFS(工单台账!$B$7:$B$2006,"&gt;="&amp;设置!$B$30,工单台账!$B$7:$B$2006,"&lt;="&amp;设置!$C$30,工单台账!$D$7:$D$2006,$A80,工单台账!$C$7:$C$2006,"公区")</f>
        <v>2</v>
      </c>
      <c r="E80" s="48" t="n">
        <f aca="false">COUNTIFS(工单台账!$B$7:$B$2006,"&gt;="&amp;设置!$B$30,工单台账!$B$7:$B$2006,"&lt;="&amp;设置!$C$30,工单台账!$D$7:$D$2006,$A80,工单台账!$L$7:$L$2006,"已完成")</f>
        <v>13</v>
      </c>
      <c r="F80" s="48" t="n">
        <f aca="false">B80-E80</f>
        <v>1</v>
      </c>
      <c r="G80" s="49" t="n">
        <f aca="false">IFERROR(E80/B80,"")</f>
        <v>0.928571428571429</v>
      </c>
      <c r="H80" s="49" t="n">
        <f aca="false">IFERROR((COUNTIFS(工单台账!$B$7:$B$2006,"&gt;="&amp;设置!$B$30,工单台账!$B$7:$B$2006,"&lt;="&amp;设置!$C$30,工单台账!$D$7:$D$2006,$A80,工单台账!$R$7:$R$2006,"非常满意")+COUNTIFS(工单台账!$B$7:$B$2006,"&gt;="&amp;设置!$B$30,工单台账!$B$7:$B$2006,"&lt;="&amp;设置!$C$30,工单台账!$D$7:$D$2006,$A80,工单台账!$R$7:$R$2006,"满意"))/COUNTIFS(工单台账!$B$7:$B$2006,"&gt;="&amp;设置!$B$30,工单台账!$B$7:$B$2006,"&lt;="&amp;设置!$C$30,工单台账!$D$7:$D$2006,$A80,工单台账!$R$7:$R$2006,"&lt;&gt;"),"")</f>
        <v>1</v>
      </c>
      <c r="I80" s="48" t="n">
        <f aca="false">COUNTIFS(工单台账!$D$7:$D$2006,$A80,工单台账!$O$7:$O$2006,2,工单台账!$B$7:$B$2006,"&gt;="&amp;设置!$B$30,工单台账!$B$7:$B$2006,"&lt;="&amp;设置!$C$30)</f>
        <v>0</v>
      </c>
    </row>
    <row r="81" customFormat="false" ht="18.75" hidden="false" customHeight="true" outlineLevel="0" collapsed="false">
      <c r="A81" s="51" t="str">
        <f aca="false">设置!E18&amp;""</f>
        <v>10栋</v>
      </c>
      <c r="B81" s="48" t="n">
        <f aca="false">COUNTIFS(工单台账!$B$7:$B$2006,"&gt;="&amp;设置!$B$30,工单台账!$B$7:$B$2006,"&lt;="&amp;设置!$C$30,工单台账!$D$7:$D$2006,$A81)</f>
        <v>16</v>
      </c>
      <c r="C81" s="48" t="n">
        <f aca="false">COUNTIFS(工单台账!$B$7:$B$2006,"&gt;="&amp;设置!$B$30,工单台账!$B$7:$B$2006,"&lt;="&amp;设置!$C$30,工单台账!$D$7:$D$2006,$A81,工单台账!$C$7:$C$2006,"入户")</f>
        <v>13</v>
      </c>
      <c r="D81" s="48" t="n">
        <f aca="false">COUNTIFS(工单台账!$B$7:$B$2006,"&gt;="&amp;设置!$B$30,工单台账!$B$7:$B$2006,"&lt;="&amp;设置!$C$30,工单台账!$D$7:$D$2006,$A81,工单台账!$C$7:$C$2006,"公区")</f>
        <v>3</v>
      </c>
      <c r="E81" s="48" t="n">
        <f aca="false">COUNTIFS(工单台账!$B$7:$B$2006,"&gt;="&amp;设置!$B$30,工单台账!$B$7:$B$2006,"&lt;="&amp;设置!$C$30,工单台账!$D$7:$D$2006,$A81,工单台账!$L$7:$L$2006,"已完成")</f>
        <v>14</v>
      </c>
      <c r="F81" s="48" t="n">
        <f aca="false">B81-E81</f>
        <v>2</v>
      </c>
      <c r="G81" s="49" t="n">
        <f aca="false">IFERROR(E81/B81,"")</f>
        <v>0.875</v>
      </c>
      <c r="H81" s="49" t="n">
        <f aca="false">IFERROR((COUNTIFS(工单台账!$B$7:$B$2006,"&gt;="&amp;设置!$B$30,工单台账!$B$7:$B$2006,"&lt;="&amp;设置!$C$30,工单台账!$D$7:$D$2006,$A81,工单台账!$R$7:$R$2006,"非常满意")+COUNTIFS(工单台账!$B$7:$B$2006,"&gt;="&amp;设置!$B$30,工单台账!$B$7:$B$2006,"&lt;="&amp;设置!$C$30,工单台账!$D$7:$D$2006,$A81,工单台账!$R$7:$R$2006,"满意"))/COUNTIFS(工单台账!$B$7:$B$2006,"&gt;="&amp;设置!$B$30,工单台账!$B$7:$B$2006,"&lt;="&amp;设置!$C$30,工单台账!$D$7:$D$2006,$A81,工单台账!$R$7:$R$2006,"&lt;&gt;"),"")</f>
        <v>1</v>
      </c>
      <c r="I81" s="48" t="n">
        <f aca="false">COUNTIFS(工单台账!$D$7:$D$2006,$A81,工单台账!$O$7:$O$2006,2,工单台账!$B$7:$B$2006,"&gt;="&amp;设置!$B$30,工单台账!$B$7:$B$2006,"&lt;="&amp;设置!$C$30)</f>
        <v>0</v>
      </c>
    </row>
    <row r="82" customFormat="false" ht="18.75" hidden="false" customHeight="true" outlineLevel="0" collapsed="false">
      <c r="A82" s="51" t="str">
        <f aca="false">设置!E19&amp;""</f>
        <v>11栋</v>
      </c>
      <c r="B82" s="48" t="n">
        <f aca="false">COUNTIFS(工单台账!$B$7:$B$2006,"&gt;="&amp;设置!$B$30,工单台账!$B$7:$B$2006,"&lt;="&amp;设置!$C$30,工单台账!$D$7:$D$2006,$A82)</f>
        <v>12</v>
      </c>
      <c r="C82" s="48" t="n">
        <f aca="false">COUNTIFS(工单台账!$B$7:$B$2006,"&gt;="&amp;设置!$B$30,工单台账!$B$7:$B$2006,"&lt;="&amp;设置!$C$30,工单台账!$D$7:$D$2006,$A82,工单台账!$C$7:$C$2006,"入户")</f>
        <v>10</v>
      </c>
      <c r="D82" s="48" t="n">
        <f aca="false">COUNTIFS(工单台账!$B$7:$B$2006,"&gt;="&amp;设置!$B$30,工单台账!$B$7:$B$2006,"&lt;="&amp;设置!$C$30,工单台账!$D$7:$D$2006,$A82,工单台账!$C$7:$C$2006,"公区")</f>
        <v>2</v>
      </c>
      <c r="E82" s="48" t="n">
        <f aca="false">COUNTIFS(工单台账!$B$7:$B$2006,"&gt;="&amp;设置!$B$30,工单台账!$B$7:$B$2006,"&lt;="&amp;设置!$C$30,工单台账!$D$7:$D$2006,$A82,工单台账!$L$7:$L$2006,"已完成")</f>
        <v>11</v>
      </c>
      <c r="F82" s="48" t="n">
        <f aca="false">B82-E82</f>
        <v>1</v>
      </c>
      <c r="G82" s="49" t="n">
        <f aca="false">IFERROR(E82/B82,"")</f>
        <v>0.916666666666667</v>
      </c>
      <c r="H82" s="49" t="n">
        <f aca="false">IFERROR((COUNTIFS(工单台账!$B$7:$B$2006,"&gt;="&amp;设置!$B$30,工单台账!$B$7:$B$2006,"&lt;="&amp;设置!$C$30,工单台账!$D$7:$D$2006,$A82,工单台账!$R$7:$R$2006,"非常满意")+COUNTIFS(工单台账!$B$7:$B$2006,"&gt;="&amp;设置!$B$30,工单台账!$B$7:$B$2006,"&lt;="&amp;设置!$C$30,工单台账!$D$7:$D$2006,$A82,工单台账!$R$7:$R$2006,"满意"))/COUNTIFS(工单台账!$B$7:$B$2006,"&gt;="&amp;设置!$B$30,工单台账!$B$7:$B$2006,"&lt;="&amp;设置!$C$30,工单台账!$D$7:$D$2006,$A82,工单台账!$R$7:$R$2006,"&lt;&gt;"),"")</f>
        <v>1</v>
      </c>
      <c r="I82" s="48" t="n">
        <f aca="false">COUNTIFS(工单台账!$D$7:$D$2006,$A82,工单台账!$O$7:$O$2006,2,工单台账!$B$7:$B$2006,"&gt;="&amp;设置!$B$30,工单台账!$B$7:$B$2006,"&lt;="&amp;设置!$C$30)</f>
        <v>0</v>
      </c>
    </row>
    <row r="83" customFormat="false" ht="18.75" hidden="false" customHeight="true" outlineLevel="0" collapsed="false">
      <c r="A83" s="51" t="str">
        <f aca="false">设置!E20&amp;""</f>
        <v>商铺</v>
      </c>
      <c r="B83" s="48" t="n">
        <f aca="false">COUNTIFS(工单台账!$B$7:$B$2006,"&gt;="&amp;设置!$B$30,工单台账!$B$7:$B$2006,"&lt;="&amp;设置!$C$30,工单台账!$D$7:$D$2006,$A83)</f>
        <v>1</v>
      </c>
      <c r="C83" s="48" t="n">
        <f aca="false">COUNTIFS(工单台账!$B$7:$B$2006,"&gt;="&amp;设置!$B$30,工单台账!$B$7:$B$2006,"&lt;="&amp;设置!$C$30,工单台账!$D$7:$D$2006,$A83,工单台账!$C$7:$C$2006,"入户")</f>
        <v>1</v>
      </c>
      <c r="D83" s="48" t="n">
        <f aca="false">COUNTIFS(工单台账!$B$7:$B$2006,"&gt;="&amp;设置!$B$30,工单台账!$B$7:$B$2006,"&lt;="&amp;设置!$C$30,工单台账!$D$7:$D$2006,$A83,工单台账!$C$7:$C$2006,"公区")</f>
        <v>0</v>
      </c>
      <c r="E83" s="48" t="n">
        <f aca="false">COUNTIFS(工单台账!$B$7:$B$2006,"&gt;="&amp;设置!$B$30,工单台账!$B$7:$B$2006,"&lt;="&amp;设置!$C$30,工单台账!$D$7:$D$2006,$A83,工单台账!$L$7:$L$2006,"已完成")</f>
        <v>1</v>
      </c>
      <c r="F83" s="48" t="n">
        <f aca="false">B83-E83</f>
        <v>0</v>
      </c>
      <c r="G83" s="49" t="n">
        <f aca="false">IFERROR(E83/B83,"")</f>
        <v>1</v>
      </c>
      <c r="H83" s="49" t="n">
        <f aca="false">IFERROR((COUNTIFS(工单台账!$B$7:$B$2006,"&gt;="&amp;设置!$B$30,工单台账!$B$7:$B$2006,"&lt;="&amp;设置!$C$30,工单台账!$D$7:$D$2006,$A83,工单台账!$R$7:$R$2006,"非常满意")+COUNTIFS(工单台账!$B$7:$B$2006,"&gt;="&amp;设置!$B$30,工单台账!$B$7:$B$2006,"&lt;="&amp;设置!$C$30,工单台账!$D$7:$D$2006,$A83,工单台账!$R$7:$R$2006,"满意"))/COUNTIFS(工单台账!$B$7:$B$2006,"&gt;="&amp;设置!$B$30,工单台账!$B$7:$B$2006,"&lt;="&amp;设置!$C$30,工单台账!$D$7:$D$2006,$A83,工单台账!$R$7:$R$2006,"&lt;&gt;"),"")</f>
        <v>1</v>
      </c>
      <c r="I83" s="48" t="n">
        <f aca="false">COUNTIFS(工单台账!$D$7:$D$2006,$A83,工单台账!$O$7:$O$2006,2,工单台账!$B$7:$B$2006,"&gt;="&amp;设置!$B$30,工单台账!$B$7:$B$2006,"&lt;="&amp;设置!$C$30)</f>
        <v>0</v>
      </c>
    </row>
    <row r="84" customFormat="false" ht="18.75" hidden="false" customHeight="true" outlineLevel="0" collapsed="false">
      <c r="A84" s="51" t="str">
        <f aca="false">设置!E21&amp;""</f>
        <v>公共区域</v>
      </c>
      <c r="B84" s="48" t="n">
        <f aca="false">COUNTIFS(工单台账!$B$7:$B$2006,"&gt;="&amp;设置!$B$30,工单台账!$B$7:$B$2006,"&lt;="&amp;设置!$C$30,工单台账!$D$7:$D$2006,$A84)</f>
        <v>8</v>
      </c>
      <c r="C84" s="48" t="n">
        <f aca="false">COUNTIFS(工单台账!$B$7:$B$2006,"&gt;="&amp;设置!$B$30,工单台账!$B$7:$B$2006,"&lt;="&amp;设置!$C$30,工单台账!$D$7:$D$2006,$A84,工单台账!$C$7:$C$2006,"入户")</f>
        <v>0</v>
      </c>
      <c r="D84" s="48" t="n">
        <f aca="false">COUNTIFS(工单台账!$B$7:$B$2006,"&gt;="&amp;设置!$B$30,工单台账!$B$7:$B$2006,"&lt;="&amp;设置!$C$30,工单台账!$D$7:$D$2006,$A84,工单台账!$C$7:$C$2006,"公区")</f>
        <v>8</v>
      </c>
      <c r="E84" s="48" t="n">
        <f aca="false">COUNTIFS(工单台账!$B$7:$B$2006,"&gt;="&amp;设置!$B$30,工单台账!$B$7:$B$2006,"&lt;="&amp;设置!$C$30,工单台账!$D$7:$D$2006,$A84,工单台账!$L$7:$L$2006,"已完成")</f>
        <v>6</v>
      </c>
      <c r="F84" s="48" t="n">
        <f aca="false">B84-E84</f>
        <v>2</v>
      </c>
      <c r="G84" s="49" t="n">
        <f aca="false">IFERROR(E84/B84,"")</f>
        <v>0.75</v>
      </c>
      <c r="H84" s="49" t="str">
        <f aca="false">IFERROR((COUNTIFS(工单台账!$B$7:$B$2006,"&gt;="&amp;设置!$B$30,工单台账!$B$7:$B$2006,"&lt;="&amp;设置!$C$30,工单台账!$D$7:$D$2006,$A84,工单台账!$R$7:$R$2006,"非常满意")+COUNTIFS(工单台账!$B$7:$B$2006,"&gt;="&amp;设置!$B$30,工单台账!$B$7:$B$2006,"&lt;="&amp;设置!$C$30,工单台账!$D$7:$D$2006,$A84,工单台账!$R$7:$R$2006,"满意"))/COUNTIFS(工单台账!$B$7:$B$2006,"&gt;="&amp;设置!$B$30,工单台账!$B$7:$B$2006,"&lt;="&amp;设置!$C$30,工单台账!$D$7:$D$2006,$A84,工单台账!$R$7:$R$2006,"&lt;&gt;"),"")</f>
        <v/>
      </c>
      <c r="I84" s="48" t="n">
        <f aca="false">COUNTIFS(工单台账!$D$7:$D$2006,$A84,工单台账!$O$7:$O$2006,2,工单台账!$B$7:$B$2006,"&gt;="&amp;设置!$B$30,工单台账!$B$7:$B$2006,"&lt;="&amp;设置!$C$30)</f>
        <v>1</v>
      </c>
    </row>
    <row r="85" customFormat="false" ht="15" hidden="false" customHeight="true" outlineLevel="0" collapsed="false">
      <c r="A85" s="54" t="s">
        <v>495</v>
      </c>
      <c r="B85" s="55" t="n">
        <f aca="false">SUM(B72:B84)</f>
        <v>143</v>
      </c>
      <c r="C85" s="55" t="n">
        <f aca="false">SUM(C72:C84)</f>
        <v>121</v>
      </c>
      <c r="D85" s="55" t="n">
        <f aca="false">SUM(D72:D84)</f>
        <v>22</v>
      </c>
      <c r="E85" s="55" t="n">
        <f aca="false">SUM(E72:E84)</f>
        <v>124</v>
      </c>
      <c r="F85" s="55" t="n">
        <f aca="false">SUM(F72:F84)</f>
        <v>19</v>
      </c>
      <c r="G85" s="56" t="n">
        <f aca="false">IFERROR(E85/B85,"")</f>
        <v>0.867132867132867</v>
      </c>
      <c r="H85" s="56" t="n">
        <f aca="false">E43</f>
        <v>0.990990990990991</v>
      </c>
      <c r="I85" s="55" t="n">
        <f aca="false">SUM(I72:I84)</f>
        <v>5</v>
      </c>
    </row>
    <row r="87" customFormat="false" ht="15" hidden="false" customHeight="true" outlineLevel="0" collapsed="false">
      <c r="A87" s="37" t="s">
        <v>497</v>
      </c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</row>
    <row r="88" customFormat="false" ht="21.75" hidden="false" customHeight="true" outlineLevel="0" collapsed="false">
      <c r="A88" s="59" t="s">
        <v>3</v>
      </c>
      <c r="B88" s="60" t="str">
        <f aca="false">A72</f>
        <v>1栋</v>
      </c>
      <c r="C88" s="60" t="str">
        <f aca="false">A73</f>
        <v>2栋</v>
      </c>
      <c r="D88" s="60" t="str">
        <f aca="false">A74</f>
        <v>3栋</v>
      </c>
      <c r="E88" s="60" t="str">
        <f aca="false">A75</f>
        <v>4栋</v>
      </c>
      <c r="F88" s="60" t="str">
        <f aca="false">A76</f>
        <v>5栋</v>
      </c>
      <c r="G88" s="60" t="str">
        <f aca="false">A77</f>
        <v>6栋</v>
      </c>
      <c r="H88" s="60" t="str">
        <f aca="false">A78</f>
        <v>7栋</v>
      </c>
      <c r="I88" s="60" t="str">
        <f aca="false">A79</f>
        <v>8栋</v>
      </c>
      <c r="J88" s="60" t="str">
        <f aca="false">A80</f>
        <v>9栋</v>
      </c>
      <c r="K88" s="60" t="str">
        <f aca="false">A81</f>
        <v>10栋</v>
      </c>
      <c r="L88" s="60" t="str">
        <f aca="false">A82</f>
        <v>11栋</v>
      </c>
      <c r="M88" s="60" t="str">
        <f aca="false">A83</f>
        <v>商铺</v>
      </c>
      <c r="N88" s="60" t="str">
        <f aca="false">A84</f>
        <v>公共区域</v>
      </c>
    </row>
    <row r="89" customFormat="false" ht="18.75" hidden="false" customHeight="true" outlineLevel="0" collapsed="false">
      <c r="A89" s="61" t="str">
        <f aca="false">设置!A9&amp;""</f>
        <v>张师傅</v>
      </c>
      <c r="B89" s="62" t="n">
        <f aca="false">COUNTIFS(工单台账!$H$7:$H$2006,$A89,工单台账!$D$7:$D$2006,B$88,工单台账!$B$7:$B$2006,"&gt;="&amp;设置!$B$30,工单台账!$B$7:$B$2006,"&lt;="&amp;设置!$C$30)+COUNTIFS(工单台账!$I$7:$I$2006,$A89,工单台账!$D$7:$D$2006,B$88,工单台账!$B$7:$B$2006,"&gt;="&amp;设置!$B$30,工单台账!$B$7:$B$2006,"&lt;="&amp;设置!$C$30)</f>
        <v>4</v>
      </c>
      <c r="C89" s="62" t="n">
        <f aca="false">COUNTIFS(工单台账!$H$7:$H$2006,$A89,工单台账!$D$7:$D$2006,C$88,工单台账!$B$7:$B$2006,"&gt;="&amp;设置!$B$30,工单台账!$B$7:$B$2006,"&lt;="&amp;设置!$C$30)+COUNTIFS(工单台账!$I$7:$I$2006,$A89,工单台账!$D$7:$D$2006,C$88,工单台账!$B$7:$B$2006,"&gt;="&amp;设置!$B$30,工单台账!$B$7:$B$2006,"&lt;="&amp;设置!$C$30)</f>
        <v>4</v>
      </c>
      <c r="D89" s="62" t="n">
        <f aca="false">COUNTIFS(工单台账!$H$7:$H$2006,$A89,工单台账!$D$7:$D$2006,D$88,工单台账!$B$7:$B$2006,"&gt;="&amp;设置!$B$30,工单台账!$B$7:$B$2006,"&lt;="&amp;设置!$C$30)+COUNTIFS(工单台账!$I$7:$I$2006,$A89,工单台账!$D$7:$D$2006,D$88,工单台账!$B$7:$B$2006,"&gt;="&amp;设置!$B$30,工单台账!$B$7:$B$2006,"&lt;="&amp;设置!$C$30)</f>
        <v>2</v>
      </c>
      <c r="E89" s="62" t="n">
        <f aca="false">COUNTIFS(工单台账!$H$7:$H$2006,$A89,工单台账!$D$7:$D$2006,E$88,工单台账!$B$7:$B$2006,"&gt;="&amp;设置!$B$30,工单台账!$B$7:$B$2006,"&lt;="&amp;设置!$C$30)+COUNTIFS(工单台账!$I$7:$I$2006,$A89,工单台账!$D$7:$D$2006,E$88,工单台账!$B$7:$B$2006,"&gt;="&amp;设置!$B$30,工单台账!$B$7:$B$2006,"&lt;="&amp;设置!$C$30)</f>
        <v>1</v>
      </c>
      <c r="F89" s="62" t="n">
        <f aca="false">COUNTIFS(工单台账!$H$7:$H$2006,$A89,工单台账!$D$7:$D$2006,F$88,工单台账!$B$7:$B$2006,"&gt;="&amp;设置!$B$30,工单台账!$B$7:$B$2006,"&lt;="&amp;设置!$C$30)+COUNTIFS(工单台账!$I$7:$I$2006,$A89,工单台账!$D$7:$D$2006,F$88,工单台账!$B$7:$B$2006,"&gt;="&amp;设置!$B$30,工单台账!$B$7:$B$2006,"&lt;="&amp;设置!$C$30)</f>
        <v>7</v>
      </c>
      <c r="G89" s="62" t="n">
        <f aca="false">COUNTIFS(工单台账!$H$7:$H$2006,$A89,工单台账!$D$7:$D$2006,G$88,工单台账!$B$7:$B$2006,"&gt;="&amp;设置!$B$30,工单台账!$B$7:$B$2006,"&lt;="&amp;设置!$C$30)+COUNTIFS(工单台账!$I$7:$I$2006,$A89,工单台账!$D$7:$D$2006,G$88,工单台账!$B$7:$B$2006,"&gt;="&amp;设置!$B$30,工单台账!$B$7:$B$2006,"&lt;="&amp;设置!$C$30)</f>
        <v>10</v>
      </c>
      <c r="H89" s="62" t="n">
        <f aca="false">COUNTIFS(工单台账!$H$7:$H$2006,$A89,工单台账!$D$7:$D$2006,H$88,工单台账!$B$7:$B$2006,"&gt;="&amp;设置!$B$30,工单台账!$B$7:$B$2006,"&lt;="&amp;设置!$C$30)+COUNTIFS(工单台账!$I$7:$I$2006,$A89,工单台账!$D$7:$D$2006,H$88,工单台账!$B$7:$B$2006,"&gt;="&amp;设置!$B$30,工单台账!$B$7:$B$2006,"&lt;="&amp;设置!$C$30)</f>
        <v>8</v>
      </c>
      <c r="I89" s="62" t="n">
        <f aca="false">COUNTIFS(工单台账!$H$7:$H$2006,$A89,工单台账!$D$7:$D$2006,I$88,工单台账!$B$7:$B$2006,"&gt;="&amp;设置!$B$30,工单台账!$B$7:$B$2006,"&lt;="&amp;设置!$C$30)+COUNTIFS(工单台账!$I$7:$I$2006,$A89,工单台账!$D$7:$D$2006,I$88,工单台账!$B$7:$B$2006,"&gt;="&amp;设置!$B$30,工单台账!$B$7:$B$2006,"&lt;="&amp;设置!$C$30)</f>
        <v>9</v>
      </c>
      <c r="J89" s="62" t="n">
        <f aca="false">COUNTIFS(工单台账!$H$7:$H$2006,$A89,工单台账!$D$7:$D$2006,J$88,工单台账!$B$7:$B$2006,"&gt;="&amp;设置!$B$30,工单台账!$B$7:$B$2006,"&lt;="&amp;设置!$C$30)+COUNTIFS(工单台账!$I$7:$I$2006,$A89,工单台账!$D$7:$D$2006,J$88,工单台账!$B$7:$B$2006,"&gt;="&amp;设置!$B$30,工单台账!$B$7:$B$2006,"&lt;="&amp;设置!$C$30)</f>
        <v>6</v>
      </c>
      <c r="K89" s="62" t="n">
        <f aca="false">COUNTIFS(工单台账!$H$7:$H$2006,$A89,工单台账!$D$7:$D$2006,K$88,工单台账!$B$7:$B$2006,"&gt;="&amp;设置!$B$30,工单台账!$B$7:$B$2006,"&lt;="&amp;设置!$C$30)+COUNTIFS(工单台账!$I$7:$I$2006,$A89,工单台账!$D$7:$D$2006,K$88,工单台账!$B$7:$B$2006,"&gt;="&amp;设置!$B$30,工单台账!$B$7:$B$2006,"&lt;="&amp;设置!$C$30)</f>
        <v>6</v>
      </c>
      <c r="L89" s="62" t="n">
        <f aca="false">COUNTIFS(工单台账!$H$7:$H$2006,$A89,工单台账!$D$7:$D$2006,L$88,工单台账!$B$7:$B$2006,"&gt;="&amp;设置!$B$30,工单台账!$B$7:$B$2006,"&lt;="&amp;设置!$C$30)+COUNTIFS(工单台账!$I$7:$I$2006,$A89,工单台账!$D$7:$D$2006,L$88,工单台账!$B$7:$B$2006,"&gt;="&amp;设置!$B$30,工单台账!$B$7:$B$2006,"&lt;="&amp;设置!$C$30)</f>
        <v>7</v>
      </c>
      <c r="M89" s="62" t="n">
        <f aca="false">COUNTIFS(工单台账!$H$7:$H$2006,$A89,工单台账!$D$7:$D$2006,M$88,工单台账!$B$7:$B$2006,"&gt;="&amp;设置!$B$30,工单台账!$B$7:$B$2006,"&lt;="&amp;设置!$C$30)+COUNTIFS(工单台账!$I$7:$I$2006,$A89,工单台账!$D$7:$D$2006,M$88,工单台账!$B$7:$B$2006,"&gt;="&amp;设置!$B$30,工单台账!$B$7:$B$2006,"&lt;="&amp;设置!$C$30)</f>
        <v>0</v>
      </c>
      <c r="N89" s="62" t="n">
        <f aca="false">COUNTIFS(工单台账!$H$7:$H$2006,$A89,工单台账!$D$7:$D$2006,N$88,工单台账!$B$7:$B$2006,"&gt;="&amp;设置!$B$30,工单台账!$B$7:$B$2006,"&lt;="&amp;设置!$C$30)+COUNTIFS(工单台账!$I$7:$I$2006,$A89,工单台账!$D$7:$D$2006,N$88,工单台账!$B$7:$B$2006,"&gt;="&amp;设置!$B$30,工单台账!$B$7:$B$2006,"&lt;="&amp;设置!$C$30)</f>
        <v>3</v>
      </c>
    </row>
    <row r="90" customFormat="false" ht="18.75" hidden="false" customHeight="true" outlineLevel="0" collapsed="false">
      <c r="A90" s="61" t="str">
        <f aca="false">设置!A10&amp;""</f>
        <v>李师傅</v>
      </c>
      <c r="B90" s="62" t="n">
        <f aca="false">COUNTIFS(工单台账!$H$7:$H$2006,$A90,工单台账!$D$7:$D$2006,B$88,工单台账!$B$7:$B$2006,"&gt;="&amp;设置!$B$30,工单台账!$B$7:$B$2006,"&lt;="&amp;设置!$C$30)+COUNTIFS(工单台账!$I$7:$I$2006,$A90,工单台账!$D$7:$D$2006,B$88,工单台账!$B$7:$B$2006,"&gt;="&amp;设置!$B$30,工单台账!$B$7:$B$2006,"&lt;="&amp;设置!$C$30)</f>
        <v>0</v>
      </c>
      <c r="C90" s="62" t="n">
        <f aca="false">COUNTIFS(工单台账!$H$7:$H$2006,$A90,工单台账!$D$7:$D$2006,C$88,工单台账!$B$7:$B$2006,"&gt;="&amp;设置!$B$30,工单台账!$B$7:$B$2006,"&lt;="&amp;设置!$C$30)+COUNTIFS(工单台账!$I$7:$I$2006,$A90,工单台账!$D$7:$D$2006,C$88,工单台账!$B$7:$B$2006,"&gt;="&amp;设置!$B$30,工单台账!$B$7:$B$2006,"&lt;="&amp;设置!$C$30)</f>
        <v>1</v>
      </c>
      <c r="D90" s="62" t="n">
        <f aca="false">COUNTIFS(工单台账!$H$7:$H$2006,$A90,工单台账!$D$7:$D$2006,D$88,工单台账!$B$7:$B$2006,"&gt;="&amp;设置!$B$30,工单台账!$B$7:$B$2006,"&lt;="&amp;设置!$C$30)+COUNTIFS(工单台账!$I$7:$I$2006,$A90,工单台账!$D$7:$D$2006,D$88,工单台账!$B$7:$B$2006,"&gt;="&amp;设置!$B$30,工单台账!$B$7:$B$2006,"&lt;="&amp;设置!$C$30)</f>
        <v>2</v>
      </c>
      <c r="E90" s="62" t="n">
        <f aca="false">COUNTIFS(工单台账!$H$7:$H$2006,$A90,工单台账!$D$7:$D$2006,E$88,工单台账!$B$7:$B$2006,"&gt;="&amp;设置!$B$30,工单台账!$B$7:$B$2006,"&lt;="&amp;设置!$C$30)+COUNTIFS(工单台账!$I$7:$I$2006,$A90,工单台账!$D$7:$D$2006,E$88,工单台账!$B$7:$B$2006,"&gt;="&amp;设置!$B$30,工单台账!$B$7:$B$2006,"&lt;="&amp;设置!$C$30)</f>
        <v>1</v>
      </c>
      <c r="F90" s="62" t="n">
        <f aca="false">COUNTIFS(工单台账!$H$7:$H$2006,$A90,工单台账!$D$7:$D$2006,F$88,工单台账!$B$7:$B$2006,"&gt;="&amp;设置!$B$30,工单台账!$B$7:$B$2006,"&lt;="&amp;设置!$C$30)+COUNTIFS(工单台账!$I$7:$I$2006,$A90,工单台账!$D$7:$D$2006,F$88,工单台账!$B$7:$B$2006,"&gt;="&amp;设置!$B$30,工单台账!$B$7:$B$2006,"&lt;="&amp;设置!$C$30)</f>
        <v>5</v>
      </c>
      <c r="G90" s="62" t="n">
        <f aca="false">COUNTIFS(工单台账!$H$7:$H$2006,$A90,工单台账!$D$7:$D$2006,G$88,工单台账!$B$7:$B$2006,"&gt;="&amp;设置!$B$30,工单台账!$B$7:$B$2006,"&lt;="&amp;设置!$C$30)+COUNTIFS(工单台账!$I$7:$I$2006,$A90,工单台账!$D$7:$D$2006,G$88,工单台账!$B$7:$B$2006,"&gt;="&amp;设置!$B$30,工单台账!$B$7:$B$2006,"&lt;="&amp;设置!$C$30)</f>
        <v>3</v>
      </c>
      <c r="H90" s="62" t="n">
        <f aca="false">COUNTIFS(工单台账!$H$7:$H$2006,$A90,工单台账!$D$7:$D$2006,H$88,工单台账!$B$7:$B$2006,"&gt;="&amp;设置!$B$30,工单台账!$B$7:$B$2006,"&lt;="&amp;设置!$C$30)+COUNTIFS(工单台账!$I$7:$I$2006,$A90,工单台账!$D$7:$D$2006,H$88,工单台账!$B$7:$B$2006,"&gt;="&amp;设置!$B$30,工单台账!$B$7:$B$2006,"&lt;="&amp;设置!$C$30)</f>
        <v>5</v>
      </c>
      <c r="I90" s="62" t="n">
        <f aca="false">COUNTIFS(工单台账!$H$7:$H$2006,$A90,工单台账!$D$7:$D$2006,I$88,工单台账!$B$7:$B$2006,"&gt;="&amp;设置!$B$30,工单台账!$B$7:$B$2006,"&lt;="&amp;设置!$C$30)+COUNTIFS(工单台账!$I$7:$I$2006,$A90,工单台账!$D$7:$D$2006,I$88,工单台账!$B$7:$B$2006,"&gt;="&amp;设置!$B$30,工单台账!$B$7:$B$2006,"&lt;="&amp;设置!$C$30)</f>
        <v>6</v>
      </c>
      <c r="J90" s="62" t="n">
        <f aca="false">COUNTIFS(工单台账!$H$7:$H$2006,$A90,工单台账!$D$7:$D$2006,J$88,工单台账!$B$7:$B$2006,"&gt;="&amp;设置!$B$30,工单台账!$B$7:$B$2006,"&lt;="&amp;设置!$C$30)+COUNTIFS(工单台账!$I$7:$I$2006,$A90,工单台账!$D$7:$D$2006,J$88,工单台账!$B$7:$B$2006,"&gt;="&amp;设置!$B$30,工单台账!$B$7:$B$2006,"&lt;="&amp;设置!$C$30)</f>
        <v>6</v>
      </c>
      <c r="K90" s="62" t="n">
        <f aca="false">COUNTIFS(工单台账!$H$7:$H$2006,$A90,工单台账!$D$7:$D$2006,K$88,工单台账!$B$7:$B$2006,"&gt;="&amp;设置!$B$30,工单台账!$B$7:$B$2006,"&lt;="&amp;设置!$C$30)+COUNTIFS(工单台账!$I$7:$I$2006,$A90,工单台账!$D$7:$D$2006,K$88,工单台账!$B$7:$B$2006,"&gt;="&amp;设置!$B$30,工单台账!$B$7:$B$2006,"&lt;="&amp;设置!$C$30)</f>
        <v>8</v>
      </c>
      <c r="L90" s="62" t="n">
        <f aca="false">COUNTIFS(工单台账!$H$7:$H$2006,$A90,工单台账!$D$7:$D$2006,L$88,工单台账!$B$7:$B$2006,"&gt;="&amp;设置!$B$30,工单台账!$B$7:$B$2006,"&lt;="&amp;设置!$C$30)+COUNTIFS(工单台账!$I$7:$I$2006,$A90,工单台账!$D$7:$D$2006,L$88,工单台账!$B$7:$B$2006,"&gt;="&amp;设置!$B$30,工单台账!$B$7:$B$2006,"&lt;="&amp;设置!$C$30)</f>
        <v>3</v>
      </c>
      <c r="M90" s="62" t="n">
        <f aca="false">COUNTIFS(工单台账!$H$7:$H$2006,$A90,工单台账!$D$7:$D$2006,M$88,工单台账!$B$7:$B$2006,"&gt;="&amp;设置!$B$30,工单台账!$B$7:$B$2006,"&lt;="&amp;设置!$C$30)+COUNTIFS(工单台账!$I$7:$I$2006,$A90,工单台账!$D$7:$D$2006,M$88,工单台账!$B$7:$B$2006,"&gt;="&amp;设置!$B$30,工单台账!$B$7:$B$2006,"&lt;="&amp;设置!$C$30)</f>
        <v>0</v>
      </c>
      <c r="N90" s="62" t="n">
        <f aca="false">COUNTIFS(工单台账!$H$7:$H$2006,$A90,工单台账!$D$7:$D$2006,N$88,工单台账!$B$7:$B$2006,"&gt;="&amp;设置!$B$30,工单台账!$B$7:$B$2006,"&lt;="&amp;设置!$C$30)+COUNTIFS(工单台账!$I$7:$I$2006,$A90,工单台账!$D$7:$D$2006,N$88,工单台账!$B$7:$B$2006,"&gt;="&amp;设置!$B$30,工单台账!$B$7:$B$2006,"&lt;="&amp;设置!$C$30)</f>
        <v>0</v>
      </c>
    </row>
    <row r="91" customFormat="false" ht="18.75" hidden="false" customHeight="true" outlineLevel="0" collapsed="false">
      <c r="A91" s="61" t="str">
        <f aca="false">设置!A11&amp;""</f>
        <v>王师傅</v>
      </c>
      <c r="B91" s="62" t="n">
        <f aca="false">COUNTIFS(工单台账!$H$7:$H$2006,$A91,工单台账!$D$7:$D$2006,B$88,工单台账!$B$7:$B$2006,"&gt;="&amp;设置!$B$30,工单台账!$B$7:$B$2006,"&lt;="&amp;设置!$C$30)+COUNTIFS(工单台账!$I$7:$I$2006,$A91,工单台账!$D$7:$D$2006,B$88,工单台账!$B$7:$B$2006,"&gt;="&amp;设置!$B$30,工单台账!$B$7:$B$2006,"&lt;="&amp;设置!$C$30)</f>
        <v>0</v>
      </c>
      <c r="C91" s="62" t="n">
        <f aca="false">COUNTIFS(工单台账!$H$7:$H$2006,$A91,工单台账!$D$7:$D$2006,C$88,工单台账!$B$7:$B$2006,"&gt;="&amp;设置!$B$30,工单台账!$B$7:$B$2006,"&lt;="&amp;设置!$C$30)+COUNTIFS(工单台账!$I$7:$I$2006,$A91,工单台账!$D$7:$D$2006,C$88,工单台账!$B$7:$B$2006,"&gt;="&amp;设置!$B$30,工单台账!$B$7:$B$2006,"&lt;="&amp;设置!$C$30)</f>
        <v>1</v>
      </c>
      <c r="D91" s="62" t="n">
        <f aca="false">COUNTIFS(工单台账!$H$7:$H$2006,$A91,工单台账!$D$7:$D$2006,D$88,工单台账!$B$7:$B$2006,"&gt;="&amp;设置!$B$30,工单台账!$B$7:$B$2006,"&lt;="&amp;设置!$C$30)+COUNTIFS(工单台账!$I$7:$I$2006,$A91,工单台账!$D$7:$D$2006,D$88,工单台账!$B$7:$B$2006,"&gt;="&amp;设置!$B$30,工单台账!$B$7:$B$2006,"&lt;="&amp;设置!$C$30)</f>
        <v>0</v>
      </c>
      <c r="E91" s="62" t="n">
        <f aca="false">COUNTIFS(工单台账!$H$7:$H$2006,$A91,工单台账!$D$7:$D$2006,E$88,工单台账!$B$7:$B$2006,"&gt;="&amp;设置!$B$30,工单台账!$B$7:$B$2006,"&lt;="&amp;设置!$C$30)+COUNTIFS(工单台账!$I$7:$I$2006,$A91,工单台账!$D$7:$D$2006,E$88,工单台账!$B$7:$B$2006,"&gt;="&amp;设置!$B$30,工单台账!$B$7:$B$2006,"&lt;="&amp;设置!$C$30)</f>
        <v>0</v>
      </c>
      <c r="F91" s="62" t="n">
        <f aca="false">COUNTIFS(工单台账!$H$7:$H$2006,$A91,工单台账!$D$7:$D$2006,F$88,工单台账!$B$7:$B$2006,"&gt;="&amp;设置!$B$30,工单台账!$B$7:$B$2006,"&lt;="&amp;设置!$C$30)+COUNTIFS(工单台账!$I$7:$I$2006,$A91,工单台账!$D$7:$D$2006,F$88,工单台账!$B$7:$B$2006,"&gt;="&amp;设置!$B$30,工单台账!$B$7:$B$2006,"&lt;="&amp;设置!$C$30)</f>
        <v>0</v>
      </c>
      <c r="G91" s="62" t="n">
        <f aca="false">COUNTIFS(工单台账!$H$7:$H$2006,$A91,工单台账!$D$7:$D$2006,G$88,工单台账!$B$7:$B$2006,"&gt;="&amp;设置!$B$30,工单台账!$B$7:$B$2006,"&lt;="&amp;设置!$C$30)+COUNTIFS(工单台账!$I$7:$I$2006,$A91,工单台账!$D$7:$D$2006,G$88,工单台账!$B$7:$B$2006,"&gt;="&amp;设置!$B$30,工单台账!$B$7:$B$2006,"&lt;="&amp;设置!$C$30)</f>
        <v>2</v>
      </c>
      <c r="H91" s="62" t="n">
        <f aca="false">COUNTIFS(工单台账!$H$7:$H$2006,$A91,工单台账!$D$7:$D$2006,H$88,工单台账!$B$7:$B$2006,"&gt;="&amp;设置!$B$30,工单台账!$B$7:$B$2006,"&lt;="&amp;设置!$C$30)+COUNTIFS(工单台账!$I$7:$I$2006,$A91,工单台账!$D$7:$D$2006,H$88,工单台账!$B$7:$B$2006,"&gt;="&amp;设置!$B$30,工单台账!$B$7:$B$2006,"&lt;="&amp;设置!$C$30)</f>
        <v>1</v>
      </c>
      <c r="I91" s="62" t="n">
        <f aca="false">COUNTIFS(工单台账!$H$7:$H$2006,$A91,工单台账!$D$7:$D$2006,I$88,工单台账!$B$7:$B$2006,"&gt;="&amp;设置!$B$30,工单台账!$B$7:$B$2006,"&lt;="&amp;设置!$C$30)+COUNTIFS(工单台账!$I$7:$I$2006,$A91,工单台账!$D$7:$D$2006,I$88,工单台账!$B$7:$B$2006,"&gt;="&amp;设置!$B$30,工单台账!$B$7:$B$2006,"&lt;="&amp;设置!$C$30)</f>
        <v>1</v>
      </c>
      <c r="J91" s="62" t="n">
        <f aca="false">COUNTIFS(工单台账!$H$7:$H$2006,$A91,工单台账!$D$7:$D$2006,J$88,工单台账!$B$7:$B$2006,"&gt;="&amp;设置!$B$30,工单台账!$B$7:$B$2006,"&lt;="&amp;设置!$C$30)+COUNTIFS(工单台账!$I$7:$I$2006,$A91,工单台账!$D$7:$D$2006,J$88,工单台账!$B$7:$B$2006,"&gt;="&amp;设置!$B$30,工单台账!$B$7:$B$2006,"&lt;="&amp;设置!$C$30)</f>
        <v>0</v>
      </c>
      <c r="K91" s="62" t="n">
        <f aca="false">COUNTIFS(工单台账!$H$7:$H$2006,$A91,工单台账!$D$7:$D$2006,K$88,工单台账!$B$7:$B$2006,"&gt;="&amp;设置!$B$30,工单台账!$B$7:$B$2006,"&lt;="&amp;设置!$C$30)+COUNTIFS(工单台账!$I$7:$I$2006,$A91,工单台账!$D$7:$D$2006,K$88,工单台账!$B$7:$B$2006,"&gt;="&amp;设置!$B$30,工单台账!$B$7:$B$2006,"&lt;="&amp;设置!$C$30)</f>
        <v>0</v>
      </c>
      <c r="L91" s="62" t="n">
        <f aca="false">COUNTIFS(工单台账!$H$7:$H$2006,$A91,工单台账!$D$7:$D$2006,L$88,工单台账!$B$7:$B$2006,"&gt;="&amp;设置!$B$30,工单台账!$B$7:$B$2006,"&lt;="&amp;设置!$C$30)+COUNTIFS(工单台账!$I$7:$I$2006,$A91,工单台账!$D$7:$D$2006,L$88,工单台账!$B$7:$B$2006,"&gt;="&amp;设置!$B$30,工单台账!$B$7:$B$2006,"&lt;="&amp;设置!$C$30)</f>
        <v>0</v>
      </c>
      <c r="M91" s="62" t="n">
        <f aca="false">COUNTIFS(工单台账!$H$7:$H$2006,$A91,工单台账!$D$7:$D$2006,M$88,工单台账!$B$7:$B$2006,"&gt;="&amp;设置!$B$30,工单台账!$B$7:$B$2006,"&lt;="&amp;设置!$C$30)+COUNTIFS(工单台账!$I$7:$I$2006,$A91,工单台账!$D$7:$D$2006,M$88,工单台账!$B$7:$B$2006,"&gt;="&amp;设置!$B$30,工单台账!$B$7:$B$2006,"&lt;="&amp;设置!$C$30)</f>
        <v>1</v>
      </c>
      <c r="N91" s="62" t="n">
        <f aca="false">COUNTIFS(工单台账!$H$7:$H$2006,$A91,工单台账!$D$7:$D$2006,N$88,工单台账!$B$7:$B$2006,"&gt;="&amp;设置!$B$30,工单台账!$B$7:$B$2006,"&lt;="&amp;设置!$C$30)+COUNTIFS(工单台账!$I$7:$I$2006,$A91,工单台账!$D$7:$D$2006,N$88,工单台账!$B$7:$B$2006,"&gt;="&amp;设置!$B$30,工单台账!$B$7:$B$2006,"&lt;="&amp;设置!$C$30)</f>
        <v>2</v>
      </c>
    </row>
    <row r="92" customFormat="false" ht="18.75" hidden="false" customHeight="true" outlineLevel="0" collapsed="false">
      <c r="A92" s="61" t="str">
        <f aca="false">设置!A12&amp;""</f>
        <v>陈师傅</v>
      </c>
      <c r="B92" s="62" t="n">
        <f aca="false">COUNTIFS(工单台账!$H$7:$H$2006,$A92,工单台账!$D$7:$D$2006,B$88,工单台账!$B$7:$B$2006,"&gt;="&amp;设置!$B$30,工单台账!$B$7:$B$2006,"&lt;="&amp;设置!$C$30)+COUNTIFS(工单台账!$I$7:$I$2006,$A92,工单台账!$D$7:$D$2006,B$88,工单台账!$B$7:$B$2006,"&gt;="&amp;设置!$B$30,工单台账!$B$7:$B$2006,"&lt;="&amp;设置!$C$30)</f>
        <v>0</v>
      </c>
      <c r="C92" s="62" t="n">
        <f aca="false">COUNTIFS(工单台账!$H$7:$H$2006,$A92,工单台账!$D$7:$D$2006,C$88,工单台账!$B$7:$B$2006,"&gt;="&amp;设置!$B$30,工单台账!$B$7:$B$2006,"&lt;="&amp;设置!$C$30)+COUNTIFS(工单台账!$I$7:$I$2006,$A92,工单台账!$D$7:$D$2006,C$88,工单台账!$B$7:$B$2006,"&gt;="&amp;设置!$B$30,工单台账!$B$7:$B$2006,"&lt;="&amp;设置!$C$30)</f>
        <v>1</v>
      </c>
      <c r="D92" s="62" t="n">
        <f aca="false">COUNTIFS(工单台账!$H$7:$H$2006,$A92,工单台账!$D$7:$D$2006,D$88,工单台账!$B$7:$B$2006,"&gt;="&amp;设置!$B$30,工单台账!$B$7:$B$2006,"&lt;="&amp;设置!$C$30)+COUNTIFS(工单台账!$I$7:$I$2006,$A92,工单台账!$D$7:$D$2006,D$88,工单台账!$B$7:$B$2006,"&gt;="&amp;设置!$B$30,工单台账!$B$7:$B$2006,"&lt;="&amp;设置!$C$30)</f>
        <v>3</v>
      </c>
      <c r="E92" s="62" t="n">
        <f aca="false">COUNTIFS(工单台账!$H$7:$H$2006,$A92,工单台账!$D$7:$D$2006,E$88,工单台账!$B$7:$B$2006,"&gt;="&amp;设置!$B$30,工单台账!$B$7:$B$2006,"&lt;="&amp;设置!$C$30)+COUNTIFS(工单台账!$I$7:$I$2006,$A92,工单台账!$D$7:$D$2006,E$88,工单台账!$B$7:$B$2006,"&gt;="&amp;设置!$B$30,工单台账!$B$7:$B$2006,"&lt;="&amp;设置!$C$30)</f>
        <v>0</v>
      </c>
      <c r="F92" s="62" t="n">
        <f aca="false">COUNTIFS(工单台账!$H$7:$H$2006,$A92,工单台账!$D$7:$D$2006,F$88,工单台账!$B$7:$B$2006,"&gt;="&amp;设置!$B$30,工单台账!$B$7:$B$2006,"&lt;="&amp;设置!$C$30)+COUNTIFS(工单台账!$I$7:$I$2006,$A92,工单台账!$D$7:$D$2006,F$88,工单台账!$B$7:$B$2006,"&gt;="&amp;设置!$B$30,工单台账!$B$7:$B$2006,"&lt;="&amp;设置!$C$30)</f>
        <v>2</v>
      </c>
      <c r="G92" s="62" t="n">
        <f aca="false">COUNTIFS(工单台账!$H$7:$H$2006,$A92,工单台账!$D$7:$D$2006,G$88,工单台账!$B$7:$B$2006,"&gt;="&amp;设置!$B$30,工单台账!$B$7:$B$2006,"&lt;="&amp;设置!$C$30)+COUNTIFS(工单台账!$I$7:$I$2006,$A92,工单台账!$D$7:$D$2006,G$88,工单台账!$B$7:$B$2006,"&gt;="&amp;设置!$B$30,工单台账!$B$7:$B$2006,"&lt;="&amp;设置!$C$30)</f>
        <v>1</v>
      </c>
      <c r="H92" s="62" t="n">
        <f aca="false">COUNTIFS(工单台账!$H$7:$H$2006,$A92,工单台账!$D$7:$D$2006,H$88,工单台账!$B$7:$B$2006,"&gt;="&amp;设置!$B$30,工单台账!$B$7:$B$2006,"&lt;="&amp;设置!$C$30)+COUNTIFS(工单台账!$I$7:$I$2006,$A92,工单台账!$D$7:$D$2006,H$88,工单台账!$B$7:$B$2006,"&gt;="&amp;设置!$B$30,工单台账!$B$7:$B$2006,"&lt;="&amp;设置!$C$30)</f>
        <v>1</v>
      </c>
      <c r="I92" s="62" t="n">
        <f aca="false">COUNTIFS(工单台账!$H$7:$H$2006,$A92,工单台账!$D$7:$D$2006,I$88,工单台账!$B$7:$B$2006,"&gt;="&amp;设置!$B$30,工单台账!$B$7:$B$2006,"&lt;="&amp;设置!$C$30)+COUNTIFS(工单台账!$I$7:$I$2006,$A92,工单台账!$D$7:$D$2006,I$88,工单台账!$B$7:$B$2006,"&gt;="&amp;设置!$B$30,工单台账!$B$7:$B$2006,"&lt;="&amp;设置!$C$30)</f>
        <v>1</v>
      </c>
      <c r="J92" s="62" t="n">
        <f aca="false">COUNTIFS(工单台账!$H$7:$H$2006,$A92,工单台账!$D$7:$D$2006,J$88,工单台账!$B$7:$B$2006,"&gt;="&amp;设置!$B$30,工单台账!$B$7:$B$2006,"&lt;="&amp;设置!$C$30)+COUNTIFS(工单台账!$I$7:$I$2006,$A92,工单台账!$D$7:$D$2006,J$88,工单台账!$B$7:$B$2006,"&gt;="&amp;设置!$B$30,工单台账!$B$7:$B$2006,"&lt;="&amp;设置!$C$30)</f>
        <v>0</v>
      </c>
      <c r="K92" s="62" t="n">
        <f aca="false">COUNTIFS(工单台账!$H$7:$H$2006,$A92,工单台账!$D$7:$D$2006,K$88,工单台账!$B$7:$B$2006,"&gt;="&amp;设置!$B$30,工单台账!$B$7:$B$2006,"&lt;="&amp;设置!$C$30)+COUNTIFS(工单台账!$I$7:$I$2006,$A92,工单台账!$D$7:$D$2006,K$88,工单台账!$B$7:$B$2006,"&gt;="&amp;设置!$B$30,工单台账!$B$7:$B$2006,"&lt;="&amp;设置!$C$30)</f>
        <v>2</v>
      </c>
      <c r="L92" s="62" t="n">
        <f aca="false">COUNTIFS(工单台账!$H$7:$H$2006,$A92,工单台账!$D$7:$D$2006,L$88,工单台账!$B$7:$B$2006,"&gt;="&amp;设置!$B$30,工单台账!$B$7:$B$2006,"&lt;="&amp;设置!$C$30)+COUNTIFS(工单台账!$I$7:$I$2006,$A92,工单台账!$D$7:$D$2006,L$88,工单台账!$B$7:$B$2006,"&gt;="&amp;设置!$B$30,工单台账!$B$7:$B$2006,"&lt;="&amp;设置!$C$30)</f>
        <v>3</v>
      </c>
      <c r="M92" s="62" t="n">
        <f aca="false">COUNTIFS(工单台账!$H$7:$H$2006,$A92,工单台账!$D$7:$D$2006,M$88,工单台账!$B$7:$B$2006,"&gt;="&amp;设置!$B$30,工单台账!$B$7:$B$2006,"&lt;="&amp;设置!$C$30)+COUNTIFS(工单台账!$I$7:$I$2006,$A92,工单台账!$D$7:$D$2006,M$88,工单台账!$B$7:$B$2006,"&gt;="&amp;设置!$B$30,工单台账!$B$7:$B$2006,"&lt;="&amp;设置!$C$30)</f>
        <v>0</v>
      </c>
      <c r="N92" s="62" t="n">
        <f aca="false">COUNTIFS(工单台账!$H$7:$H$2006,$A92,工单台账!$D$7:$D$2006,N$88,工单台账!$B$7:$B$2006,"&gt;="&amp;设置!$B$30,工单台账!$B$7:$B$2006,"&lt;="&amp;设置!$C$30)+COUNTIFS(工单台账!$I$7:$I$2006,$A92,工单台账!$D$7:$D$2006,N$88,工单台账!$B$7:$B$2006,"&gt;="&amp;设置!$B$30,工单台账!$B$7:$B$2006,"&lt;="&amp;设置!$C$30)</f>
        <v>2</v>
      </c>
    </row>
    <row r="93" customFormat="false" ht="18.75" hidden="false" customHeight="true" outlineLevel="0" collapsed="false">
      <c r="A93" s="61" t="str">
        <f aca="false">设置!A13&amp;""</f>
        <v>刘师傅</v>
      </c>
      <c r="B93" s="62" t="n">
        <f aca="false">COUNTIFS(工单台账!$H$7:$H$2006,$A93,工单台账!$D$7:$D$2006,B$88,工单台账!$B$7:$B$2006,"&gt;="&amp;设置!$B$30,工单台账!$B$7:$B$2006,"&lt;="&amp;设置!$C$30)+COUNTIFS(工单台账!$I$7:$I$2006,$A93,工单台账!$D$7:$D$2006,B$88,工单台账!$B$7:$B$2006,"&gt;="&amp;设置!$B$30,工单台账!$B$7:$B$2006,"&lt;="&amp;设置!$C$30)</f>
        <v>1</v>
      </c>
      <c r="C93" s="62" t="n">
        <f aca="false">COUNTIFS(工单台账!$H$7:$H$2006,$A93,工单台账!$D$7:$D$2006,C$88,工单台账!$B$7:$B$2006,"&gt;="&amp;设置!$B$30,工单台账!$B$7:$B$2006,"&lt;="&amp;设置!$C$30)+COUNTIFS(工单台账!$I$7:$I$2006,$A93,工单台账!$D$7:$D$2006,C$88,工单台账!$B$7:$B$2006,"&gt;="&amp;设置!$B$30,工单台账!$B$7:$B$2006,"&lt;="&amp;设置!$C$30)</f>
        <v>1</v>
      </c>
      <c r="D93" s="62" t="n">
        <f aca="false">COUNTIFS(工单台账!$H$7:$H$2006,$A93,工单台账!$D$7:$D$2006,D$88,工单台账!$B$7:$B$2006,"&gt;="&amp;设置!$B$30,工单台账!$B$7:$B$2006,"&lt;="&amp;设置!$C$30)+COUNTIFS(工单台账!$I$7:$I$2006,$A93,工单台账!$D$7:$D$2006,D$88,工单台账!$B$7:$B$2006,"&gt;="&amp;设置!$B$30,工单台账!$B$7:$B$2006,"&lt;="&amp;设置!$C$30)</f>
        <v>0</v>
      </c>
      <c r="E93" s="62" t="n">
        <f aca="false">COUNTIFS(工单台账!$H$7:$H$2006,$A93,工单台账!$D$7:$D$2006,E$88,工单台账!$B$7:$B$2006,"&gt;="&amp;设置!$B$30,工单台账!$B$7:$B$2006,"&lt;="&amp;设置!$C$30)+COUNTIFS(工单台账!$I$7:$I$2006,$A93,工单台账!$D$7:$D$2006,E$88,工单台账!$B$7:$B$2006,"&gt;="&amp;设置!$B$30,工单台账!$B$7:$B$2006,"&lt;="&amp;设置!$C$30)</f>
        <v>4</v>
      </c>
      <c r="F93" s="62" t="n">
        <f aca="false">COUNTIFS(工单台账!$H$7:$H$2006,$A93,工单台账!$D$7:$D$2006,F$88,工单台账!$B$7:$B$2006,"&gt;="&amp;设置!$B$30,工单台账!$B$7:$B$2006,"&lt;="&amp;设置!$C$30)+COUNTIFS(工单台账!$I$7:$I$2006,$A93,工单台账!$D$7:$D$2006,F$88,工单台账!$B$7:$B$2006,"&gt;="&amp;设置!$B$30,工单台账!$B$7:$B$2006,"&lt;="&amp;设置!$C$30)</f>
        <v>1</v>
      </c>
      <c r="G93" s="62" t="n">
        <f aca="false">COUNTIFS(工单台账!$H$7:$H$2006,$A93,工单台账!$D$7:$D$2006,G$88,工单台账!$B$7:$B$2006,"&gt;="&amp;设置!$B$30,工单台账!$B$7:$B$2006,"&lt;="&amp;设置!$C$30)+COUNTIFS(工单台账!$I$7:$I$2006,$A93,工单台账!$D$7:$D$2006,G$88,工单台账!$B$7:$B$2006,"&gt;="&amp;设置!$B$30,工单台账!$B$7:$B$2006,"&lt;="&amp;设置!$C$30)</f>
        <v>2</v>
      </c>
      <c r="H93" s="62" t="n">
        <f aca="false">COUNTIFS(工单台账!$H$7:$H$2006,$A93,工单台账!$D$7:$D$2006,H$88,工单台账!$B$7:$B$2006,"&gt;="&amp;设置!$B$30,工单台账!$B$7:$B$2006,"&lt;="&amp;设置!$C$30)+COUNTIFS(工单台账!$I$7:$I$2006,$A93,工单台账!$D$7:$D$2006,H$88,工单台账!$B$7:$B$2006,"&gt;="&amp;设置!$B$30,工单台账!$B$7:$B$2006,"&lt;="&amp;设置!$C$30)</f>
        <v>0</v>
      </c>
      <c r="I93" s="62" t="n">
        <f aca="false">COUNTIFS(工单台账!$H$7:$H$2006,$A93,工单台账!$D$7:$D$2006,I$88,工单台账!$B$7:$B$2006,"&gt;="&amp;设置!$B$30,工单台账!$B$7:$B$2006,"&lt;="&amp;设置!$C$30)+COUNTIFS(工单台账!$I$7:$I$2006,$A93,工单台账!$D$7:$D$2006,I$88,工单台账!$B$7:$B$2006,"&gt;="&amp;设置!$B$30,工单台账!$B$7:$B$2006,"&lt;="&amp;设置!$C$30)</f>
        <v>0</v>
      </c>
      <c r="J93" s="62" t="n">
        <f aca="false">COUNTIFS(工单台账!$H$7:$H$2006,$A93,工单台账!$D$7:$D$2006,J$88,工单台账!$B$7:$B$2006,"&gt;="&amp;设置!$B$30,工单台账!$B$7:$B$2006,"&lt;="&amp;设置!$C$30)+COUNTIFS(工单台账!$I$7:$I$2006,$A93,工单台账!$D$7:$D$2006,J$88,工单台账!$B$7:$B$2006,"&gt;="&amp;设置!$B$30,工单台账!$B$7:$B$2006,"&lt;="&amp;设置!$C$30)</f>
        <v>2</v>
      </c>
      <c r="K93" s="62" t="n">
        <f aca="false">COUNTIFS(工单台账!$H$7:$H$2006,$A93,工单台账!$D$7:$D$2006,K$88,工单台账!$B$7:$B$2006,"&gt;="&amp;设置!$B$30,工单台账!$B$7:$B$2006,"&lt;="&amp;设置!$C$30)+COUNTIFS(工单台账!$I$7:$I$2006,$A93,工单台账!$D$7:$D$2006,K$88,工单台账!$B$7:$B$2006,"&gt;="&amp;设置!$B$30,工单台账!$B$7:$B$2006,"&lt;="&amp;设置!$C$30)</f>
        <v>0</v>
      </c>
      <c r="L93" s="62" t="n">
        <f aca="false">COUNTIFS(工单台账!$H$7:$H$2006,$A93,工单台账!$D$7:$D$2006,L$88,工单台账!$B$7:$B$2006,"&gt;="&amp;设置!$B$30,工单台账!$B$7:$B$2006,"&lt;="&amp;设置!$C$30)+COUNTIFS(工单台账!$I$7:$I$2006,$A93,工单台账!$D$7:$D$2006,L$88,工单台账!$B$7:$B$2006,"&gt;="&amp;设置!$B$30,工单台账!$B$7:$B$2006,"&lt;="&amp;设置!$C$30)</f>
        <v>0</v>
      </c>
      <c r="M93" s="62" t="n">
        <f aca="false">COUNTIFS(工单台账!$H$7:$H$2006,$A93,工单台账!$D$7:$D$2006,M$88,工单台账!$B$7:$B$2006,"&gt;="&amp;设置!$B$30,工单台账!$B$7:$B$2006,"&lt;="&amp;设置!$C$30)+COUNTIFS(工单台账!$I$7:$I$2006,$A93,工单台账!$D$7:$D$2006,M$88,工单台账!$B$7:$B$2006,"&gt;="&amp;设置!$B$30,工单台账!$B$7:$B$2006,"&lt;="&amp;设置!$C$30)</f>
        <v>0</v>
      </c>
      <c r="N93" s="62" t="n">
        <f aca="false">COUNTIFS(工单台账!$H$7:$H$2006,$A93,工单台账!$D$7:$D$2006,N$88,工单台账!$B$7:$B$2006,"&gt;="&amp;设置!$B$30,工单台账!$B$7:$B$2006,"&lt;="&amp;设置!$C$30)+COUNTIFS(工单台账!$I$7:$I$2006,$A93,工单台账!$D$7:$D$2006,N$88,工单台账!$B$7:$B$2006,"&gt;="&amp;设置!$B$30,工单台账!$B$7:$B$2006,"&lt;="&amp;设置!$C$30)</f>
        <v>2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K11:K25">
    <cfRule type="containsText" priority="2" operator="containsText" aboveAverage="0" equalAverage="0" bottom="0" percent="0" rank="0" text="超期" dxfId="16">
      <formula>NOT(ISERROR(SEARCH("超期",K11)))</formula>
    </cfRule>
  </conditionalFormatting>
  <conditionalFormatting sqref="L11:L25">
    <cfRule type="cellIs" priority="3" operator="equal" aboveAverage="0" equalAverage="0" bottom="0" percent="0" rank="0" text="" dxfId="19">
      <formula>"需另约时间"</formula>
    </cfRule>
    <cfRule type="cellIs" priority="4" operator="equal" aboveAverage="0" equalAverage="0" bottom="0" percent="0" rank="0" text="" dxfId="15">
      <formula>"没填状态"</formula>
    </cfRule>
  </conditionalFormatting>
  <conditionalFormatting sqref="C30:C39">
    <cfRule type="cellIs" priority="5" operator="between" aboveAverage="0" equalAverage="0" bottom="0" percent="0" rank="0" text="" dxfId="21">
      <formula>3</formula>
      <formula>99999</formula>
    </cfRule>
  </conditionalFormatting>
  <conditionalFormatting sqref="M48:M52">
    <cfRule type="cellIs" priority="6" operator="equal" aboveAverage="0" equalAverage="0" bottom="0" percent="0" rank="0" text="" dxfId="13">
      <formula>"休息"</formula>
    </cfRule>
    <cfRule type="cellIs" priority="7" operator="equal" aboveAverage="0" equalAverage="0" bottom="0" percent="0" rank="0" text="" dxfId="20">
      <formula>"空闲"</formula>
    </cfRule>
  </conditionalFormatting>
  <conditionalFormatting sqref="B57:B66">
    <cfRule type="top10" priority="8" aboveAverage="0" equalAverage="0" bottom="0" percent="0" rank="1" text="" dxfId="25"/>
  </conditionalFormatting>
  <conditionalFormatting sqref="B89:N93">
    <cfRule type="cellIs" priority="9" operator="between" aboveAverage="0" equalAverage="0" bottom="0" percent="0" rank="0" text="" dxfId="25">
      <formula>5</formula>
      <formula>99999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8"/>
    <col collapsed="false" customWidth="true" hidden="false" outlineLevel="0" max="4" min="4" style="1" width="11"/>
    <col collapsed="false" customWidth="true" hidden="false" outlineLevel="0" max="6" min="5" style="1" width="16"/>
    <col collapsed="false" customWidth="true" hidden="false" outlineLevel="0" max="7" min="7" style="1" width="10"/>
    <col collapsed="false" customWidth="true" hidden="false" outlineLevel="0" max="10" min="8" style="1" width="12"/>
    <col collapsed="false" customWidth="true" hidden="false" outlineLevel="0" max="11" min="11" style="1" width="10"/>
    <col collapsed="false" customWidth="true" hidden="false" outlineLevel="0" max="12" min="12" style="1" width="26"/>
    <col collapsed="false" customWidth="true" hidden="false" outlineLevel="0" max="13" min="13" style="1" width="15"/>
    <col collapsed="false" customWidth="true" hidden="true" outlineLevel="0" max="15" min="15" style="1" width="13"/>
  </cols>
  <sheetData>
    <row r="1" customFormat="false" ht="33.75" hidden="false" customHeight="true" outlineLevel="0" collapsed="false">
      <c r="A1" s="2" t="s">
        <v>498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3" customFormat="false" ht="24" hidden="false" customHeight="true" outlineLevel="0" collapsed="false">
      <c r="A3" s="63" t="s">
        <v>15</v>
      </c>
      <c r="B3" s="64" t="s">
        <v>499</v>
      </c>
      <c r="C3" s="63" t="s">
        <v>500</v>
      </c>
      <c r="D3" s="64"/>
      <c r="E3" s="7" t="s">
        <v>501</v>
      </c>
      <c r="F3" s="7"/>
      <c r="G3" s="7"/>
      <c r="H3" s="7"/>
      <c r="I3" s="7"/>
      <c r="J3" s="7"/>
      <c r="K3" s="7"/>
      <c r="L3" s="7"/>
      <c r="M3" s="7"/>
    </row>
    <row r="5" customFormat="false" ht="15" hidden="false" customHeight="true" outlineLevel="0" collapsed="false">
      <c r="A5" s="65" t="s">
        <v>502</v>
      </c>
      <c r="B5" s="65" t="s">
        <v>43</v>
      </c>
      <c r="C5" s="65" t="s">
        <v>487</v>
      </c>
      <c r="D5" s="65" t="s">
        <v>45</v>
      </c>
      <c r="E5" s="65" t="s">
        <v>65</v>
      </c>
      <c r="F5" s="65" t="s">
        <v>70</v>
      </c>
      <c r="G5" s="65" t="s">
        <v>488</v>
      </c>
      <c r="H5" s="65" t="s">
        <v>476</v>
      </c>
      <c r="I5" s="65" t="s">
        <v>472</v>
      </c>
      <c r="J5" s="65" t="s">
        <v>503</v>
      </c>
    </row>
    <row r="6" customFormat="false" ht="25.5" hidden="false" customHeight="true" outlineLevel="0" collapsed="false">
      <c r="A6" s="66" t="n">
        <f aca="false">COUNT(工单台账!$T$7:$T$2006)</f>
        <v>17</v>
      </c>
      <c r="B6" s="66" t="n">
        <f aca="false">COUNTIFS(工单台账!$T$7:$T$2006,"&gt;0",工单台账!$L$7:$L$2006,"已完成")</f>
        <v>13</v>
      </c>
      <c r="C6" s="66" t="n">
        <f aca="false">A6-B6</f>
        <v>4</v>
      </c>
      <c r="D6" s="66" t="n">
        <f aca="false">COUNTIFS(工单台账!$T$7:$T$2006,"&gt;0",工单台账!$R$7:$R$2006,"非常满意")</f>
        <v>13</v>
      </c>
      <c r="E6" s="66" t="n">
        <f aca="false">COUNTIFS(工单台账!$T$7:$T$2006,"&gt;0",工单台账!$R$7:$R$2006,"满意")</f>
        <v>1</v>
      </c>
      <c r="F6" s="66" t="n">
        <f aca="false">COUNTIFS(工单台账!$T$7:$T$2006,"&gt;0",工单台账!$R$7:$R$2006,"一般")</f>
        <v>1</v>
      </c>
      <c r="G6" s="66" t="n">
        <f aca="false">COUNTIFS(工单台账!$T$7:$T$2006,"&gt;0",工单台账!$R$7:$R$2006,"不满意")</f>
        <v>0</v>
      </c>
      <c r="H6" s="67" t="n">
        <f aca="false">IFERROR((D6+E6)/SUM(D6:G6),"")</f>
        <v>0.933333333333333</v>
      </c>
      <c r="I6" s="68" t="n">
        <f aca="false">IF(A6=0,"",INT(MAX(工单台账!$T$7:$T$2006)/10000))</f>
        <v>45784</v>
      </c>
      <c r="J6" s="68" t="n">
        <f aca="false">IF(A6=0,"",INT(MIN(工单台账!$T$7:$T$2006)/10000))</f>
        <v>45778</v>
      </c>
    </row>
    <row r="8" customFormat="false" ht="24" hidden="false" customHeight="true" outlineLevel="0" collapsed="false">
      <c r="A8" s="38" t="s">
        <v>504</v>
      </c>
      <c r="B8" s="38" t="s">
        <v>13</v>
      </c>
      <c r="C8" s="38" t="s">
        <v>14</v>
      </c>
      <c r="D8" s="38" t="s">
        <v>16</v>
      </c>
      <c r="E8" s="38" t="s">
        <v>17</v>
      </c>
      <c r="F8" s="38"/>
      <c r="G8" s="38" t="s">
        <v>18</v>
      </c>
      <c r="H8" s="38" t="s">
        <v>468</v>
      </c>
      <c r="I8" s="38" t="s">
        <v>23</v>
      </c>
      <c r="J8" s="38" t="s">
        <v>25</v>
      </c>
      <c r="K8" s="38" t="s">
        <v>29</v>
      </c>
      <c r="L8" s="38" t="s">
        <v>27</v>
      </c>
      <c r="M8" s="38" t="s">
        <v>12</v>
      </c>
    </row>
    <row r="9" customFormat="false" ht="18.75" hidden="false" customHeight="true" outlineLevel="0" collapsed="false">
      <c r="A9" s="40" t="n">
        <f aca="false">IF($O9=0,"",1)</f>
        <v>1</v>
      </c>
      <c r="B9" s="42" t="n">
        <f aca="false">IF($O9=0,"",INDEX(工单台账!$B$7:$B$2006,$O9-6))</f>
        <v>45784</v>
      </c>
      <c r="C9" s="40" t="str">
        <f aca="false">IF($O9=0,"",INDEX(工单台账!$C$7:$C$2006,$O9-6)&amp;"")</f>
        <v>入户</v>
      </c>
      <c r="D9" s="40" t="str">
        <f aca="false">IF($O9=0,"",INDEX(工单台账!$E$7:$E$2006,$O9-6)&amp;"")</f>
        <v>1101</v>
      </c>
      <c r="E9" s="41" t="str">
        <f aca="false">IF($O9=0,"",INDEX(工单台账!$F$7:$F$2006,$O9-6)&amp;"")</f>
        <v>厨房水槽下面漏水，柜子泡湿了</v>
      </c>
      <c r="F9" s="41"/>
      <c r="G9" s="40" t="str">
        <f aca="false">IF($O9=0,"",INDEX(工单台账!$G$7:$G$2006,$O9-6)&amp;"")</f>
        <v>给排水</v>
      </c>
      <c r="H9" s="40" t="str">
        <f aca="false">IF($O9=0,"",INDEX(工单台账!$H$7:$H$2006,$O9-6)&amp;IF(INDEX(工单台账!$I$7:$I$2006,$O9-6)="","","、"&amp;INDEX(工单台账!$I$7:$I$2006,$O9-6)))</f>
        <v>张师傅</v>
      </c>
      <c r="I9" s="40" t="str">
        <f aca="false">IF($O9=0,"",INDEX(工单台账!$L$7:$L$2006,$O9-6)&amp;"")</f>
        <v>已完成</v>
      </c>
      <c r="J9" s="43" t="str">
        <f aca="false">IF($O9=0,"",INDEX(工单台账!$N$7:$N$2006,$O9-6))</f>
        <v/>
      </c>
      <c r="K9" s="40" t="str">
        <f aca="false">IF($O9=0,"",INDEX(工单台账!$R$7:$R$2006,$O9-6)&amp;"")</f>
        <v>非常满意</v>
      </c>
      <c r="L9" s="41" t="str">
        <f aca="false">IF($O9=0,"",INDEX(工单台账!$P$7:$P$2006,$O9-6)&amp;"")</f>
        <v>已更换下水软管</v>
      </c>
      <c r="M9" s="40" t="str">
        <f aca="false">IF($O9=0,"",INDEX(工单台账!$A$7:$A$2006,$O9-6)&amp;"")</f>
        <v>6-1101-0507</v>
      </c>
      <c r="O9" s="1" t="n">
        <f aca="false">IFERROR(MOD(LARGE(工单台账!$T$7:$T$2006,1),10000),0)</f>
        <v>144</v>
      </c>
    </row>
    <row r="10" customFormat="false" ht="18.75" hidden="false" customHeight="true" outlineLevel="0" collapsed="false">
      <c r="A10" s="40" t="n">
        <f aca="false">IF($O10=0,"",2)</f>
        <v>2</v>
      </c>
      <c r="B10" s="42" t="n">
        <f aca="false">IF($O10=0,"",INDEX(工单台账!$B$7:$B$2006,$O10-6))</f>
        <v>45784</v>
      </c>
      <c r="C10" s="40" t="str">
        <f aca="false">IF($O10=0,"",INDEX(工单台账!$C$7:$C$2006,$O10-6)&amp;"")</f>
        <v>入户</v>
      </c>
      <c r="D10" s="40" t="str">
        <f aca="false">IF($O10=0,"",INDEX(工单台账!$E$7:$E$2006,$O10-6)&amp;"")</f>
        <v>504</v>
      </c>
      <c r="E10" s="41" t="str">
        <f aca="false">IF($O10=0,"",INDEX(工单台账!$F$7:$F$2006,$O10-6)&amp;"")</f>
        <v>燃气灶点火打不着</v>
      </c>
      <c r="F10" s="41"/>
      <c r="G10" s="40" t="str">
        <f aca="false">IF($O10=0,"",INDEX(工单台账!$G$7:$G$2006,$O10-6)&amp;"")</f>
        <v>燃气厨电</v>
      </c>
      <c r="H10" s="40" t="str">
        <f aca="false">IF($O10=0,"",INDEX(工单台账!$H$7:$H$2006,$O10-6)&amp;IF(INDEX(工单台账!$I$7:$I$2006,$O10-6)="","","、"&amp;INDEX(工单台账!$I$7:$I$2006,$O10-6)))</f>
        <v>张师傅</v>
      </c>
      <c r="I10" s="40" t="str">
        <f aca="false">IF($O10=0,"",INDEX(工单台账!$L$7:$L$2006,$O10-6)&amp;"")</f>
        <v>已完成</v>
      </c>
      <c r="J10" s="43" t="str">
        <f aca="false">IF($O10=0,"",INDEX(工单台账!$N$7:$N$2006,$O10-6))</f>
        <v/>
      </c>
      <c r="K10" s="40" t="str">
        <f aca="false">IF($O10=0,"",INDEX(工单台账!$R$7:$R$2006,$O10-6)&amp;"")</f>
        <v>非常满意</v>
      </c>
      <c r="L10" s="41" t="str">
        <f aca="false">IF($O10=0,"",INDEX(工单台账!$P$7:$P$2006,$O10-6)&amp;"")</f>
        <v/>
      </c>
      <c r="M10" s="40" t="str">
        <f aca="false">IF($O10=0,"",INDEX(工单台账!$A$7:$A$2006,$O10-6)&amp;"")</f>
        <v>6-504-0507-02</v>
      </c>
      <c r="O10" s="1" t="n">
        <f aca="false">IFERROR(MOD(LARGE(工单台账!$T$7:$T$2006,2),10000),0)</f>
        <v>139</v>
      </c>
    </row>
    <row r="11" customFormat="false" ht="18.75" hidden="false" customHeight="true" outlineLevel="0" collapsed="false">
      <c r="A11" s="40" t="n">
        <f aca="false">IF($O11=0,"",3)</f>
        <v>3</v>
      </c>
      <c r="B11" s="42" t="n">
        <f aca="false">IF($O11=0,"",INDEX(工单台账!$B$7:$B$2006,$O11-6))</f>
        <v>45782</v>
      </c>
      <c r="C11" s="40" t="str">
        <f aca="false">IF($O11=0,"",INDEX(工单台账!$C$7:$C$2006,$O11-6)&amp;"")</f>
        <v>入户</v>
      </c>
      <c r="D11" s="40" t="str">
        <f aca="false">IF($O11=0,"",INDEX(工单台账!$E$7:$E$2006,$O11-6)&amp;"")</f>
        <v>403</v>
      </c>
      <c r="E11" s="41" t="str">
        <f aca="false">IF($O11=0,"",INDEX(工单台账!$F$7:$F$2006,$O11-6)&amp;"")</f>
        <v>入户门猫眼松动</v>
      </c>
      <c r="F11" s="41"/>
      <c r="G11" s="40" t="str">
        <f aca="false">IF($O11=0,"",INDEX(工单台账!$G$7:$G$2006,$O11-6)&amp;"")</f>
        <v>门窗五金</v>
      </c>
      <c r="H11" s="40" t="str">
        <f aca="false">IF($O11=0,"",INDEX(工单台账!$H$7:$H$2006,$O11-6)&amp;IF(INDEX(工单台账!$I$7:$I$2006,$O11-6)="","","、"&amp;INDEX(工单台账!$I$7:$I$2006,$O11-6)))</f>
        <v>王师傅</v>
      </c>
      <c r="I11" s="40" t="str">
        <f aca="false">IF($O11=0,"",INDEX(工单台账!$L$7:$L$2006,$O11-6)&amp;"")</f>
        <v>已完成</v>
      </c>
      <c r="J11" s="43" t="str">
        <f aca="false">IF($O11=0,"",INDEX(工单台账!$N$7:$N$2006,$O11-6))</f>
        <v/>
      </c>
      <c r="K11" s="40" t="str">
        <f aca="false">IF($O11=0,"",INDEX(工单台账!$R$7:$R$2006,$O11-6)&amp;"")</f>
        <v>满意</v>
      </c>
      <c r="L11" s="41" t="str">
        <f aca="false">IF($O11=0,"",INDEX(工单台账!$P$7:$P$2006,$O11-6)&amp;"")</f>
        <v/>
      </c>
      <c r="M11" s="40" t="str">
        <f aca="false">IF($O11=0,"",INDEX(工单台账!$A$7:$A$2006,$O11-6)&amp;"")</f>
        <v>6-403-0505</v>
      </c>
      <c r="O11" s="1" t="n">
        <f aca="false">IFERROR(MOD(LARGE(工单台账!$T$7:$T$2006,3),10000),0)</f>
        <v>121</v>
      </c>
    </row>
    <row r="12" customFormat="false" ht="18.75" hidden="false" customHeight="true" outlineLevel="0" collapsed="false">
      <c r="A12" s="40" t="n">
        <f aca="false">IF($O12=0,"",4)</f>
        <v>4</v>
      </c>
      <c r="B12" s="42" t="n">
        <f aca="false">IF($O12=0,"",INDEX(工单台账!$B$7:$B$2006,$O12-6))</f>
        <v>45781</v>
      </c>
      <c r="C12" s="40" t="str">
        <f aca="false">IF($O12=0,"",INDEX(工单台账!$C$7:$C$2006,$O12-6)&amp;"")</f>
        <v>入户</v>
      </c>
      <c r="D12" s="40" t="str">
        <f aca="false">IF($O12=0,"",INDEX(工单台账!$E$7:$E$2006,$O12-6)&amp;"")</f>
        <v>402</v>
      </c>
      <c r="E12" s="41" t="str">
        <f aca="false">IF($O12=0,"",INDEX(工单台账!$F$7:$F$2006,$O12-6)&amp;"")</f>
        <v>卫生间下水道返臭</v>
      </c>
      <c r="F12" s="41"/>
      <c r="G12" s="40" t="str">
        <f aca="false">IF($O12=0,"",INDEX(工单台账!$G$7:$G$2006,$O12-6)&amp;"")</f>
        <v>给排水</v>
      </c>
      <c r="H12" s="40" t="str">
        <f aca="false">IF($O12=0,"",INDEX(工单台账!$H$7:$H$2006,$O12-6)&amp;IF(INDEX(工单台账!$I$7:$I$2006,$O12-6)="","","、"&amp;INDEX(工单台账!$I$7:$I$2006,$O12-6)))</f>
        <v>张师傅</v>
      </c>
      <c r="I12" s="40" t="str">
        <f aca="false">IF($O12=0,"",INDEX(工单台账!$L$7:$L$2006,$O12-6)&amp;"")</f>
        <v>已完成</v>
      </c>
      <c r="J12" s="43" t="str">
        <f aca="false">IF($O12=0,"",INDEX(工单台账!$N$7:$N$2006,$O12-6))</f>
        <v/>
      </c>
      <c r="K12" s="40" t="str">
        <f aca="false">IF($O12=0,"",INDEX(工单台账!$R$7:$R$2006,$O12-6)&amp;"")</f>
        <v>非常满意</v>
      </c>
      <c r="L12" s="41" t="str">
        <f aca="false">IF($O12=0,"",INDEX(工单台账!$P$7:$P$2006,$O12-6)&amp;"")</f>
        <v/>
      </c>
      <c r="M12" s="40" t="str">
        <f aca="false">IF($O12=0,"",INDEX(工单台账!$A$7:$A$2006,$O12-6)&amp;"")</f>
        <v>6-402-0504</v>
      </c>
      <c r="O12" s="1" t="n">
        <f aca="false">IFERROR(MOD(LARGE(工单台账!$T$7:$T$2006,4),10000),0)</f>
        <v>101</v>
      </c>
    </row>
    <row r="13" customFormat="false" ht="18.75" hidden="false" customHeight="true" outlineLevel="0" collapsed="false">
      <c r="A13" s="40" t="n">
        <f aca="false">IF($O13=0,"",5)</f>
        <v>5</v>
      </c>
      <c r="B13" s="42" t="n">
        <f aca="false">IF($O13=0,"",INDEX(工单台账!$B$7:$B$2006,$O13-6))</f>
        <v>45780</v>
      </c>
      <c r="C13" s="40" t="str">
        <f aca="false">IF($O13=0,"",INDEX(工单台账!$C$7:$C$2006,$O13-6)&amp;"")</f>
        <v>入户</v>
      </c>
      <c r="D13" s="40" t="str">
        <f aca="false">IF($O13=0,"",INDEX(工单台账!$E$7:$E$2006,$O13-6)&amp;"")</f>
        <v>2802</v>
      </c>
      <c r="E13" s="41" t="str">
        <f aca="false">IF($O13=0,"",INDEX(工单台账!$F$7:$F$2006,$O13-6)&amp;"")</f>
        <v>连续下雨后阳台墙面渗水</v>
      </c>
      <c r="F13" s="41"/>
      <c r="G13" s="40" t="str">
        <f aca="false">IF($O13=0,"",INDEX(工单台账!$G$7:$G$2006,$O13-6)&amp;"")</f>
        <v>渗漏防水</v>
      </c>
      <c r="H13" s="40" t="str">
        <f aca="false">IF($O13=0,"",INDEX(工单台账!$H$7:$H$2006,$O13-6)&amp;IF(INDEX(工单台账!$I$7:$I$2006,$O13-6)="","","、"&amp;INDEX(工单台账!$I$7:$I$2006,$O13-6)))</f>
        <v>陈师傅</v>
      </c>
      <c r="I13" s="40" t="str">
        <f aca="false">IF($O13=0,"",INDEX(工单台账!$L$7:$L$2006,$O13-6)&amp;"")</f>
        <v>跟进中</v>
      </c>
      <c r="J13" s="43" t="str">
        <f aca="false">IF($O13=0,"",INDEX(工单台账!$N$7:$N$2006,$O13-6))</f>
        <v>超期4天</v>
      </c>
      <c r="K13" s="40" t="str">
        <f aca="false">IF($O13=0,"",INDEX(工单台账!$R$7:$R$2006,$O13-6)&amp;"")</f>
        <v/>
      </c>
      <c r="L13" s="41" t="str">
        <f aca="false">IF($O13=0,"",INDEX(工单台账!$P$7:$P$2006,$O13-6)&amp;"")</f>
        <v>已拍照留证，待联系防水单位复查</v>
      </c>
      <c r="M13" s="40" t="str">
        <f aca="false">IF($O13=0,"",INDEX(工单台账!$A$7:$A$2006,$O13-6)&amp;"")</f>
        <v>6-2802-0503</v>
      </c>
      <c r="O13" s="1" t="n">
        <f aca="false">IFERROR(MOD(LARGE(工单台账!$T$7:$T$2006,5),10000),0)</f>
        <v>95</v>
      </c>
    </row>
    <row r="14" customFormat="false" ht="18.75" hidden="false" customHeight="true" outlineLevel="0" collapsed="false">
      <c r="A14" s="40" t="n">
        <f aca="false">IF($O14=0,"",6)</f>
        <v>6</v>
      </c>
      <c r="B14" s="42" t="n">
        <f aca="false">IF($O14=0,"",INDEX(工单台账!$B$7:$B$2006,$O14-6))</f>
        <v>45780</v>
      </c>
      <c r="C14" s="40" t="str">
        <f aca="false">IF($O14=0,"",INDEX(工单台账!$C$7:$C$2006,$O14-6)&amp;"")</f>
        <v>入户</v>
      </c>
      <c r="D14" s="40" t="str">
        <f aca="false">IF($O14=0,"",INDEX(工单台账!$E$7:$E$2006,$O14-6)&amp;"")</f>
        <v>1503</v>
      </c>
      <c r="E14" s="41" t="str">
        <f aca="false">IF($O14=0,"",INDEX(工单台账!$F$7:$F$2006,$O14-6)&amp;"")</f>
        <v>玄关踢脚线脱落</v>
      </c>
      <c r="F14" s="41"/>
      <c r="G14" s="40" t="str">
        <f aca="false">IF($O14=0,"",INDEX(工单台账!$G$7:$G$2006,$O14-6)&amp;"")</f>
        <v>墙地饰面</v>
      </c>
      <c r="H14" s="40" t="str">
        <f aca="false">IF($O14=0,"",INDEX(工单台账!$H$7:$H$2006,$O14-6)&amp;IF(INDEX(工单台账!$I$7:$I$2006,$O14-6)="","","、"&amp;INDEX(工单台账!$I$7:$I$2006,$O14-6)))</f>
        <v>张师傅</v>
      </c>
      <c r="I14" s="40" t="str">
        <f aca="false">IF($O14=0,"",INDEX(工单台账!$L$7:$L$2006,$O14-6)&amp;"")</f>
        <v>已完成</v>
      </c>
      <c r="J14" s="43" t="str">
        <f aca="false">IF($O14=0,"",INDEX(工单台账!$N$7:$N$2006,$O14-6))</f>
        <v/>
      </c>
      <c r="K14" s="40" t="str">
        <f aca="false">IF($O14=0,"",INDEX(工单台账!$R$7:$R$2006,$O14-6)&amp;"")</f>
        <v>非常满意</v>
      </c>
      <c r="L14" s="41" t="str">
        <f aca="false">IF($O14=0,"",INDEX(工单台账!$P$7:$P$2006,$O14-6)&amp;"")</f>
        <v/>
      </c>
      <c r="M14" s="40" t="str">
        <f aca="false">IF($O14=0,"",INDEX(工单台账!$A$7:$A$2006,$O14-6)&amp;"")</f>
        <v>6-1503-0503</v>
      </c>
      <c r="O14" s="1" t="n">
        <f aca="false">IFERROR(MOD(LARGE(工单台账!$T$7:$T$2006,6),10000),0)</f>
        <v>83</v>
      </c>
    </row>
    <row r="15" customFormat="false" ht="18.75" hidden="false" customHeight="true" outlineLevel="0" collapsed="false">
      <c r="A15" s="40" t="n">
        <f aca="false">IF($O15=0,"",7)</f>
        <v>7</v>
      </c>
      <c r="B15" s="42" t="n">
        <f aca="false">IF($O15=0,"",INDEX(工单台账!$B$7:$B$2006,$O15-6))</f>
        <v>45780</v>
      </c>
      <c r="C15" s="40" t="str">
        <f aca="false">IF($O15=0,"",INDEX(工单台账!$C$7:$C$2006,$O15-6)&amp;"")</f>
        <v>入户</v>
      </c>
      <c r="D15" s="40" t="str">
        <f aca="false">IF($O15=0,"",INDEX(工单台账!$E$7:$E$2006,$O15-6)&amp;"")</f>
        <v>1102</v>
      </c>
      <c r="E15" s="41" t="str">
        <f aca="false">IF($O15=0,"",INDEX(工单台账!$F$7:$F$2006,$O15-6)&amp;"")</f>
        <v>厨房门口门槛石松了，踩上去会动</v>
      </c>
      <c r="F15" s="41"/>
      <c r="G15" s="40" t="str">
        <f aca="false">IF($O15=0,"",INDEX(工单台账!$G$7:$G$2006,$O15-6)&amp;"")</f>
        <v>墙地饰面</v>
      </c>
      <c r="H15" s="40" t="str">
        <f aca="false">IF($O15=0,"",INDEX(工单台账!$H$7:$H$2006,$O15-6)&amp;IF(INDEX(工单台账!$I$7:$I$2006,$O15-6)="","","、"&amp;INDEX(工单台账!$I$7:$I$2006,$O15-6)))</f>
        <v>王师傅</v>
      </c>
      <c r="I15" s="40" t="str">
        <f aca="false">IF($O15=0,"",INDEX(工单台账!$L$7:$L$2006,$O15-6)&amp;"")</f>
        <v>已完成</v>
      </c>
      <c r="J15" s="43" t="str">
        <f aca="false">IF($O15=0,"",INDEX(工单台账!$N$7:$N$2006,$O15-6))</f>
        <v/>
      </c>
      <c r="K15" s="40" t="str">
        <f aca="false">IF($O15=0,"",INDEX(工单台账!$R$7:$R$2006,$O15-6)&amp;"")</f>
        <v>非常满意</v>
      </c>
      <c r="L15" s="41" t="str">
        <f aca="false">IF($O15=0,"",INDEX(工单台账!$P$7:$P$2006,$O15-6)&amp;"")</f>
        <v/>
      </c>
      <c r="M15" s="40" t="str">
        <f aca="false">IF($O15=0,"",INDEX(工单台账!$A$7:$A$2006,$O15-6)&amp;"")</f>
        <v>6-1102-0503</v>
      </c>
      <c r="O15" s="1" t="n">
        <f aca="false">IFERROR(MOD(LARGE(工单台账!$T$7:$T$2006,7),10000),0)</f>
        <v>82</v>
      </c>
    </row>
    <row r="16" customFormat="false" ht="18.75" hidden="false" customHeight="true" outlineLevel="0" collapsed="false">
      <c r="A16" s="40" t="n">
        <f aca="false">IF($O16=0,"",8)</f>
        <v>8</v>
      </c>
      <c r="B16" s="42" t="n">
        <f aca="false">IF($O16=0,"",INDEX(工单台账!$B$7:$B$2006,$O16-6))</f>
        <v>45780</v>
      </c>
      <c r="C16" s="40" t="str">
        <f aca="false">IF($O16=0,"",INDEX(工单台账!$C$7:$C$2006,$O16-6)&amp;"")</f>
        <v>入户</v>
      </c>
      <c r="D16" s="40" t="str">
        <f aca="false">IF($O16=0,"",INDEX(工单台账!$E$7:$E$2006,$O16-6)&amp;"")</f>
        <v>504</v>
      </c>
      <c r="E16" s="41" t="str">
        <f aca="false">IF($O16=0,"",INDEX(工单台账!$F$7:$F$2006,$O16-6)&amp;"")</f>
        <v>次卧门把手松动</v>
      </c>
      <c r="F16" s="41"/>
      <c r="G16" s="40" t="str">
        <f aca="false">IF($O16=0,"",INDEX(工单台账!$G$7:$G$2006,$O16-6)&amp;"")</f>
        <v>门窗五金</v>
      </c>
      <c r="H16" s="40" t="str">
        <f aca="false">IF($O16=0,"",INDEX(工单台账!$H$7:$H$2006,$O16-6)&amp;IF(INDEX(工单台账!$I$7:$I$2006,$O16-6)="","","、"&amp;INDEX(工单台账!$I$7:$I$2006,$O16-6)))</f>
        <v>刘师傅</v>
      </c>
      <c r="I16" s="40" t="str">
        <f aca="false">IF($O16=0,"",INDEX(工单台账!$L$7:$L$2006,$O16-6)&amp;"")</f>
        <v>已完成</v>
      </c>
      <c r="J16" s="43" t="str">
        <f aca="false">IF($O16=0,"",INDEX(工单台账!$N$7:$N$2006,$O16-6))</f>
        <v/>
      </c>
      <c r="K16" s="40" t="str">
        <f aca="false">IF($O16=0,"",INDEX(工单台账!$R$7:$R$2006,$O16-6)&amp;"")</f>
        <v>非常满意</v>
      </c>
      <c r="L16" s="41" t="str">
        <f aca="false">IF($O16=0,"",INDEX(工单台账!$P$7:$P$2006,$O16-6)&amp;"")</f>
        <v/>
      </c>
      <c r="M16" s="40" t="str">
        <f aca="false">IF($O16=0,"",INDEX(工单台账!$A$7:$A$2006,$O16-6)&amp;"")</f>
        <v>6-504-0503</v>
      </c>
      <c r="O16" s="1" t="n">
        <f aca="false">IFERROR(MOD(LARGE(工单台账!$T$7:$T$2006,8),10000),0)</f>
        <v>80</v>
      </c>
    </row>
    <row r="17" customFormat="false" ht="18.75" hidden="false" customHeight="true" outlineLevel="0" collapsed="false">
      <c r="A17" s="40" t="n">
        <f aca="false">IF($O17=0,"",9)</f>
        <v>9</v>
      </c>
      <c r="B17" s="42" t="n">
        <f aca="false">IF($O17=0,"",INDEX(工单台账!$B$7:$B$2006,$O17-6))</f>
        <v>45780</v>
      </c>
      <c r="C17" s="40" t="str">
        <f aca="false">IF($O17=0,"",INDEX(工单台账!$C$7:$C$2006,$O17-6)&amp;"")</f>
        <v>入户</v>
      </c>
      <c r="D17" s="40" t="str">
        <f aca="false">IF($O17=0,"",INDEX(工单台账!$E$7:$E$2006,$O17-6)&amp;"")</f>
        <v>2402</v>
      </c>
      <c r="E17" s="41" t="str">
        <f aca="false">IF($O17=0,"",INDEX(工单台账!$F$7:$F$2006,$O17-6)&amp;"")</f>
        <v>门把手松动</v>
      </c>
      <c r="F17" s="41"/>
      <c r="G17" s="40" t="str">
        <f aca="false">IF($O17=0,"",INDEX(工单台账!$G$7:$G$2006,$O17-6)&amp;"")</f>
        <v>门窗五金</v>
      </c>
      <c r="H17" s="40" t="str">
        <f aca="false">IF($O17=0,"",INDEX(工单台账!$H$7:$H$2006,$O17-6)&amp;IF(INDEX(工单台账!$I$7:$I$2006,$O17-6)="","","、"&amp;INDEX(工单台账!$I$7:$I$2006,$O17-6)))</f>
        <v>张师傅</v>
      </c>
      <c r="I17" s="40" t="str">
        <f aca="false">IF($O17=0,"",INDEX(工单台账!$L$7:$L$2006,$O17-6)&amp;"")</f>
        <v>已完成</v>
      </c>
      <c r="J17" s="43" t="str">
        <f aca="false">IF($O17=0,"",INDEX(工单台账!$N$7:$N$2006,$O17-6))</f>
        <v/>
      </c>
      <c r="K17" s="40" t="str">
        <f aca="false">IF($O17=0,"",INDEX(工单台账!$R$7:$R$2006,$O17-6)&amp;"")</f>
        <v>非常满意</v>
      </c>
      <c r="L17" s="41" t="str">
        <f aca="false">IF($O17=0,"",INDEX(工单台账!$P$7:$P$2006,$O17-6)&amp;"")</f>
        <v/>
      </c>
      <c r="M17" s="40" t="str">
        <f aca="false">IF($O17=0,"",INDEX(工单台账!$A$7:$A$2006,$O17-6)&amp;"")</f>
        <v>6-2402-0503</v>
      </c>
      <c r="O17" s="1" t="n">
        <f aca="false">IFERROR(MOD(LARGE(工单台账!$T$7:$T$2006,9),10000),0)</f>
        <v>70</v>
      </c>
    </row>
    <row r="18" customFormat="false" ht="18.75" hidden="false" customHeight="true" outlineLevel="0" collapsed="false">
      <c r="A18" s="40" t="n">
        <f aca="false">IF($O18=0,"",10)</f>
        <v>10</v>
      </c>
      <c r="B18" s="42" t="n">
        <f aca="false">IF($O18=0,"",INDEX(工单台账!$B$7:$B$2006,$O18-6))</f>
        <v>45780</v>
      </c>
      <c r="C18" s="40" t="str">
        <f aca="false">IF($O18=0,"",INDEX(工单台账!$C$7:$C$2006,$O18-6)&amp;"")</f>
        <v>入户</v>
      </c>
      <c r="D18" s="40" t="str">
        <f aca="false">IF($O18=0,"",INDEX(工单台账!$E$7:$E$2006,$O18-6)&amp;"")</f>
        <v>1904</v>
      </c>
      <c r="E18" s="41" t="str">
        <f aca="false">IF($O18=0,"",INDEX(工单台账!$F$7:$F$2006,$O18-6)&amp;"")</f>
        <v>卫生间门关不上</v>
      </c>
      <c r="F18" s="41"/>
      <c r="G18" s="40" t="str">
        <f aca="false">IF($O18=0,"",INDEX(工单台账!$G$7:$G$2006,$O18-6)&amp;"")</f>
        <v>门窗五金</v>
      </c>
      <c r="H18" s="40" t="str">
        <f aca="false">IF($O18=0,"",INDEX(工单台账!$H$7:$H$2006,$O18-6)&amp;IF(INDEX(工单台账!$I$7:$I$2006,$O18-6)="","","、"&amp;INDEX(工单台账!$I$7:$I$2006,$O18-6)))</f>
        <v>李师傅</v>
      </c>
      <c r="I18" s="40" t="str">
        <f aca="false">IF($O18=0,"",INDEX(工单台账!$L$7:$L$2006,$O18-6)&amp;"")</f>
        <v>已完成</v>
      </c>
      <c r="J18" s="43" t="str">
        <f aca="false">IF($O18=0,"",INDEX(工单台账!$N$7:$N$2006,$O18-6))</f>
        <v/>
      </c>
      <c r="K18" s="40" t="str">
        <f aca="false">IF($O18=0,"",INDEX(工单台账!$R$7:$R$2006,$O18-6)&amp;"")</f>
        <v>非常满意</v>
      </c>
      <c r="L18" s="41" t="str">
        <f aca="false">IF($O18=0,"",INDEX(工单台账!$P$7:$P$2006,$O18-6)&amp;"")</f>
        <v/>
      </c>
      <c r="M18" s="40" t="str">
        <f aca="false">IF($O18=0,"",INDEX(工单台账!$A$7:$A$2006,$O18-6)&amp;"")</f>
        <v>6-1904-0503</v>
      </c>
      <c r="O18" s="1" t="n">
        <f aca="false">IFERROR(MOD(LARGE(工单台账!$T$7:$T$2006,10),10000),0)</f>
        <v>68</v>
      </c>
    </row>
    <row r="19" customFormat="false" ht="18.75" hidden="false" customHeight="true" outlineLevel="0" collapsed="false">
      <c r="A19" s="40" t="n">
        <f aca="false">IF($O19=0,"",11)</f>
        <v>11</v>
      </c>
      <c r="B19" s="42" t="n">
        <f aca="false">IF($O19=0,"",INDEX(工单台账!$B$7:$B$2006,$O19-6))</f>
        <v>45779</v>
      </c>
      <c r="C19" s="40" t="str">
        <f aca="false">IF($O19=0,"",INDEX(工单台账!$C$7:$C$2006,$O19-6)&amp;"")</f>
        <v>入户</v>
      </c>
      <c r="D19" s="40" t="str">
        <f aca="false">IF($O19=0,"",INDEX(工单台账!$E$7:$E$2006,$O19-6)&amp;"")</f>
        <v>3304</v>
      </c>
      <c r="E19" s="41" t="str">
        <f aca="false">IF($O19=0,"",INDEX(工单台账!$F$7:$F$2006,$O19-6)&amp;"")</f>
        <v>空调外机噪音大</v>
      </c>
      <c r="F19" s="41"/>
      <c r="G19" s="40" t="str">
        <f aca="false">IF($O19=0,"",INDEX(工单台账!$G$7:$G$2006,$O19-6)&amp;"")</f>
        <v>空调暖通</v>
      </c>
      <c r="H19" s="40" t="str">
        <f aca="false">IF($O19=0,"",INDEX(工单台账!$H$7:$H$2006,$O19-6)&amp;IF(INDEX(工单台账!$I$7:$I$2006,$O19-6)="","","、"&amp;INDEX(工单台账!$I$7:$I$2006,$O19-6)))</f>
        <v>李师傅</v>
      </c>
      <c r="I19" s="40" t="str">
        <f aca="false">IF($O19=0,"",INDEX(工单台账!$L$7:$L$2006,$O19-6)&amp;"")</f>
        <v>跟进中</v>
      </c>
      <c r="J19" s="43" t="str">
        <f aca="false">IF($O19=0,"",INDEX(工单台账!$N$7:$N$2006,$O19-6))</f>
        <v>超期5天</v>
      </c>
      <c r="K19" s="40" t="str">
        <f aca="false">IF($O19=0,"",INDEX(工单台账!$R$7:$R$2006,$O19-6)&amp;"")</f>
        <v>非常满意</v>
      </c>
      <c r="L19" s="41" t="str">
        <f aca="false">IF($O19=0,"",INDEX(工单台账!$P$7:$P$2006,$O19-6)&amp;"")</f>
        <v>非物业维修范围，业主已联系空调售后</v>
      </c>
      <c r="M19" s="40" t="str">
        <f aca="false">IF($O19=0,"",INDEX(工单台账!$A$7:$A$2006,$O19-6)&amp;"")</f>
        <v>6-3304-0502</v>
      </c>
      <c r="O19" s="1" t="n">
        <f aca="false">IFERROR(MOD(LARGE(工单台账!$T$7:$T$2006,11),10000),0)</f>
        <v>48</v>
      </c>
    </row>
    <row r="20" customFormat="false" ht="18.75" hidden="false" customHeight="true" outlineLevel="0" collapsed="false">
      <c r="A20" s="40" t="n">
        <f aca="false">IF($O20=0,"",12)</f>
        <v>12</v>
      </c>
      <c r="B20" s="42" t="n">
        <f aca="false">IF($O20=0,"",INDEX(工单台账!$B$7:$B$2006,$O20-6))</f>
        <v>45779</v>
      </c>
      <c r="C20" s="40" t="str">
        <f aca="false">IF($O20=0,"",INDEX(工单台账!$C$7:$C$2006,$O20-6)&amp;"")</f>
        <v>入户</v>
      </c>
      <c r="D20" s="40" t="str">
        <f aca="false">IF($O20=0,"",INDEX(工单台账!$E$7:$E$2006,$O20-6)&amp;"")</f>
        <v>201</v>
      </c>
      <c r="E20" s="41" t="str">
        <f aca="false">IF($O20=0,"",INDEX(工单台账!$F$7:$F$2006,$O20-6)&amp;"")</f>
        <v>房门锁舌弹不回来</v>
      </c>
      <c r="F20" s="41"/>
      <c r="G20" s="40" t="str">
        <f aca="false">IF($O20=0,"",INDEX(工单台账!$G$7:$G$2006,$O20-6)&amp;"")</f>
        <v>门窗五金</v>
      </c>
      <c r="H20" s="40" t="str">
        <f aca="false">IF($O20=0,"",INDEX(工单台账!$H$7:$H$2006,$O20-6)&amp;IF(INDEX(工单台账!$I$7:$I$2006,$O20-6)="","","、"&amp;INDEX(工单台账!$I$7:$I$2006,$O20-6)))</f>
        <v>张师傅</v>
      </c>
      <c r="I20" s="40" t="str">
        <f aca="false">IF($O20=0,"",INDEX(工单台账!$L$7:$L$2006,$O20-6)&amp;"")</f>
        <v>已完成</v>
      </c>
      <c r="J20" s="43" t="str">
        <f aca="false">IF($O20=0,"",INDEX(工单台账!$N$7:$N$2006,$O20-6))</f>
        <v/>
      </c>
      <c r="K20" s="40" t="str">
        <f aca="false">IF($O20=0,"",INDEX(工单台账!$R$7:$R$2006,$O20-6)&amp;"")</f>
        <v>非常满意</v>
      </c>
      <c r="L20" s="41" t="str">
        <f aca="false">IF($O20=0,"",INDEX(工单台账!$P$7:$P$2006,$O20-6)&amp;"")</f>
        <v/>
      </c>
      <c r="M20" s="40" t="str">
        <f aca="false">IF($O20=0,"",INDEX(工单台账!$A$7:$A$2006,$O20-6)&amp;"")</f>
        <v>6-201-0502</v>
      </c>
      <c r="O20" s="1" t="n">
        <f aca="false">IFERROR(MOD(LARGE(工单台账!$T$7:$T$2006,12),10000),0)</f>
        <v>46</v>
      </c>
    </row>
    <row r="21" customFormat="false" ht="18.75" hidden="false" customHeight="true" outlineLevel="0" collapsed="false">
      <c r="A21" s="40" t="n">
        <f aca="false">IF($O21=0,"",13)</f>
        <v>13</v>
      </c>
      <c r="B21" s="42" t="n">
        <f aca="false">IF($O21=0,"",INDEX(工单台账!$B$7:$B$2006,$O21-6))</f>
        <v>45778</v>
      </c>
      <c r="C21" s="40" t="str">
        <f aca="false">IF($O21=0,"",INDEX(工单台账!$C$7:$C$2006,$O21-6)&amp;"")</f>
        <v>入户</v>
      </c>
      <c r="D21" s="40" t="str">
        <f aca="false">IF($O21=0,"",INDEX(工单台账!$E$7:$E$2006,$O21-6)&amp;"")</f>
        <v>2701</v>
      </c>
      <c r="E21" s="41" t="str">
        <f aca="false">IF($O21=0,"",INDEX(工单台账!$F$7:$F$2006,$O21-6)&amp;"")</f>
        <v>次卧顶灯开关按了没反应</v>
      </c>
      <c r="F21" s="41"/>
      <c r="G21" s="40" t="str">
        <f aca="false">IF($O21=0,"",INDEX(工单台账!$G$7:$G$2006,$O21-6)&amp;"")</f>
        <v>电气照明</v>
      </c>
      <c r="H21" s="40" t="str">
        <f aca="false">IF($O21=0,"",INDEX(工单台账!$H$7:$H$2006,$O21-6)&amp;IF(INDEX(工单台账!$I$7:$I$2006,$O21-6)="","","、"&amp;INDEX(工单台账!$I$7:$I$2006,$O21-6)))</f>
        <v>张师傅</v>
      </c>
      <c r="I21" s="40" t="str">
        <f aca="false">IF($O21=0,"",INDEX(工单台账!$L$7:$L$2006,$O21-6)&amp;"")</f>
        <v>已完成</v>
      </c>
      <c r="J21" s="43" t="str">
        <f aca="false">IF($O21=0,"",INDEX(工单台账!$N$7:$N$2006,$O21-6))</f>
        <v/>
      </c>
      <c r="K21" s="40" t="str">
        <f aca="false">IF($O21=0,"",INDEX(工单台账!$R$7:$R$2006,$O21-6)&amp;"")</f>
        <v>非常满意</v>
      </c>
      <c r="L21" s="41" t="str">
        <f aca="false">IF($O21=0,"",INDEX(工单台账!$P$7:$P$2006,$O21-6)&amp;"")</f>
        <v>已更换开关面板</v>
      </c>
      <c r="M21" s="40" t="str">
        <f aca="false">IF($O21=0,"",INDEX(工单台账!$A$7:$A$2006,$O21-6)&amp;"")</f>
        <v>6-2701-0501</v>
      </c>
      <c r="O21" s="1" t="n">
        <f aca="false">IFERROR(MOD(LARGE(工单台账!$T$7:$T$2006,13),10000),0)</f>
        <v>30</v>
      </c>
    </row>
    <row r="22" customFormat="false" ht="18.75" hidden="false" customHeight="true" outlineLevel="0" collapsed="false">
      <c r="A22" s="40" t="n">
        <f aca="false">IF($O22=0,"",14)</f>
        <v>14</v>
      </c>
      <c r="B22" s="42" t="n">
        <f aca="false">IF($O22=0,"",INDEX(工单台账!$B$7:$B$2006,$O22-6))</f>
        <v>45778</v>
      </c>
      <c r="C22" s="40" t="str">
        <f aca="false">IF($O22=0,"",INDEX(工单台账!$C$7:$C$2006,$O22-6)&amp;"")</f>
        <v>入户</v>
      </c>
      <c r="D22" s="40" t="str">
        <f aca="false">IF($O22=0,"",INDEX(工单台账!$E$7:$E$2006,$O22-6)&amp;"")</f>
        <v>701</v>
      </c>
      <c r="E22" s="41" t="str">
        <f aca="false">IF($O22=0,"",INDEX(工单台账!$F$7:$F$2006,$O22-6)&amp;"")</f>
        <v>次卧墙面受潮鼓包起皮</v>
      </c>
      <c r="F22" s="41"/>
      <c r="G22" s="40" t="str">
        <f aca="false">IF($O22=0,"",INDEX(工单台账!$G$7:$G$2006,$O22-6)&amp;"")</f>
        <v>墙地饰面</v>
      </c>
      <c r="H22" s="40" t="str">
        <f aca="false">IF($O22=0,"",INDEX(工单台账!$H$7:$H$2006,$O22-6)&amp;IF(INDEX(工单台账!$I$7:$I$2006,$O22-6)="","","、"&amp;INDEX(工单台账!$I$7:$I$2006,$O22-6)))</f>
        <v>李师傅</v>
      </c>
      <c r="I22" s="40" t="str">
        <f aca="false">IF($O22=0,"",INDEX(工单台账!$L$7:$L$2006,$O22-6)&amp;"")</f>
        <v>跟进中</v>
      </c>
      <c r="J22" s="43" t="str">
        <f aca="false">IF($O22=0,"",INDEX(工单台账!$N$7:$N$2006,$O22-6))</f>
        <v>超期6天</v>
      </c>
      <c r="K22" s="40" t="str">
        <f aca="false">IF($O22=0,"",INDEX(工单台账!$R$7:$R$2006,$O22-6)&amp;"")</f>
        <v>非常满意</v>
      </c>
      <c r="L22" s="41" t="str">
        <f aca="false">IF($O22=0,"",INDEX(工单台账!$P$7:$P$2006,$O22-6)&amp;"")</f>
        <v>已铲除鼓包批第一遍腻子，待干透后约第二次上门</v>
      </c>
      <c r="M22" s="40" t="str">
        <f aca="false">IF($O22=0,"",INDEX(工单台账!$A$7:$A$2006,$O22-6)&amp;"")</f>
        <v>6-701-0501</v>
      </c>
      <c r="O22" s="1" t="n">
        <f aca="false">IFERROR(MOD(LARGE(工单台账!$T$7:$T$2006,14),10000),0)</f>
        <v>13</v>
      </c>
    </row>
    <row r="23" customFormat="false" ht="18.75" hidden="false" customHeight="true" outlineLevel="0" collapsed="false">
      <c r="A23" s="40" t="n">
        <f aca="false">IF($O23=0,"",15)</f>
        <v>15</v>
      </c>
      <c r="B23" s="42" t="n">
        <f aca="false">IF($O23=0,"",INDEX(工单台账!$B$7:$B$2006,$O23-6))</f>
        <v>45778</v>
      </c>
      <c r="C23" s="40" t="str">
        <f aca="false">IF($O23=0,"",INDEX(工单台账!$C$7:$C$2006,$O23-6)&amp;"")</f>
        <v>入户</v>
      </c>
      <c r="D23" s="40" t="str">
        <f aca="false">IF($O23=0,"",INDEX(工单台账!$E$7:$E$2006,$O23-6)&amp;"")</f>
        <v>2501</v>
      </c>
      <c r="E23" s="41" t="str">
        <f aca="false">IF($O23=0,"",INDEX(工单台账!$F$7:$F$2006,$O23-6)&amp;"")</f>
        <v>入户门把手松动下垂</v>
      </c>
      <c r="F23" s="41"/>
      <c r="G23" s="40" t="str">
        <f aca="false">IF($O23=0,"",INDEX(工单台账!$G$7:$G$2006,$O23-6)&amp;"")</f>
        <v>门窗五金</v>
      </c>
      <c r="H23" s="40" t="str">
        <f aca="false">IF($O23=0,"",INDEX(工单台账!$H$7:$H$2006,$O23-6)&amp;IF(INDEX(工单台账!$I$7:$I$2006,$O23-6)="","","、"&amp;INDEX(工单台账!$I$7:$I$2006,$O23-6)))</f>
        <v>张师傅</v>
      </c>
      <c r="I23" s="40" t="str">
        <f aca="false">IF($O23=0,"",INDEX(工单台账!$L$7:$L$2006,$O23-6)&amp;"")</f>
        <v>已完成</v>
      </c>
      <c r="J23" s="43" t="str">
        <f aca="false">IF($O23=0,"",INDEX(工单台账!$N$7:$N$2006,$O23-6))</f>
        <v/>
      </c>
      <c r="K23" s="40" t="str">
        <f aca="false">IF($O23=0,"",INDEX(工单台账!$R$7:$R$2006,$O23-6)&amp;"")</f>
        <v>非常满意</v>
      </c>
      <c r="L23" s="41" t="str">
        <f aca="false">IF($O23=0,"",INDEX(工单台账!$P$7:$P$2006,$O23-6)&amp;"")</f>
        <v>已紧固复位</v>
      </c>
      <c r="M23" s="40" t="str">
        <f aca="false">IF($O23=0,"",INDEX(工单台账!$A$7:$A$2006,$O23-6)&amp;"")</f>
        <v>6-2501-0501</v>
      </c>
      <c r="O23" s="1" t="n">
        <f aca="false">IFERROR(MOD(LARGE(工单台账!$T$7:$T$2006,15),10000),0)</f>
        <v>12</v>
      </c>
    </row>
    <row r="24" customFormat="false" ht="18.75" hidden="false" customHeight="true" outlineLevel="0" collapsed="false">
      <c r="A24" s="40" t="n">
        <f aca="false">IF($O24=0,"",16)</f>
        <v>16</v>
      </c>
      <c r="B24" s="42" t="n">
        <f aca="false">IF($O24=0,"",INDEX(工单台账!$B$7:$B$2006,$O24-6))</f>
        <v>45778</v>
      </c>
      <c r="C24" s="40" t="str">
        <f aca="false">IF($O24=0,"",INDEX(工单台账!$C$7:$C$2006,$O24-6)&amp;"")</f>
        <v>入户</v>
      </c>
      <c r="D24" s="40" t="str">
        <f aca="false">IF($O24=0,"",INDEX(工单台账!$E$7:$E$2006,$O24-6)&amp;"")</f>
        <v>2004</v>
      </c>
      <c r="E24" s="41" t="str">
        <f aca="false">IF($O24=0,"",INDEX(工单台账!$F$7:$F$2006,$O24-6)&amp;"")</f>
        <v>主卧空调出风口结露滴水</v>
      </c>
      <c r="F24" s="41"/>
      <c r="G24" s="40" t="str">
        <f aca="false">IF($O24=0,"",INDEX(工单台账!$G$7:$G$2006,$O24-6)&amp;"")</f>
        <v>空调暖通</v>
      </c>
      <c r="H24" s="40" t="str">
        <f aca="false">IF($O24=0,"",INDEX(工单台账!$H$7:$H$2006,$O24-6)&amp;IF(INDEX(工单台账!$I$7:$I$2006,$O24-6)="","","、"&amp;INDEX(工单台账!$I$7:$I$2006,$O24-6)))</f>
        <v>张师傅</v>
      </c>
      <c r="I24" s="40" t="str">
        <f aca="false">IF($O24=0,"",INDEX(工单台账!$L$7:$L$2006,$O24-6)&amp;"")</f>
        <v>已完成</v>
      </c>
      <c r="J24" s="43" t="str">
        <f aca="false">IF($O24=0,"",INDEX(工单台账!$N$7:$N$2006,$O24-6))</f>
        <v/>
      </c>
      <c r="K24" s="40" t="str">
        <f aca="false">IF($O24=0,"",INDEX(工单台账!$R$7:$R$2006,$O24-6)&amp;"")</f>
        <v>一般</v>
      </c>
      <c r="L24" s="41" t="str">
        <f aca="false">IF($O24=0,"",INDEX(工单台账!$P$7:$P$2006,$O24-6)&amp;"")</f>
        <v>已调整出风角度并清洗滤网</v>
      </c>
      <c r="M24" s="40" t="str">
        <f aca="false">IF($O24=0,"",INDEX(工单台账!$A$7:$A$2006,$O24-6)&amp;"")</f>
        <v>6-2004-0501</v>
      </c>
      <c r="O24" s="1" t="n">
        <f aca="false">IFERROR(MOD(LARGE(工单台账!$T$7:$T$2006,16),10000),0)</f>
        <v>11</v>
      </c>
    </row>
    <row r="25" customFormat="false" ht="18.75" hidden="false" customHeight="true" outlineLevel="0" collapsed="false">
      <c r="A25" s="40" t="n">
        <f aca="false">IF($O25=0,"",17)</f>
        <v>17</v>
      </c>
      <c r="B25" s="42" t="n">
        <f aca="false">IF($O25=0,"",INDEX(工单台账!$B$7:$B$2006,$O25-6))</f>
        <v>45778</v>
      </c>
      <c r="C25" s="40" t="str">
        <f aca="false">IF($O25=0,"",INDEX(工单台账!$C$7:$C$2006,$O25-6)&amp;"")</f>
        <v>入户</v>
      </c>
      <c r="D25" s="40" t="str">
        <f aca="false">IF($O25=0,"",INDEX(工单台账!$E$7:$E$2006,$O25-6)&amp;"")</f>
        <v>2504</v>
      </c>
      <c r="E25" s="41" t="str">
        <f aca="false">IF($O25=0,"",INDEX(工单台账!$F$7:$F$2006,$O25-6)&amp;"")</f>
        <v>空调开机后室内机滴水</v>
      </c>
      <c r="F25" s="41"/>
      <c r="G25" s="40" t="str">
        <f aca="false">IF($O25=0,"",INDEX(工单台账!$G$7:$G$2006,$O25-6)&amp;"")</f>
        <v>空调暖通</v>
      </c>
      <c r="H25" s="40" t="str">
        <f aca="false">IF($O25=0,"",INDEX(工单台账!$H$7:$H$2006,$O25-6)&amp;IF(INDEX(工单台账!$I$7:$I$2006,$O25-6)="","","、"&amp;INDEX(工单台账!$I$7:$I$2006,$O25-6)))</f>
        <v>刘师傅、张师傅</v>
      </c>
      <c r="I25" s="40" t="str">
        <f aca="false">IF($O25=0,"",INDEX(工单台账!$L$7:$L$2006,$O25-6)&amp;"")</f>
        <v>跟进中</v>
      </c>
      <c r="J25" s="43" t="str">
        <f aca="false">IF($O25=0,"",INDEX(工单台账!$N$7:$N$2006,$O25-6))</f>
        <v>超期6天</v>
      </c>
      <c r="K25" s="40" t="str">
        <f aca="false">IF($O25=0,"",INDEX(工单台账!$R$7:$R$2006,$O25-6)&amp;"")</f>
        <v/>
      </c>
      <c r="L25" s="41" t="str">
        <f aca="false">IF($O25=0,"",INDEX(工单台账!$P$7:$P$2006,$O25-6)&amp;"")</f>
        <v>需重新包扎保温棉，待料处理</v>
      </c>
      <c r="M25" s="40" t="str">
        <f aca="false">IF($O25=0,"",INDEX(工单台账!$A$7:$A$2006,$O25-6)&amp;"")</f>
        <v>6-2504-0501</v>
      </c>
      <c r="O25" s="1" t="n">
        <f aca="false">IFERROR(MOD(LARGE(工单台账!$T$7:$T$2006,17),10000),0)</f>
        <v>8</v>
      </c>
    </row>
    <row r="26" customFormat="false" ht="18.75" hidden="false" customHeight="true" outlineLevel="0" collapsed="false">
      <c r="A26" s="40" t="str">
        <f aca="false">IF($O26=0,"",18)</f>
        <v/>
      </c>
      <c r="B26" s="42" t="str">
        <f aca="false">IF($O26=0,"",INDEX(工单台账!$B$7:$B$2006,$O26-6))</f>
        <v/>
      </c>
      <c r="C26" s="40" t="str">
        <f aca="false">IF($O26=0,"",INDEX(工单台账!$C$7:$C$2006,$O26-6)&amp;"")</f>
        <v/>
      </c>
      <c r="D26" s="40" t="str">
        <f aca="false">IF($O26=0,"",INDEX(工单台账!$E$7:$E$2006,$O26-6)&amp;"")</f>
        <v/>
      </c>
      <c r="E26" s="41" t="str">
        <f aca="false">IF($O26=0,"",INDEX(工单台账!$F$7:$F$2006,$O26-6)&amp;"")</f>
        <v/>
      </c>
      <c r="F26" s="41"/>
      <c r="G26" s="40" t="str">
        <f aca="false">IF($O26=0,"",INDEX(工单台账!$G$7:$G$2006,$O26-6)&amp;"")</f>
        <v/>
      </c>
      <c r="H26" s="40" t="str">
        <f aca="false">IF($O26=0,"",INDEX(工单台账!$H$7:$H$2006,$O26-6)&amp;IF(INDEX(工单台账!$I$7:$I$2006,$O26-6)="","","、"&amp;INDEX(工单台账!$I$7:$I$2006,$O26-6)))</f>
        <v/>
      </c>
      <c r="I26" s="40" t="str">
        <f aca="false">IF($O26=0,"",INDEX(工单台账!$L$7:$L$2006,$O26-6)&amp;"")</f>
        <v/>
      </c>
      <c r="J26" s="43" t="str">
        <f aca="false">IF($O26=0,"",INDEX(工单台账!$N$7:$N$2006,$O26-6))</f>
        <v/>
      </c>
      <c r="K26" s="40" t="str">
        <f aca="false">IF($O26=0,"",INDEX(工单台账!$R$7:$R$2006,$O26-6)&amp;"")</f>
        <v/>
      </c>
      <c r="L26" s="41" t="str">
        <f aca="false">IF($O26=0,"",INDEX(工单台账!$P$7:$P$2006,$O26-6)&amp;"")</f>
        <v/>
      </c>
      <c r="M26" s="40" t="str">
        <f aca="false">IF($O26=0,"",INDEX(工单台账!$A$7:$A$2006,$O26-6)&amp;"")</f>
        <v/>
      </c>
      <c r="O26" s="1" t="n">
        <f aca="false">IFERROR(MOD(LARGE(工单台账!$T$7:$T$2006,18),10000),0)</f>
        <v>0</v>
      </c>
    </row>
    <row r="27" customFormat="false" ht="18.75" hidden="false" customHeight="true" outlineLevel="0" collapsed="false">
      <c r="A27" s="40" t="str">
        <f aca="false">IF($O27=0,"",19)</f>
        <v/>
      </c>
      <c r="B27" s="42" t="str">
        <f aca="false">IF($O27=0,"",INDEX(工单台账!$B$7:$B$2006,$O27-6))</f>
        <v/>
      </c>
      <c r="C27" s="40" t="str">
        <f aca="false">IF($O27=0,"",INDEX(工单台账!$C$7:$C$2006,$O27-6)&amp;"")</f>
        <v/>
      </c>
      <c r="D27" s="40" t="str">
        <f aca="false">IF($O27=0,"",INDEX(工单台账!$E$7:$E$2006,$O27-6)&amp;"")</f>
        <v/>
      </c>
      <c r="E27" s="41" t="str">
        <f aca="false">IF($O27=0,"",INDEX(工单台账!$F$7:$F$2006,$O27-6)&amp;"")</f>
        <v/>
      </c>
      <c r="F27" s="41"/>
      <c r="G27" s="40" t="str">
        <f aca="false">IF($O27=0,"",INDEX(工单台账!$G$7:$G$2006,$O27-6)&amp;"")</f>
        <v/>
      </c>
      <c r="H27" s="40" t="str">
        <f aca="false">IF($O27=0,"",INDEX(工单台账!$H$7:$H$2006,$O27-6)&amp;IF(INDEX(工单台账!$I$7:$I$2006,$O27-6)="","","、"&amp;INDEX(工单台账!$I$7:$I$2006,$O27-6)))</f>
        <v/>
      </c>
      <c r="I27" s="40" t="str">
        <f aca="false">IF($O27=0,"",INDEX(工单台账!$L$7:$L$2006,$O27-6)&amp;"")</f>
        <v/>
      </c>
      <c r="J27" s="43" t="str">
        <f aca="false">IF($O27=0,"",INDEX(工单台账!$N$7:$N$2006,$O27-6))</f>
        <v/>
      </c>
      <c r="K27" s="40" t="str">
        <f aca="false">IF($O27=0,"",INDEX(工单台账!$R$7:$R$2006,$O27-6)&amp;"")</f>
        <v/>
      </c>
      <c r="L27" s="41" t="str">
        <f aca="false">IF($O27=0,"",INDEX(工单台账!$P$7:$P$2006,$O27-6)&amp;"")</f>
        <v/>
      </c>
      <c r="M27" s="40" t="str">
        <f aca="false">IF($O27=0,"",INDEX(工单台账!$A$7:$A$2006,$O27-6)&amp;"")</f>
        <v/>
      </c>
      <c r="O27" s="1" t="n">
        <f aca="false">IFERROR(MOD(LARGE(工单台账!$T$7:$T$2006,19),10000),0)</f>
        <v>0</v>
      </c>
    </row>
    <row r="28" customFormat="false" ht="18.75" hidden="false" customHeight="true" outlineLevel="0" collapsed="false">
      <c r="A28" s="40" t="str">
        <f aca="false">IF($O28=0,"",20)</f>
        <v/>
      </c>
      <c r="B28" s="42" t="str">
        <f aca="false">IF($O28=0,"",INDEX(工单台账!$B$7:$B$2006,$O28-6))</f>
        <v/>
      </c>
      <c r="C28" s="40" t="str">
        <f aca="false">IF($O28=0,"",INDEX(工单台账!$C$7:$C$2006,$O28-6)&amp;"")</f>
        <v/>
      </c>
      <c r="D28" s="40" t="str">
        <f aca="false">IF($O28=0,"",INDEX(工单台账!$E$7:$E$2006,$O28-6)&amp;"")</f>
        <v/>
      </c>
      <c r="E28" s="41" t="str">
        <f aca="false">IF($O28=0,"",INDEX(工单台账!$F$7:$F$2006,$O28-6)&amp;"")</f>
        <v/>
      </c>
      <c r="F28" s="41"/>
      <c r="G28" s="40" t="str">
        <f aca="false">IF($O28=0,"",INDEX(工单台账!$G$7:$G$2006,$O28-6)&amp;"")</f>
        <v/>
      </c>
      <c r="H28" s="40" t="str">
        <f aca="false">IF($O28=0,"",INDEX(工单台账!$H$7:$H$2006,$O28-6)&amp;IF(INDEX(工单台账!$I$7:$I$2006,$O28-6)="","","、"&amp;INDEX(工单台账!$I$7:$I$2006,$O28-6)))</f>
        <v/>
      </c>
      <c r="I28" s="40" t="str">
        <f aca="false">IF($O28=0,"",INDEX(工单台账!$L$7:$L$2006,$O28-6)&amp;"")</f>
        <v/>
      </c>
      <c r="J28" s="43" t="str">
        <f aca="false">IF($O28=0,"",INDEX(工单台账!$N$7:$N$2006,$O28-6))</f>
        <v/>
      </c>
      <c r="K28" s="40" t="str">
        <f aca="false">IF($O28=0,"",INDEX(工单台账!$R$7:$R$2006,$O28-6)&amp;"")</f>
        <v/>
      </c>
      <c r="L28" s="41" t="str">
        <f aca="false">IF($O28=0,"",INDEX(工单台账!$P$7:$P$2006,$O28-6)&amp;"")</f>
        <v/>
      </c>
      <c r="M28" s="40" t="str">
        <f aca="false">IF($O28=0,"",INDEX(工单台账!$A$7:$A$2006,$O28-6)&amp;"")</f>
        <v/>
      </c>
      <c r="O28" s="1" t="n">
        <f aca="false">IFERROR(MOD(LARGE(工单台账!$T$7:$T$2006,20),10000),0)</f>
        <v>0</v>
      </c>
    </row>
    <row r="29" customFormat="false" ht="15" hidden="false" customHeight="true" outlineLevel="0" collapsed="false">
      <c r="A29" s="69" t="str">
        <f aca="false">IF(A6=0,"　查无记录：请核对楼栋和房号的写法。",IF(A6&gt;20,"　共 "&amp;A6&amp;" 单，这里只列最近 20 单；完整记录在台账里按楼栋、房号筛选。",""))</f>
        <v/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cellIs" priority="2" operator="equal" aboveAverage="0" equalAverage="0" bottom="0" percent="0" rank="0" text="" dxfId="20">
      <formula>"已完成"</formula>
    </cfRule>
    <cfRule type="cellIs" priority="3" operator="equal" aboveAverage="0" equalAverage="0" bottom="0" percent="0" rank="0" text="" dxfId="15">
      <formula>"跟进中"</formula>
    </cfRule>
    <cfRule type="cellIs" priority="4" operator="equal" aboveAverage="0" equalAverage="0" bottom="0" percent="0" rank="0" text="" dxfId="19">
      <formula>"需另约时间"</formula>
    </cfRule>
  </conditionalFormatting>
  <conditionalFormatting sqref="K9:K28">
    <cfRule type="cellIs" priority="5" operator="equal" aboveAverage="0" equalAverage="0" bottom="0" percent="0" rank="0" text="" dxfId="19">
      <formula>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4"/>
    <col collapsed="false" customWidth="true" hidden="false" outlineLevel="0" max="4" min="4" style="1" width="3"/>
    <col collapsed="false" customWidth="true" hidden="false" outlineLevel="0" max="7" min="5" style="1" width="12"/>
    <col collapsed="false" customWidth="true" hidden="false" outlineLevel="0" max="17" min="8" style="1" width="10"/>
    <col collapsed="false" customWidth="true" hidden="false" outlineLevel="0" max="18" min="18" style="1" width="12"/>
    <col collapsed="false" customWidth="true" hidden="false" outlineLevel="0" max="19" min="19" style="1" width="8"/>
  </cols>
  <sheetData>
    <row r="1" customFormat="false" ht="30" hidden="false" customHeight="true" outlineLevel="0" collapsed="false">
      <c r="A1" s="70" t="s">
        <v>505</v>
      </c>
    </row>
    <row r="2" customFormat="false" ht="15" hidden="false" customHeight="true" outlineLevel="0" collapsed="false">
      <c r="A2" s="71" t="s">
        <v>506</v>
      </c>
    </row>
    <row r="4" customFormat="false" ht="15" hidden="false" customHeight="true" outlineLevel="0" collapsed="false">
      <c r="A4" s="72" t="s">
        <v>507</v>
      </c>
      <c r="B4" s="73" t="n">
        <v>45784</v>
      </c>
      <c r="C4" s="71" t="s">
        <v>508</v>
      </c>
    </row>
    <row r="5" customFormat="false" ht="15" hidden="false" customHeight="true" outlineLevel="0" collapsed="false">
      <c r="A5" s="72" t="s">
        <v>509</v>
      </c>
      <c r="B5" s="74" t="n">
        <v>3</v>
      </c>
      <c r="C5" s="71" t="s">
        <v>510</v>
      </c>
    </row>
    <row r="6" customFormat="false" ht="15" hidden="false" customHeight="true" outlineLevel="0" collapsed="false">
      <c r="A6" s="75" t="s">
        <v>511</v>
      </c>
      <c r="B6" s="76" t="n">
        <f aca="true">IF(B4="",TODAY(),B4)</f>
        <v>45784</v>
      </c>
    </row>
    <row r="8" customFormat="false" ht="15" hidden="false" customHeight="true" outlineLevel="0" collapsed="false">
      <c r="A8" s="59" t="s">
        <v>512</v>
      </c>
      <c r="B8" s="77" t="s">
        <v>513</v>
      </c>
      <c r="C8" s="78" t="s">
        <v>514</v>
      </c>
      <c r="E8" s="59" t="s">
        <v>15</v>
      </c>
      <c r="F8" s="59" t="s">
        <v>18</v>
      </c>
      <c r="G8" s="77" t="s">
        <v>457</v>
      </c>
    </row>
    <row r="9" customFormat="false" ht="15" hidden="false" customHeight="true" outlineLevel="0" collapsed="false">
      <c r="A9" s="79" t="s">
        <v>39</v>
      </c>
      <c r="B9" s="80" t="str">
        <f aca="false">IFERROR(INDEX($A$9:$A$13,MATCH(1,$C$9:$C$13,0)),IF(1=MAX($C$9:$C$13)+1,"取消",""))</f>
        <v>李师傅</v>
      </c>
      <c r="C9" s="78" t="str">
        <f aca="false">IF(OR(A9="",INDEX(工单台账!$H$3:$L$3,1)="休息"),"",MAX($C$8:C8)+1)</f>
        <v/>
      </c>
      <c r="E9" s="81" t="s">
        <v>102</v>
      </c>
      <c r="F9" s="79" t="s">
        <v>62</v>
      </c>
      <c r="G9" s="80" t="s">
        <v>515</v>
      </c>
    </row>
    <row r="10" customFormat="false" ht="15" hidden="false" customHeight="true" outlineLevel="0" collapsed="false">
      <c r="A10" s="79" t="s">
        <v>40</v>
      </c>
      <c r="B10" s="80" t="str">
        <f aca="false">IFERROR(INDEX($A$9:$A$13,MATCH(2,$C$9:$C$13,0)),IF(2=MAX($C$9:$C$13)+1,"取消",""))</f>
        <v>王师傅</v>
      </c>
      <c r="C10" s="78" t="n">
        <f aca="false">IF(OR(A10="",INDEX(工单台账!$H$3:$L$3,2)="休息"),"",MAX($C$8:C9)+1)</f>
        <v>1</v>
      </c>
      <c r="E10" s="81" t="s">
        <v>129</v>
      </c>
      <c r="F10" s="79" t="s">
        <v>108</v>
      </c>
      <c r="G10" s="80" t="s">
        <v>516</v>
      </c>
    </row>
    <row r="11" customFormat="false" ht="15" hidden="false" customHeight="true" outlineLevel="0" collapsed="false">
      <c r="A11" s="79" t="s">
        <v>157</v>
      </c>
      <c r="B11" s="80" t="str">
        <f aca="false">IFERROR(INDEX($A$9:$A$13,MATCH(3,$C$9:$C$13,0)),IF(3=MAX($C$9:$C$13)+1,"取消",""))</f>
        <v>陈师傅</v>
      </c>
      <c r="C11" s="78" t="n">
        <f aca="false">IF(OR(A11="",INDEX(工单台账!$H$3:$L$3,3)="休息"),"",MAX($C$8:C10)+1)</f>
        <v>2</v>
      </c>
      <c r="E11" s="81" t="s">
        <v>126</v>
      </c>
      <c r="F11" s="79" t="s">
        <v>120</v>
      </c>
      <c r="G11" s="80" t="s">
        <v>458</v>
      </c>
    </row>
    <row r="12" customFormat="false" ht="15" hidden="false" customHeight="true" outlineLevel="0" collapsed="false">
      <c r="A12" s="79" t="s">
        <v>156</v>
      </c>
      <c r="B12" s="80" t="str">
        <f aca="false">IFERROR(INDEX($A$9:$A$13,MATCH(4,$C$9:$C$13,0)),IF(4=MAX($C$9:$C$13)+1,"取消",""))</f>
        <v>刘师傅</v>
      </c>
      <c r="C12" s="78" t="n">
        <f aca="false">IF(OR(A12="",INDEX(工单台账!$H$3:$L$3,4)="休息"),"",MAX($C$8:C11)+1)</f>
        <v>3</v>
      </c>
      <c r="E12" s="81" t="s">
        <v>133</v>
      </c>
      <c r="F12" s="79" t="s">
        <v>38</v>
      </c>
      <c r="G12" s="80" t="s">
        <v>517</v>
      </c>
    </row>
    <row r="13" customFormat="false" ht="15" hidden="false" customHeight="true" outlineLevel="0" collapsed="false">
      <c r="A13" s="79" t="s">
        <v>49</v>
      </c>
      <c r="B13" s="80" t="str">
        <f aca="false">IFERROR(INDEX($A$9:$A$13,MATCH(5,$C$9:$C$13,0)),IF(5=MAX($C$9:$C$13)+1,"取消",""))</f>
        <v>取消</v>
      </c>
      <c r="C13" s="78" t="n">
        <f aca="false">IF(OR(A13="",INDEX(工单台账!$H$3:$L$3,5)="休息"),"",MAX($C$8:C12)+1)</f>
        <v>4</v>
      </c>
      <c r="E13" s="81" t="s">
        <v>53</v>
      </c>
      <c r="F13" s="79" t="s">
        <v>56</v>
      </c>
    </row>
    <row r="14" customFormat="false" ht="15" hidden="false" customHeight="true" outlineLevel="0" collapsed="false">
      <c r="B14" s="80" t="str">
        <f aca="false">IFERROR(INDEX($A$9:$A$13,MATCH(6,$C$9:$C$13,0)),IF(6=MAX($C$9:$C$13)+1,"取消",""))</f>
        <v/>
      </c>
      <c r="E14" s="81" t="s">
        <v>46</v>
      </c>
      <c r="F14" s="79" t="s">
        <v>78</v>
      </c>
    </row>
    <row r="15" customFormat="false" ht="15" hidden="false" customHeight="true" outlineLevel="0" collapsed="false">
      <c r="E15" s="81" t="s">
        <v>59</v>
      </c>
      <c r="F15" s="79" t="s">
        <v>188</v>
      </c>
    </row>
    <row r="16" customFormat="false" ht="15" hidden="false" customHeight="true" outlineLevel="0" collapsed="false">
      <c r="A16" s="71" t="s">
        <v>518</v>
      </c>
      <c r="E16" s="81" t="s">
        <v>35</v>
      </c>
      <c r="F16" s="79" t="s">
        <v>160</v>
      </c>
    </row>
    <row r="17" customFormat="false" ht="15" hidden="false" customHeight="true" outlineLevel="0" collapsed="false">
      <c r="E17" s="81" t="s">
        <v>98</v>
      </c>
      <c r="F17" s="79" t="s">
        <v>155</v>
      </c>
    </row>
    <row r="18" customFormat="false" ht="15" hidden="false" customHeight="true" outlineLevel="0" collapsed="false">
      <c r="E18" s="81" t="s">
        <v>95</v>
      </c>
      <c r="F18" s="79" t="s">
        <v>200</v>
      </c>
    </row>
    <row r="19" customFormat="false" ht="15" hidden="false" customHeight="true" outlineLevel="0" collapsed="false">
      <c r="E19" s="81" t="s">
        <v>113</v>
      </c>
    </row>
    <row r="20" customFormat="false" ht="15" hidden="false" customHeight="true" outlineLevel="0" collapsed="false">
      <c r="E20" s="79" t="s">
        <v>305</v>
      </c>
    </row>
    <row r="21" customFormat="false" ht="15" hidden="false" customHeight="true" outlineLevel="0" collapsed="false">
      <c r="E21" s="79" t="s">
        <v>152</v>
      </c>
    </row>
    <row r="24" customFormat="false" ht="18" hidden="false" customHeight="true" outlineLevel="0" collapsed="false">
      <c r="A24" s="82" t="s">
        <v>519</v>
      </c>
      <c r="E24" s="82" t="s">
        <v>520</v>
      </c>
    </row>
    <row r="25" customFormat="false" ht="30" hidden="false" customHeight="true" outlineLevel="0" collapsed="false">
      <c r="A25" s="77" t="s">
        <v>521</v>
      </c>
      <c r="B25" s="77" t="s">
        <v>522</v>
      </c>
      <c r="C25" s="77" t="s">
        <v>523</v>
      </c>
      <c r="E25" s="83" t="s">
        <v>3</v>
      </c>
      <c r="F25" s="83" t="s">
        <v>486</v>
      </c>
      <c r="G25" s="83" t="s">
        <v>43</v>
      </c>
      <c r="H25" s="83" t="s">
        <v>487</v>
      </c>
      <c r="I25" s="83" t="s">
        <v>45</v>
      </c>
      <c r="J25" s="83" t="s">
        <v>65</v>
      </c>
      <c r="K25" s="83" t="s">
        <v>70</v>
      </c>
      <c r="L25" s="83" t="s">
        <v>488</v>
      </c>
      <c r="M25" s="83" t="s">
        <v>524</v>
      </c>
      <c r="N25" s="83" t="s">
        <v>489</v>
      </c>
      <c r="O25" s="83" t="s">
        <v>525</v>
      </c>
      <c r="P25" s="83" t="s">
        <v>485</v>
      </c>
    </row>
    <row r="26" customFormat="false" ht="18" hidden="false" customHeight="true" outlineLevel="0" collapsed="false">
      <c r="A26" s="80" t="s">
        <v>515</v>
      </c>
      <c r="B26" s="84" t="n">
        <f aca="false">$B$6</f>
        <v>45784</v>
      </c>
      <c r="C26" s="84" t="n">
        <f aca="false">$B$6</f>
        <v>45784</v>
      </c>
      <c r="E26" s="80" t="str">
        <f aca="false">A9&amp;""</f>
        <v>张师傅</v>
      </c>
      <c r="F26" s="80" t="n">
        <f aca="false">COUNTIFS(工单台账!$H$7:$H$2006,$E26,工单台账!$B$7:$B$2006,"&gt;="&amp;$B$30,工单台账!$B$7:$B$2006,"&lt;="&amp;$C$30)+COUNTIFS(工单台账!$I$7:$I$2006,$E26,工单台账!$B$7:$B$2006,"&gt;="&amp;$B$30,工单台账!$B$7:$B$2006,"&lt;="&amp;$C$30)</f>
        <v>67</v>
      </c>
      <c r="G26" s="80" t="n">
        <f aca="false">COUNTIFS(工单台账!$H$7:$H$2006,$E26,工单台账!$B$7:$B$2006,"&gt;="&amp;$B$30,工单台账!$B$7:$B$2006,"&lt;="&amp;$C$30,工单台账!$L$7:$L$2006,"已完成")+COUNTIFS(工单台账!$I$7:$I$2006,$E26,工单台账!$B$7:$B$2006,"&gt;="&amp;$B$30,工单台账!$B$7:$B$2006,"&lt;="&amp;$C$30,工单台账!$L$7:$L$2006,"已完成")</f>
        <v>64</v>
      </c>
      <c r="H26" s="80" t="n">
        <f aca="false">F26-G26</f>
        <v>3</v>
      </c>
      <c r="I26" s="80" t="n">
        <f aca="false">COUNTIFS(工单台账!$H$7:$H$2006,$E26,工单台账!$B$7:$B$2006,"&gt;="&amp;$B$30,工单台账!$B$7:$B$2006,"&lt;="&amp;$C$30,工单台账!$R$7:$R$2006,"非常满意")+COUNTIFS(工单台账!$I$7:$I$2006,$E26,工单台账!$B$7:$B$2006,"&gt;="&amp;$B$30,工单台账!$B$7:$B$2006,"&lt;="&amp;$C$30,工单台账!$R$7:$R$2006,"非常满意")</f>
        <v>52</v>
      </c>
      <c r="J26" s="80" t="n">
        <f aca="false">COUNTIFS(工单台账!$H$7:$H$2006,$E26,工单台账!$B$7:$B$2006,"&gt;="&amp;$B$30,工单台账!$B$7:$B$2006,"&lt;="&amp;$C$30,工单台账!$R$7:$R$2006,"满意")+COUNTIFS(工单台账!$I$7:$I$2006,$E26,工单台账!$B$7:$B$2006,"&gt;="&amp;$B$30,工单台账!$B$7:$B$2006,"&lt;="&amp;$C$30,工单台账!$R$7:$R$2006,"满意")</f>
        <v>2</v>
      </c>
      <c r="K26" s="80" t="n">
        <f aca="false">COUNTIFS(工单台账!$H$7:$H$2006,$E26,工单台账!$B$7:$B$2006,"&gt;="&amp;$B$30,工单台账!$B$7:$B$2006,"&lt;="&amp;$C$30,工单台账!$R$7:$R$2006,"一般")+COUNTIFS(工单台账!$I$7:$I$2006,$E26,工单台账!$B$7:$B$2006,"&gt;="&amp;$B$30,工单台账!$B$7:$B$2006,"&lt;="&amp;$C$30,工单台账!$R$7:$R$2006,"一般")</f>
        <v>1</v>
      </c>
      <c r="L26" s="80" t="n">
        <f aca="false">COUNTIFS(工单台账!$H$7:$H$2006,$E26,工单台账!$B$7:$B$2006,"&gt;="&amp;$B$30,工单台账!$B$7:$B$2006,"&lt;="&amp;$C$30,工单台账!$R$7:$R$2006,"不满意")+COUNTIFS(工单台账!$I$7:$I$2006,$E26,工单台账!$B$7:$B$2006,"&gt;="&amp;$B$30,工单台账!$B$7:$B$2006,"&lt;="&amp;$C$30,工单台账!$R$7:$R$2006,"不满意")</f>
        <v>0</v>
      </c>
      <c r="M26" s="80" t="n">
        <f aca="false">SUM(I26:L26)</f>
        <v>55</v>
      </c>
      <c r="N26" s="80" t="n">
        <f aca="false">IF(M26=0,"",ROUND((I26*100+J26*80+K26*60)/M26,1))</f>
        <v>98.5</v>
      </c>
      <c r="O26" s="80" t="n">
        <f aca="false">IF(E26="",-1,G26*1000+F26+(5-0)/10)</f>
        <v>64067.5</v>
      </c>
      <c r="P26" s="80" t="n">
        <f aca="false">RANK(O26,$O$26:$O$30)</f>
        <v>1</v>
      </c>
    </row>
    <row r="27" customFormat="false" ht="18" hidden="false" customHeight="true" outlineLevel="0" collapsed="false">
      <c r="A27" s="80" t="s">
        <v>516</v>
      </c>
      <c r="B27" s="84" t="n">
        <f aca="false">$B$6-WEEKDAY($B$6,2)+1</f>
        <v>45782</v>
      </c>
      <c r="C27" s="84" t="n">
        <f aca="false">B27+6</f>
        <v>45788</v>
      </c>
      <c r="E27" s="80" t="str">
        <f aca="false">A10&amp;""</f>
        <v>李师傅</v>
      </c>
      <c r="F27" s="80" t="n">
        <f aca="false">COUNTIFS(工单台账!$H$7:$H$2006,$E27,工单台账!$B$7:$B$2006,"&gt;="&amp;$B$30,工单台账!$B$7:$B$2006,"&lt;="&amp;$C$30)+COUNTIFS(工单台账!$I$7:$I$2006,$E27,工单台账!$B$7:$B$2006,"&gt;="&amp;$B$30,工单台账!$B$7:$B$2006,"&lt;="&amp;$C$30)</f>
        <v>40</v>
      </c>
      <c r="G27" s="80" t="n">
        <f aca="false">COUNTIFS(工单台账!$H$7:$H$2006,$E27,工单台账!$B$7:$B$2006,"&gt;="&amp;$B$30,工单台账!$B$7:$B$2006,"&lt;="&amp;$C$30,工单台账!$L$7:$L$2006,"已完成")+COUNTIFS(工单台账!$I$7:$I$2006,$E27,工单台账!$B$7:$B$2006,"&gt;="&amp;$B$30,工单台账!$B$7:$B$2006,"&lt;="&amp;$C$30,工单台账!$L$7:$L$2006,"已完成")</f>
        <v>33</v>
      </c>
      <c r="H27" s="80" t="n">
        <f aca="false">F27-G27</f>
        <v>7</v>
      </c>
      <c r="I27" s="80" t="n">
        <f aca="false">COUNTIFS(工单台账!$H$7:$H$2006,$E27,工单台账!$B$7:$B$2006,"&gt;="&amp;$B$30,工单台账!$B$7:$B$2006,"&lt;="&amp;$C$30,工单台账!$R$7:$R$2006,"非常满意")+COUNTIFS(工单台账!$I$7:$I$2006,$E27,工单台账!$B$7:$B$2006,"&gt;="&amp;$B$30,工单台账!$B$7:$B$2006,"&lt;="&amp;$C$30,工单台账!$R$7:$R$2006,"非常满意")</f>
        <v>32</v>
      </c>
      <c r="J27" s="80" t="n">
        <f aca="false">COUNTIFS(工单台账!$H$7:$H$2006,$E27,工单台账!$B$7:$B$2006,"&gt;="&amp;$B$30,工单台账!$B$7:$B$2006,"&lt;="&amp;$C$30,工单台账!$R$7:$R$2006,"满意")+COUNTIFS(工单台账!$I$7:$I$2006,$E27,工单台账!$B$7:$B$2006,"&gt;="&amp;$B$30,工单台账!$B$7:$B$2006,"&lt;="&amp;$C$30,工单台账!$R$7:$R$2006,"满意")</f>
        <v>4</v>
      </c>
      <c r="K27" s="80" t="n">
        <f aca="false">COUNTIFS(工单台账!$H$7:$H$2006,$E27,工单台账!$B$7:$B$2006,"&gt;="&amp;$B$30,工单台账!$B$7:$B$2006,"&lt;="&amp;$C$30,工单台账!$R$7:$R$2006,"一般")+COUNTIFS(工单台账!$I$7:$I$2006,$E27,工单台账!$B$7:$B$2006,"&gt;="&amp;$B$30,工单台账!$B$7:$B$2006,"&lt;="&amp;$C$30,工单台账!$R$7:$R$2006,"一般")</f>
        <v>0</v>
      </c>
      <c r="L27" s="80" t="n">
        <f aca="false">COUNTIFS(工单台账!$H$7:$H$2006,$E27,工单台账!$B$7:$B$2006,"&gt;="&amp;$B$30,工单台账!$B$7:$B$2006,"&lt;="&amp;$C$30,工单台账!$R$7:$R$2006,"不满意")+COUNTIFS(工单台账!$I$7:$I$2006,$E27,工单台账!$B$7:$B$2006,"&gt;="&amp;$B$30,工单台账!$B$7:$B$2006,"&lt;="&amp;$C$30,工单台账!$R$7:$R$2006,"不满意")</f>
        <v>0</v>
      </c>
      <c r="M27" s="80" t="n">
        <f aca="false">SUM(I27:L27)</f>
        <v>36</v>
      </c>
      <c r="N27" s="80" t="n">
        <f aca="false">IF(M27=0,"",ROUND((I27*100+J27*80+K27*60)/M27,1))</f>
        <v>97.8</v>
      </c>
      <c r="O27" s="80" t="n">
        <f aca="false">IF(E27="",-1,G27*1000+F27+(5-1)/10)</f>
        <v>33040.4</v>
      </c>
      <c r="P27" s="80" t="n">
        <f aca="false">RANK(O27,$O$26:$O$30)</f>
        <v>2</v>
      </c>
    </row>
    <row r="28" customFormat="false" ht="18" hidden="false" customHeight="true" outlineLevel="0" collapsed="false">
      <c r="A28" s="80" t="s">
        <v>458</v>
      </c>
      <c r="B28" s="84" t="n">
        <f aca="false">DATE(YEAR($B$6),MONTH($B$6),1)</f>
        <v>45778</v>
      </c>
      <c r="C28" s="84" t="n">
        <f aca="false">DATE(YEAR($B$6),MONTH($B$6)+1,0)</f>
        <v>45808</v>
      </c>
      <c r="E28" s="80" t="str">
        <f aca="false">A11&amp;""</f>
        <v>王师傅</v>
      </c>
      <c r="F28" s="80" t="n">
        <f aca="false">COUNTIFS(工单台账!$H$7:$H$2006,$E28,工单台账!$B$7:$B$2006,"&gt;="&amp;$B$30,工单台账!$B$7:$B$2006,"&lt;="&amp;$C$30)+COUNTIFS(工单台账!$I$7:$I$2006,$E28,工单台账!$B$7:$B$2006,"&gt;="&amp;$B$30,工单台账!$B$7:$B$2006,"&lt;="&amp;$C$30)</f>
        <v>8</v>
      </c>
      <c r="G28" s="80" t="n">
        <f aca="false">COUNTIFS(工单台账!$H$7:$H$2006,$E28,工单台账!$B$7:$B$2006,"&gt;="&amp;$B$30,工单台账!$B$7:$B$2006,"&lt;="&amp;$C$30,工单台账!$L$7:$L$2006,"已完成")+COUNTIFS(工单台账!$I$7:$I$2006,$E28,工单台账!$B$7:$B$2006,"&gt;="&amp;$B$30,工单台账!$B$7:$B$2006,"&lt;="&amp;$C$30,工单台账!$L$7:$L$2006,"已完成")</f>
        <v>7</v>
      </c>
      <c r="H28" s="80" t="n">
        <f aca="false">F28-G28</f>
        <v>1</v>
      </c>
      <c r="I28" s="80" t="n">
        <f aca="false">COUNTIFS(工单台账!$H$7:$H$2006,$E28,工单台账!$B$7:$B$2006,"&gt;="&amp;$B$30,工单台账!$B$7:$B$2006,"&lt;="&amp;$C$30,工单台账!$R$7:$R$2006,"非常满意")+COUNTIFS(工单台账!$I$7:$I$2006,$E28,工单台账!$B$7:$B$2006,"&gt;="&amp;$B$30,工单台账!$B$7:$B$2006,"&lt;="&amp;$C$30,工单台账!$R$7:$R$2006,"非常满意")</f>
        <v>3</v>
      </c>
      <c r="J28" s="80" t="n">
        <f aca="false">COUNTIFS(工单台账!$H$7:$H$2006,$E28,工单台账!$B$7:$B$2006,"&gt;="&amp;$B$30,工单台账!$B$7:$B$2006,"&lt;="&amp;$C$30,工单台账!$R$7:$R$2006,"满意")+COUNTIFS(工单台账!$I$7:$I$2006,$E28,工单台账!$B$7:$B$2006,"&gt;="&amp;$B$30,工单台账!$B$7:$B$2006,"&lt;="&amp;$C$30,工单台账!$R$7:$R$2006,"满意")</f>
        <v>1</v>
      </c>
      <c r="K28" s="80" t="n">
        <f aca="false">COUNTIFS(工单台账!$H$7:$H$2006,$E28,工单台账!$B$7:$B$2006,"&gt;="&amp;$B$30,工单台账!$B$7:$B$2006,"&lt;="&amp;$C$30,工单台账!$R$7:$R$2006,"一般")+COUNTIFS(工单台账!$I$7:$I$2006,$E28,工单台账!$B$7:$B$2006,"&gt;="&amp;$B$30,工单台账!$B$7:$B$2006,"&lt;="&amp;$C$30,工单台账!$R$7:$R$2006,"一般")</f>
        <v>0</v>
      </c>
      <c r="L28" s="80" t="n">
        <f aca="false">COUNTIFS(工单台账!$H$7:$H$2006,$E28,工单台账!$B$7:$B$2006,"&gt;="&amp;$B$30,工单台账!$B$7:$B$2006,"&lt;="&amp;$C$30,工单台账!$R$7:$R$2006,"不满意")+COUNTIFS(工单台账!$I$7:$I$2006,$E28,工单台账!$B$7:$B$2006,"&gt;="&amp;$B$30,工单台账!$B$7:$B$2006,"&lt;="&amp;$C$30,工单台账!$R$7:$R$2006,"不满意")</f>
        <v>0</v>
      </c>
      <c r="M28" s="80" t="n">
        <f aca="false">SUM(I28:L28)</f>
        <v>4</v>
      </c>
      <c r="N28" s="80" t="n">
        <f aca="false">IF(M28=0,"",ROUND((I28*100+J28*80+K28*60)/M28,1))</f>
        <v>95</v>
      </c>
      <c r="O28" s="80" t="n">
        <f aca="false">IF(E28="",-1,G28*1000+F28+(5-2)/10)</f>
        <v>7008.3</v>
      </c>
      <c r="P28" s="80" t="n">
        <f aca="false">RANK(O28,$O$26:$O$30)</f>
        <v>5</v>
      </c>
    </row>
    <row r="29" customFormat="false" ht="18" hidden="false" customHeight="true" outlineLevel="0" collapsed="false">
      <c r="A29" s="80" t="s">
        <v>517</v>
      </c>
      <c r="B29" s="84" t="n">
        <f aca="false">DATE(2000,1,1)</f>
        <v>36526</v>
      </c>
      <c r="C29" s="84" t="n">
        <f aca="false">$B$6</f>
        <v>45784</v>
      </c>
      <c r="E29" s="80" t="str">
        <f aca="false">A12&amp;""</f>
        <v>陈师傅</v>
      </c>
      <c r="F29" s="80" t="n">
        <f aca="false">COUNTIFS(工单台账!$H$7:$H$2006,$E29,工单台账!$B$7:$B$2006,"&gt;="&amp;$B$30,工单台账!$B$7:$B$2006,"&lt;="&amp;$C$30)+COUNTIFS(工单台账!$I$7:$I$2006,$E29,工单台账!$B$7:$B$2006,"&gt;="&amp;$B$30,工单台账!$B$7:$B$2006,"&lt;="&amp;$C$30)</f>
        <v>16</v>
      </c>
      <c r="G29" s="80" t="n">
        <f aca="false">COUNTIFS(工单台账!$H$7:$H$2006,$E29,工单台账!$B$7:$B$2006,"&gt;="&amp;$B$30,工单台账!$B$7:$B$2006,"&lt;="&amp;$C$30,工单台账!$L$7:$L$2006,"已完成")+COUNTIFS(工单台账!$I$7:$I$2006,$E29,工单台账!$B$7:$B$2006,"&gt;="&amp;$B$30,工单台账!$B$7:$B$2006,"&lt;="&amp;$C$30,工单台账!$L$7:$L$2006,"已完成")</f>
        <v>12</v>
      </c>
      <c r="H29" s="80" t="n">
        <f aca="false">F29-G29</f>
        <v>4</v>
      </c>
      <c r="I29" s="80" t="n">
        <f aca="false">COUNTIFS(工单台账!$H$7:$H$2006,$E29,工单台账!$B$7:$B$2006,"&gt;="&amp;$B$30,工单台账!$B$7:$B$2006,"&lt;="&amp;$C$30,工单台账!$R$7:$R$2006,"非常满意")+COUNTIFS(工单台账!$I$7:$I$2006,$E29,工单台账!$B$7:$B$2006,"&gt;="&amp;$B$30,工单台账!$B$7:$B$2006,"&lt;="&amp;$C$30,工单台账!$R$7:$R$2006,"非常满意")</f>
        <v>4</v>
      </c>
      <c r="J29" s="80" t="n">
        <f aca="false">COUNTIFS(工单台账!$H$7:$H$2006,$E29,工单台账!$B$7:$B$2006,"&gt;="&amp;$B$30,工单台账!$B$7:$B$2006,"&lt;="&amp;$C$30,工单台账!$R$7:$R$2006,"满意")+COUNTIFS(工单台账!$I$7:$I$2006,$E29,工单台账!$B$7:$B$2006,"&gt;="&amp;$B$30,工单台账!$B$7:$B$2006,"&lt;="&amp;$C$30,工单台账!$R$7:$R$2006,"满意")</f>
        <v>1</v>
      </c>
      <c r="K29" s="80" t="n">
        <f aca="false">COUNTIFS(工单台账!$H$7:$H$2006,$E29,工单台账!$B$7:$B$2006,"&gt;="&amp;$B$30,工单台账!$B$7:$B$2006,"&lt;="&amp;$C$30,工单台账!$R$7:$R$2006,"一般")+COUNTIFS(工单台账!$I$7:$I$2006,$E29,工单台账!$B$7:$B$2006,"&gt;="&amp;$B$30,工单台账!$B$7:$B$2006,"&lt;="&amp;$C$30,工单台账!$R$7:$R$2006,"一般")</f>
        <v>0</v>
      </c>
      <c r="L29" s="80" t="n">
        <f aca="false">COUNTIFS(工单台账!$H$7:$H$2006,$E29,工单台账!$B$7:$B$2006,"&gt;="&amp;$B$30,工单台账!$B$7:$B$2006,"&lt;="&amp;$C$30,工单台账!$R$7:$R$2006,"不满意")+COUNTIFS(工单台账!$I$7:$I$2006,$E29,工单台账!$B$7:$B$2006,"&gt;="&amp;$B$30,工单台账!$B$7:$B$2006,"&lt;="&amp;$C$30,工单台账!$R$7:$R$2006,"不满意")</f>
        <v>0</v>
      </c>
      <c r="M29" s="80" t="n">
        <f aca="false">SUM(I29:L29)</f>
        <v>5</v>
      </c>
      <c r="N29" s="80" t="n">
        <f aca="false">IF(M29=0,"",ROUND((I29*100+J29*80+K29*60)/M29,1))</f>
        <v>96</v>
      </c>
      <c r="O29" s="80" t="n">
        <f aca="false">IF(E29="",-1,G29*1000+F29+(5-3)/10)</f>
        <v>12016.2</v>
      </c>
      <c r="P29" s="80" t="n">
        <f aca="false">RANK(O29,$O$26:$O$30)</f>
        <v>3</v>
      </c>
    </row>
    <row r="30" customFormat="false" ht="18" hidden="false" customHeight="true" outlineLevel="0" collapsed="false">
      <c r="A30" s="80" t="s">
        <v>526</v>
      </c>
      <c r="B30" s="84" t="n">
        <f aca="false">INDEX(B26:B29,MATCH(仪表盘!$E$2,A26:A29,0))</f>
        <v>45778</v>
      </c>
      <c r="C30" s="84" t="n">
        <f aca="false">INDEX(C26:C29,MATCH(仪表盘!$E$2,A26:A29,0))</f>
        <v>45808</v>
      </c>
      <c r="E30" s="80" t="str">
        <f aca="false">A13&amp;""</f>
        <v>刘师傅</v>
      </c>
      <c r="F30" s="80" t="n">
        <f aca="false">COUNTIFS(工单台账!$H$7:$H$2006,$E30,工单台账!$B$7:$B$2006,"&gt;="&amp;$B$30,工单台账!$B$7:$B$2006,"&lt;="&amp;$C$30)+COUNTIFS(工单台账!$I$7:$I$2006,$E30,工单台账!$B$7:$B$2006,"&gt;="&amp;$B$30,工单台账!$B$7:$B$2006,"&lt;="&amp;$C$30)</f>
        <v>13</v>
      </c>
      <c r="G30" s="80" t="n">
        <f aca="false">COUNTIFS(工单台账!$H$7:$H$2006,$E30,工单台账!$B$7:$B$2006,"&gt;="&amp;$B$30,工单台账!$B$7:$B$2006,"&lt;="&amp;$C$30,工单台账!$L$7:$L$2006,"已完成")+COUNTIFS(工单台账!$I$7:$I$2006,$E30,工单台账!$B$7:$B$2006,"&gt;="&amp;$B$30,工单台账!$B$7:$B$2006,"&lt;="&amp;$C$30,工单台账!$L$7:$L$2006,"已完成")</f>
        <v>10</v>
      </c>
      <c r="H30" s="80" t="n">
        <f aca="false">F30-G30</f>
        <v>3</v>
      </c>
      <c r="I30" s="80" t="n">
        <f aca="false">COUNTIFS(工单台账!$H$7:$H$2006,$E30,工单台账!$B$7:$B$2006,"&gt;="&amp;$B$30,工单台账!$B$7:$B$2006,"&lt;="&amp;$C$30,工单台账!$R$7:$R$2006,"非常满意")+COUNTIFS(工单台账!$I$7:$I$2006,$E30,工单台账!$B$7:$B$2006,"&gt;="&amp;$B$30,工单台账!$B$7:$B$2006,"&lt;="&amp;$C$30,工单台账!$R$7:$R$2006,"非常满意")</f>
        <v>8</v>
      </c>
      <c r="J30" s="80" t="n">
        <f aca="false">COUNTIFS(工单台账!$H$7:$H$2006,$E30,工单台账!$B$7:$B$2006,"&gt;="&amp;$B$30,工单台账!$B$7:$B$2006,"&lt;="&amp;$C$30,工单台账!$R$7:$R$2006,"满意")+COUNTIFS(工单台账!$I$7:$I$2006,$E30,工单台账!$B$7:$B$2006,"&gt;="&amp;$B$30,工单台账!$B$7:$B$2006,"&lt;="&amp;$C$30,工单台账!$R$7:$R$2006,"满意")</f>
        <v>1</v>
      </c>
      <c r="K30" s="80" t="n">
        <f aca="false">COUNTIFS(工单台账!$H$7:$H$2006,$E30,工单台账!$B$7:$B$2006,"&gt;="&amp;$B$30,工单台账!$B$7:$B$2006,"&lt;="&amp;$C$30,工单台账!$R$7:$R$2006,"一般")+COUNTIFS(工单台账!$I$7:$I$2006,$E30,工单台账!$B$7:$B$2006,"&gt;="&amp;$B$30,工单台账!$B$7:$B$2006,"&lt;="&amp;$C$30,工单台账!$R$7:$R$2006,"一般")</f>
        <v>0</v>
      </c>
      <c r="L30" s="80" t="n">
        <f aca="false">COUNTIFS(工单台账!$H$7:$H$2006,$E30,工单台账!$B$7:$B$2006,"&gt;="&amp;$B$30,工单台账!$B$7:$B$2006,"&lt;="&amp;$C$30,工单台账!$R$7:$R$2006,"不满意")+COUNTIFS(工单台账!$I$7:$I$2006,$E30,工单台账!$B$7:$B$2006,"&gt;="&amp;$B$30,工单台账!$B$7:$B$2006,"&lt;="&amp;$C$30,工单台账!$R$7:$R$2006,"不满意")</f>
        <v>0</v>
      </c>
      <c r="M30" s="80" t="n">
        <f aca="false">SUM(I30:L30)</f>
        <v>9</v>
      </c>
      <c r="N30" s="80" t="n">
        <f aca="false">IF(M30=0,"",ROUND((I30*100+J30*80+K30*60)/M30,1))</f>
        <v>97.8</v>
      </c>
      <c r="O30" s="80" t="n">
        <f aca="false">IF(E30="",-1,G30*1000+F30+(5-4)/10)</f>
        <v>10013.1</v>
      </c>
      <c r="P30" s="80" t="n">
        <f aca="false">RANK(O30,$O$26:$O$30)</f>
        <v>4</v>
      </c>
    </row>
  </sheetData>
  <dataValidations count="2">
    <dataValidation allowBlank="true" error="请输入日期，例如 2025-05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6"/>
    <col collapsed="false" customWidth="true" hidden="false" outlineLevel="0" max="3" min="3" style="1" width="78"/>
    <col collapsed="false" customWidth="true" hidden="false" outlineLevel="0" max="4" min="4" style="1" width="2.5"/>
  </cols>
  <sheetData>
    <row r="2" customFormat="false" ht="39.75" hidden="false" customHeight="true" outlineLevel="0" collapsed="false">
      <c r="B2" s="85" t="s">
        <v>527</v>
      </c>
    </row>
    <row r="3" customFormat="false" ht="25.5" hidden="false" customHeight="true" outlineLevel="0" collapsed="false">
      <c r="B3" s="86" t="s">
        <v>528</v>
      </c>
      <c r="C3" s="86"/>
    </row>
    <row r="4" customFormat="false" ht="12" hidden="false" customHeight="true" outlineLevel="0" collapsed="false"/>
    <row r="5" customFormat="false" ht="30" hidden="false" customHeight="true" outlineLevel="0" collapsed="false">
      <c r="B5" s="87" t="s">
        <v>529</v>
      </c>
      <c r="C5" s="87"/>
    </row>
    <row r="6" customFormat="false" ht="46.5" hidden="false" customHeight="true" outlineLevel="0" collapsed="false">
      <c r="B6" s="88" t="s">
        <v>530</v>
      </c>
      <c r="C6" s="89" t="s">
        <v>531</v>
      </c>
    </row>
    <row r="7" customFormat="false" ht="46.5" hidden="false" customHeight="true" outlineLevel="0" collapsed="false">
      <c r="B7" s="88" t="s">
        <v>532</v>
      </c>
      <c r="C7" s="89" t="s">
        <v>533</v>
      </c>
    </row>
    <row r="8" customFormat="false" ht="28.5" hidden="false" customHeight="true" outlineLevel="0" collapsed="false">
      <c r="B8" s="88" t="s">
        <v>534</v>
      </c>
      <c r="C8" s="89" t="s">
        <v>535</v>
      </c>
    </row>
    <row r="9" customFormat="false" ht="28.5" hidden="false" customHeight="true" outlineLevel="0" collapsed="false">
      <c r="B9" s="88" t="s">
        <v>536</v>
      </c>
      <c r="C9" s="89" t="s">
        <v>537</v>
      </c>
    </row>
    <row r="10" customFormat="false" ht="28.5" hidden="false" customHeight="true" outlineLevel="0" collapsed="false">
      <c r="B10" s="88" t="s">
        <v>538</v>
      </c>
      <c r="C10" s="89" t="s">
        <v>539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87" t="s">
        <v>540</v>
      </c>
      <c r="C12" s="87"/>
    </row>
    <row r="13" customFormat="false" ht="28.5" hidden="false" customHeight="true" outlineLevel="0" collapsed="false">
      <c r="B13" s="88" t="s">
        <v>541</v>
      </c>
      <c r="C13" s="89" t="s">
        <v>542</v>
      </c>
    </row>
    <row r="14" customFormat="false" ht="65.25" hidden="false" customHeight="true" outlineLevel="0" collapsed="false">
      <c r="B14" s="88" t="s">
        <v>543</v>
      </c>
      <c r="C14" s="89" t="s">
        <v>544</v>
      </c>
    </row>
    <row r="15" customFormat="false" ht="28.5" hidden="false" customHeight="true" outlineLevel="0" collapsed="false">
      <c r="B15" s="88" t="s">
        <v>545</v>
      </c>
      <c r="C15" s="89" t="s">
        <v>546</v>
      </c>
    </row>
    <row r="16" customFormat="false" ht="28.5" hidden="false" customHeight="true" outlineLevel="0" collapsed="false">
      <c r="B16" s="88" t="s">
        <v>505</v>
      </c>
      <c r="C16" s="89" t="s">
        <v>547</v>
      </c>
    </row>
    <row r="17" customFormat="false" ht="12" hidden="false" customHeight="true" outlineLevel="0" collapsed="false"/>
    <row r="18" customFormat="false" ht="30" hidden="false" customHeight="true" outlineLevel="0" collapsed="false">
      <c r="B18" s="87" t="s">
        <v>548</v>
      </c>
      <c r="C18" s="87"/>
    </row>
    <row r="19" customFormat="false" ht="28.5" hidden="false" customHeight="true" outlineLevel="0" collapsed="false">
      <c r="B19" s="88" t="s">
        <v>549</v>
      </c>
      <c r="C19" s="89" t="s">
        <v>550</v>
      </c>
    </row>
    <row r="20" customFormat="false" ht="46.5" hidden="false" customHeight="true" outlineLevel="0" collapsed="false">
      <c r="B20" s="88" t="s">
        <v>551</v>
      </c>
      <c r="C20" s="89" t="s">
        <v>552</v>
      </c>
    </row>
    <row r="21" customFormat="false" ht="46.5" hidden="false" customHeight="true" outlineLevel="0" collapsed="false">
      <c r="B21" s="88" t="s">
        <v>553</v>
      </c>
      <c r="C21" s="89" t="s">
        <v>554</v>
      </c>
    </row>
    <row r="22" customFormat="false" ht="12" hidden="false" customHeight="true" outlineLevel="0" collapsed="false"/>
    <row r="23" customFormat="false" ht="30" hidden="false" customHeight="true" outlineLevel="0" collapsed="false">
      <c r="B23" s="87" t="s">
        <v>555</v>
      </c>
      <c r="C23" s="87"/>
    </row>
    <row r="24" customFormat="false" ht="28.5" hidden="false" customHeight="true" outlineLevel="0" collapsed="false">
      <c r="B24" s="90" t="s">
        <v>556</v>
      </c>
      <c r="C24" s="89" t="s">
        <v>557</v>
      </c>
    </row>
    <row r="25" customFormat="false" ht="28.5" hidden="false" customHeight="true" outlineLevel="0" collapsed="false">
      <c r="B25" s="91" t="s">
        <v>558</v>
      </c>
      <c r="C25" s="89" t="s">
        <v>559</v>
      </c>
    </row>
    <row r="26" customFormat="false" ht="28.5" hidden="false" customHeight="true" outlineLevel="0" collapsed="false">
      <c r="B26" s="92" t="s">
        <v>560</v>
      </c>
      <c r="C26" s="89" t="s">
        <v>561</v>
      </c>
    </row>
    <row r="27" customFormat="false" ht="28.5" hidden="false" customHeight="true" outlineLevel="0" collapsed="false">
      <c r="B27" s="93" t="s">
        <v>562</v>
      </c>
      <c r="C27" s="89" t="s">
        <v>563</v>
      </c>
    </row>
    <row r="28" customFormat="false" ht="28.5" hidden="false" customHeight="true" outlineLevel="0" collapsed="false">
      <c r="B28" s="94" t="s">
        <v>564</v>
      </c>
      <c r="C28" s="89" t="s">
        <v>565</v>
      </c>
    </row>
    <row r="29" customFormat="false" ht="12" hidden="false" customHeight="true" outlineLevel="0" collapsed="false"/>
    <row r="30" customFormat="false" ht="30" hidden="false" customHeight="true" outlineLevel="0" collapsed="false">
      <c r="B30" s="87" t="s">
        <v>566</v>
      </c>
      <c r="C30" s="87"/>
    </row>
    <row r="31" customFormat="false" ht="28.5" hidden="false" customHeight="true" outlineLevel="0" collapsed="false">
      <c r="B31" s="88" t="s">
        <v>567</v>
      </c>
      <c r="C31" s="89" t="s">
        <v>568</v>
      </c>
    </row>
    <row r="32" customFormat="false" ht="28.5" hidden="false" customHeight="true" outlineLevel="0" collapsed="false">
      <c r="B32" s="88" t="s">
        <v>569</v>
      </c>
      <c r="C32" s="89" t="s">
        <v>570</v>
      </c>
    </row>
    <row r="33" customFormat="false" ht="28.5" hidden="false" customHeight="true" outlineLevel="0" collapsed="false">
      <c r="B33" s="88" t="s">
        <v>571</v>
      </c>
      <c r="C33" s="89" t="s">
        <v>572</v>
      </c>
    </row>
    <row r="34" customFormat="false" ht="28.5" hidden="false" customHeight="true" outlineLevel="0" collapsed="false">
      <c r="B34" s="88" t="s">
        <v>573</v>
      </c>
      <c r="C34" s="89" t="s">
        <v>574</v>
      </c>
    </row>
  </sheetData>
  <mergeCells count="6">
    <mergeCell ref="B3:C3"/>
    <mergeCell ref="B5:C5"/>
    <mergeCell ref="B12:C12"/>
    <mergeCell ref="B18:C18"/>
    <mergeCell ref="B23:C23"/>
    <mergeCell ref="B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2026-10-26T00:01:09Z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