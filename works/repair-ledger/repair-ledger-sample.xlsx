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工单台账" sheetId="2" state="visible" r:id="rId4"/>
    <sheet name="仪表盘" sheetId="3" state="visible" r:id="rId5"/>
    <sheet name="单元查询" sheetId="4" state="visible" r:id="rId6"/>
    <sheet name="入户维修评价表" sheetId="5" state="visible" r:id="rId7"/>
    <sheet name="设置" sheetId="6" state="visible" r:id="rId8"/>
  </sheets>
  <definedNames>
    <definedName function="false" hidden="false" localSheetId="2" name="_xlnm.Print_Area" vbProcedure="false">仪表盘!$A$1:$N$93</definedName>
    <definedName function="false" hidden="false" localSheetId="0" name="_xlnm.Print_Area" vbProcedure="false">使用说明!$A$1:$D$36</definedName>
    <definedName function="false" hidden="false" localSheetId="4" name="_xlnm.Print_Area" vbProcedure="false">入户维修评价表!$A$1:$F$30</definedName>
    <definedName function="false" hidden="false" localSheetId="3" name="_xlnm.Print_Area" vbProcedure="false">单元查询!$A$1:$M$29</definedName>
    <definedName function="false" hidden="false" localSheetId="1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<sst xmlns="http://schemas.openxmlformats.org/spreadsheetml/2006/main" count="1666" uniqueCount="604">
  <si>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</si>
  <si>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</si>
  <si>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</si>
  <si>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</si>
  <si>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</si>
  <si>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</si>
  <si>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</si>
  <si>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</si>
  <si>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</si>
  <si>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</si>
  <si>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</si>
  <si>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</si>
  <si>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评价表收回后录入「维修评价」「业主意见与建议」。仪表盘第一部分列出未结和重复报修的住户，用来排回访。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</si>
  <si>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</si>
  <si>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</si>
  <si>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</si>
  <si>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</si>
  <si>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</si>
  <si>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</si>
  <si>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</si>
  <si>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入户维修评价表</t>
  </si>
  <si>
    <t xml:space="preserve">上门时打印，业主验收签字。栏目和台账对应，回来按单据编号录入。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</si>
  <si>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</si>
  <si>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</si>
  <si>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</si>
  <si>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</si>
  <si>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</si>
  <si>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</si>
  <si>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</si>
  <si>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</si>
  <si>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</si>
  <si>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</si>
  <si>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</si>
  <si>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</si>
  <si>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</si>
  <si>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</si>
  <si>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</si>
  <si>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</si>
  <si>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</si>
  <si>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</si>
  <si>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</si>
  <si>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</si>
  <si>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</si>
  <si>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</si>
  <si>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</si>
  <si>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</si>
  <si>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</si>
  <si>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</si>
  <si>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</si>
  <si>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</si>
  <si>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</si>
  <si>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</si>
  <si>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</si>
  <si>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</si>
  <si>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</si>
  <si>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</si>
  <si>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</si>
  <si>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</si>
  <si>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</si>
  <si>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</si>
  <si>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</si>
  <si>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</si>
  <si>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</si>
  <si>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</si>
  <si>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</si>
  <si>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</si>
  <si>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</si>
  <si>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</si>
  <si>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</si>
  <si>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</si>
  <si>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</si>
  <si>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</si>
  <si>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</si>
  <si>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</si>
  <si>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</si>
  <si>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</si>
  <si>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</si>
  <si>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</si>
  <si>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</si>
  <si>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</si>
  <si>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</si>
  <si>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</si>
  <si>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</si>
  <si>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</si>
  <si>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</si>
  <si>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空调暖通</t>
  </si>
  <si>
    <t xml:space="preserve">张师傅</t>
  </si>
  <si>
    <t xml:space="preserve">李师傅</t>
  </si>
  <si>
    <t xml:space="preserve">优先2</t>
  </si>
  <si>
    <t xml:space="preserve">已完成</t>
  </si>
  <si>
    <t xml:space="preserve">非常满意</t>
  </si>
  <si>
    <t xml:space="preserve">6栋</t>
  </si>
  <si>
    <t xml:space="preserve">2504</t>
  </si>
  <si>
    <t xml:space="preserve">刘师傅</t>
  </si>
  <si>
    <t xml:space="preserve">跟进中</t>
  </si>
  <si>
    <t xml:space="preserve">5栋</t>
  </si>
  <si>
    <t xml:space="preserve">503</t>
  </si>
  <si>
    <t xml:space="preserve">渗漏防水</t>
  </si>
  <si>
    <t xml:space="preserve">7栋</t>
  </si>
  <si>
    <t xml:space="preserve">2904</t>
  </si>
  <si>
    <t xml:space="preserve">门窗五金</t>
  </si>
  <si>
    <t xml:space="preserve">满意</t>
  </si>
  <si>
    <t xml:space="preserve">2004</t>
  </si>
  <si>
    <t xml:space="preserve">一般</t>
  </si>
  <si>
    <t xml:space="preserve">2501</t>
  </si>
  <si>
    <t xml:space="preserve">701</t>
  </si>
  <si>
    <t xml:space="preserve">墙地饰面</t>
  </si>
  <si>
    <t xml:space="preserve">优先1</t>
  </si>
  <si>
    <t xml:space="preserve">1602</t>
  </si>
  <si>
    <t xml:space="preserve">优先3</t>
  </si>
  <si>
    <t xml:space="preserve">504</t>
  </si>
  <si>
    <t xml:space="preserve">/</t>
  </si>
  <si>
    <t xml:space="preserve">304</t>
  </si>
  <si>
    <t xml:space="preserve">优先6</t>
  </si>
  <si>
    <t xml:space="preserve">10栋</t>
  </si>
  <si>
    <t xml:space="preserve">901</t>
  </si>
  <si>
    <t xml:space="preserve">9栋</t>
  </si>
  <si>
    <t xml:space="preserve">1204</t>
  </si>
  <si>
    <t xml:space="preserve">1栋</t>
  </si>
  <si>
    <t xml:space="preserve">1203</t>
  </si>
  <si>
    <t xml:space="preserve">3101</t>
  </si>
  <si>
    <t xml:space="preserve">电气照明</t>
  </si>
  <si>
    <t xml:space="preserve">1501</t>
  </si>
  <si>
    <t xml:space="preserve">11栋</t>
  </si>
  <si>
    <t xml:space="preserve">1402</t>
  </si>
  <si>
    <t xml:space="preserve">2803</t>
  </si>
  <si>
    <t xml:space="preserve">给排水</t>
  </si>
  <si>
    <t xml:space="preserve">1103</t>
  </si>
  <si>
    <t xml:space="preserve">3栋</t>
  </si>
  <si>
    <t xml:space="preserve">2901</t>
  </si>
  <si>
    <t xml:space="preserve">2栋</t>
  </si>
  <si>
    <t xml:space="preserve">2604</t>
  </si>
  <si>
    <t xml:space="preserve">4栋</t>
  </si>
  <si>
    <t xml:space="preserve">3104</t>
  </si>
  <si>
    <t xml:space="preserve">501</t>
  </si>
  <si>
    <t xml:space="preserve">802</t>
  </si>
  <si>
    <t xml:space="preserve">2701</t>
  </si>
  <si>
    <t xml:space="preserve">已更换开关面板</t>
  </si>
  <si>
    <t xml:space="preserve">公区</t>
  </si>
  <si>
    <t xml:space="preserve">乒乓球位置</t>
  </si>
  <si>
    <t xml:space="preserve">公共区域</t>
  </si>
  <si>
    <t xml:space="preserve">东大门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</si>
  <si>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</si>
  <si>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</si>
  <si>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</si>
  <si>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</si>
  <si>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弱电门禁</t>
  </si>
  <si>
    <t xml:space="preserve">货梯</t>
  </si>
  <si>
    <t xml:space="preserve">肉菜市场</t>
  </si>
  <si>
    <t xml:space="preserve">待跟进</t>
  </si>
  <si>
    <t xml:space="preserve">1层</t>
  </si>
  <si>
    <t xml:space="preserve">健身房旁</t>
  </si>
  <si>
    <t xml:space="preserve">1楼</t>
  </si>
  <si>
    <t xml:space="preserve">大堂</t>
  </si>
  <si>
    <t xml:space="preserve">凉亭</t>
  </si>
  <si>
    <t xml:space="preserve">2301</t>
  </si>
  <si>
    <t xml:space="preserve">燃气厨电</t>
  </si>
  <si>
    <t xml:space="preserve">1201</t>
  </si>
  <si>
    <t xml:space="preserve">201</t>
  </si>
  <si>
    <t xml:space="preserve">2403</t>
  </si>
  <si>
    <t xml:space="preserve">其他</t>
  </si>
  <si>
    <t xml:space="preserve">3304</t>
  </si>
  <si>
    <t xml:space="preserve">2503</t>
  </si>
  <si>
    <t xml:space="preserve">1102</t>
  </si>
  <si>
    <t xml:space="preserve">502</t>
  </si>
  <si>
    <t xml:space="preserve">1004</t>
  </si>
  <si>
    <t xml:space="preserve">1901</t>
  </si>
  <si>
    <t xml:space="preserve">2101</t>
  </si>
  <si>
    <t xml:space="preserve">已加装存水弯</t>
  </si>
  <si>
    <t xml:space="preserve">3302</t>
  </si>
  <si>
    <t xml:space="preserve">2704</t>
  </si>
  <si>
    <t xml:space="preserve">已加贴保温棉</t>
  </si>
  <si>
    <t xml:space="preserve">702</t>
  </si>
  <si>
    <t xml:space="preserve">1301</t>
  </si>
  <si>
    <t xml:space="preserve">946车位</t>
  </si>
  <si>
    <t xml:space="preserve">负一</t>
  </si>
  <si>
    <t xml:space="preserve">已更换新风扇</t>
  </si>
  <si>
    <t xml:space="preserve">919车位</t>
  </si>
  <si>
    <t xml:space="preserve">602</t>
  </si>
  <si>
    <t xml:space="preserve">1904</t>
  </si>
  <si>
    <t xml:space="preserve">2402</t>
  </si>
  <si>
    <t xml:space="preserve">门把手松动</t>
  </si>
  <si>
    <t xml:space="preserve">2203</t>
  </si>
  <si>
    <t xml:space="preserve">2903</t>
  </si>
  <si>
    <t xml:space="preserve">漏保跳闸已复位</t>
  </si>
  <si>
    <t xml:space="preserve">处理及时，点赞</t>
  </si>
  <si>
    <t xml:space="preserve">204</t>
  </si>
  <si>
    <t xml:space="preserve">已重新打胶紧固</t>
  </si>
  <si>
    <t xml:space="preserve">大门</t>
  </si>
  <si>
    <t xml:space="preserve">1304</t>
  </si>
  <si>
    <t xml:space="preserve">3002</t>
  </si>
  <si>
    <t xml:space="preserve">1104</t>
  </si>
  <si>
    <t xml:space="preserve">2304</t>
  </si>
  <si>
    <t xml:space="preserve">1503</t>
  </si>
  <si>
    <t xml:space="preserve">3301</t>
  </si>
  <si>
    <t xml:space="preserve">3204</t>
  </si>
  <si>
    <t xml:space="preserve">303</t>
  </si>
  <si>
    <t xml:space="preserve">商铺</t>
  </si>
  <si>
    <t xml:space="preserve">124</t>
  </si>
  <si>
    <t xml:space="preserve">3303</t>
  </si>
  <si>
    <t xml:space="preserve">2102</t>
  </si>
  <si>
    <t xml:space="preserve">已更换灯珠</t>
  </si>
  <si>
    <t xml:space="preserve">1202</t>
  </si>
  <si>
    <t xml:space="preserve">已更换软管密封圈</t>
  </si>
  <si>
    <t xml:space="preserve">1003</t>
  </si>
  <si>
    <t xml:space="preserve">已清洗消毒</t>
  </si>
  <si>
    <t xml:space="preserve">2802</t>
  </si>
  <si>
    <t xml:space="preserve">已拍照留证，待联系防水单位复查</t>
  </si>
  <si>
    <t xml:space="preserve">254车位</t>
  </si>
  <si>
    <t xml:space="preserve">557车位</t>
  </si>
  <si>
    <t xml:space="preserve">1704</t>
  </si>
  <si>
    <t xml:space="preserve">402</t>
  </si>
  <si>
    <t xml:space="preserve">2002</t>
  </si>
  <si>
    <t xml:space="preserve">3102</t>
  </si>
  <si>
    <t xml:space="preserve">1101</t>
  </si>
  <si>
    <t xml:space="preserve">804</t>
  </si>
  <si>
    <t xml:space="preserve">取消</t>
  </si>
  <si>
    <t xml:space="preserve">202</t>
  </si>
  <si>
    <t xml:space="preserve">已清理点火针</t>
  </si>
  <si>
    <t xml:space="preserve">1502</t>
  </si>
  <si>
    <t xml:space="preserve">待业主确认施工时间后返修</t>
  </si>
  <si>
    <t xml:space="preserve">1603</t>
  </si>
  <si>
    <t xml:space="preserve">2601</t>
  </si>
  <si>
    <t xml:space="preserve">已重新打胶</t>
  </si>
  <si>
    <t xml:space="preserve">已重新接驳固定</t>
  </si>
  <si>
    <t xml:space="preserve">入户门猫眼松动</t>
  </si>
  <si>
    <t xml:space="preserve">203</t>
  </si>
  <si>
    <t xml:space="preserve">已调整钢丝绳</t>
  </si>
  <si>
    <t xml:space="preserve">已压平处理，持续观察</t>
  </si>
  <si>
    <t xml:space="preserve">803</t>
  </si>
  <si>
    <t xml:space="preserve">401</t>
  </si>
  <si>
    <t xml:space="preserve">3203</t>
  </si>
  <si>
    <t xml:space="preserve">2702</t>
  </si>
  <si>
    <t xml:space="preserve">已补充冷媒</t>
  </si>
  <si>
    <t xml:space="preserve">2404</t>
  </si>
  <si>
    <t xml:space="preserve">已更换防臭芯</t>
  </si>
  <si>
    <t xml:space="preserve">603</t>
  </si>
  <si>
    <t xml:space="preserve">1401</t>
  </si>
  <si>
    <t xml:space="preserve">1701</t>
  </si>
  <si>
    <t xml:space="preserve">已更换下水软管</t>
  </si>
  <si>
    <t xml:space="preserve">已重新粘接</t>
  </si>
  <si>
    <t xml:space="preserve">已联系空调厂家售后协同处理</t>
  </si>
  <si>
    <t xml:space="preserve">2804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</si>
  <si>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</si>
  <si>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</si>
  <si>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</si>
  <si>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</si>
  <si>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</si>
  <si>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</si>
  <si>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</si>
  <si>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</si>
  <si>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</si>
  <si>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</si>
  <si>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</si>
  <si>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</si>
  <si>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</si>
  <si>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</si>
  <si>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</si>
  <si>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</si>
  <si>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</si>
  <si>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</si>
  <si>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</si>
  <si>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</si>
  <si>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</si>
  <si>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</si>
  <si>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</si>
  <si>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</si>
  <si>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</si>
  <si>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</si>
  <si>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</si>
  <si>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</si>
  <si>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</si>
  <si>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</si>
  <si>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</si>
  <si>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</si>
  <si>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</si>
  <si>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</si>
  <si>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</si>
  <si>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</si>
  <si>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</si>
  <si>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</si>
  <si>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</si>
  <si>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</si>
  <si>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</si>
  <si>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</si>
  <si>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</si>
  <si>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</si>
  <si>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</si>
  <si>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</si>
  <si>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</si>
  <si>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</si>
  <si>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</si>
  <si>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</si>
  <si>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建发央玺超一级物业服务 · 入户维修评价表</t>
  </si>
  <si>
    <t xml:space="preserve">单据编号：______________________________</t>
  </si>
  <si>
    <t xml:space="preserve">说明：本表用于记录建发央玺超一级物业服务的免费入户维修（耗材费用另计），请业主验收后签字。</t>
  </si>
  <si>
    <t xml:space="preserve">楼栋房号</t>
  </si>
  <si>
    <t xml:space="preserve">　　　　栋　　　　　　室</t>
  </si>
  <si>
    <t xml:space="preserve">业主姓名</t>
  </si>
  <si>
    <t xml:space="preserve">联系电话</t>
  </si>
  <si>
    <t xml:space="preserve">维修日期</t>
  </si>
  <si>
    <t xml:space="preserve">　　　年　　月　　日</t>
  </si>
  <si>
    <t xml:space="preserve">维修人员</t>
  </si>
  <si>
    <t xml:space="preserve">上门时间</t>
  </si>
  <si>
    <t xml:space="preserve">一、维修内容登记</t>
  </si>
  <si>
    <t xml:space="preserve">维修部位及问题描述：</t>
  </si>
  <si>
    <t xml:space="preserve">维修类别：□ 门窗五金　□ 电气照明　□ 给排水　□ 空调暖通　□ 渗漏防水
　　　　　□ 墙地饰面　□ 燃气厨电　□ 弱电门禁　□ 其他 __________</t>
  </si>
  <si>
    <t xml:space="preserve">维修整改结果：</t>
  </si>
  <si>
    <t xml:space="preserve">□ 问题已完全修复　　□ 部分整改，需二次上门　　□ 暂无法处理</t>
  </si>
  <si>
    <t xml:space="preserve">完工时间：____月____日 ____时____分　　□ 需二次上门，预约 ____月____日 ____时</t>
  </si>
  <si>
    <t xml:space="preserve">耗材使用：□ 无需耗材　□ 业主自备　□ 物业代购，金额 ________ 元
耗材明细：______________________________________________</t>
  </si>
  <si>
    <t xml:space="preserve">二、业主满意度及验收评价</t>
  </si>
  <si>
    <t xml:space="preserve">本次入户维修整体评价：</t>
  </si>
  <si>
    <t xml:space="preserve">□ 非常满意　　□ 满意　　□ 一般　　□ 不满意</t>
  </si>
  <si>
    <t xml:space="preserve">业主意见与建议：</t>
  </si>
  <si>
    <t xml:space="preserve">三、签字确认</t>
  </si>
  <si>
    <t xml:space="preserve">业主签字：__________________</t>
  </si>
  <si>
    <t xml:space="preserve">日期：______年______月______日</t>
  </si>
  <si>
    <t xml:space="preserve">维修人员签字：__________________</t>
  </si>
  <si>
    <t xml:space="preserve">物业经理：__________________</t>
  </si>
  <si>
    <t xml:space="preserve">四、回访记录（客服中心填写）</t>
  </si>
  <si>
    <t xml:space="preserve">回访日期：____年___月___日　　回访人：__________　　方式：□ 电话　□ 上门　□ 微信</t>
  </si>
  <si>
    <t xml:space="preserve">回访结果：□ 已解决，业主满意　□ 问题复发，需返修　□ 其他：______________</t>
  </si>
  <si>
    <t xml:space="preserve">备注：业主签字确认即视为本次上门维修项目已现场验收完毕，本单据由物业工程部存档。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</si>
  <si>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</si>
  <si>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</si>
  <si>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</si>
  <si>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</si>
  <si>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</si>
  <si>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</si>
  <si>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</si>
  <si>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</si>
  <si>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</si>
  <si>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</si>
  <si>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</si>
  <si>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</si>
  <si>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</si>
  <si>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</si>
  <si>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</si>
  <si>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</si>
  <si>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</si>
  <si>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</si>
  <si>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</si>
  <si>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</si>
  <si>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t xml:space="preserve">空调导风百叶断裂更换</t>
  </si>
  <si>
    <t xml:space="preserve">5月1日 16:00</t>
  </si>
  <si>
    <t xml:space="preserve">业主第3次更改上门时间</t>
  </si>
  <si>
    <t xml:space="preserve">空调开机后室内机滴水</t>
  </si>
  <si>
    <t xml:space="preserve">5月1日 10:00</t>
  </si>
  <si>
    <t xml:space="preserve">需重新包扎保温棉，待料处理</t>
  </si>
  <si>
    <t xml:space="preserve">阳台雨棚接缝漏水</t>
  </si>
  <si>
    <t xml:space="preserve">5月2日</t>
  </si>
  <si>
    <t xml:space="preserve">连日下雨，待天晴后另约时间</t>
  </si>
  <si>
    <t xml:space="preserve">卧室门把手螺丝滑丝</t>
  </si>
  <si>
    <t xml:space="preserve">5月1日 上午</t>
  </si>
  <si>
    <t xml:space="preserve">物业无同款配件，业主自行采购</t>
  </si>
  <si>
    <t xml:space="preserve">主卧空调出风口结露滴水</t>
  </si>
  <si>
    <t xml:space="preserve">5月1日 14:00后</t>
  </si>
  <si>
    <t xml:space="preserve">已调整出风角度并清洗滤网</t>
  </si>
  <si>
    <t xml:space="preserve">入户门把手松动下垂</t>
  </si>
  <si>
    <t xml:space="preserve">5月1日 12:00</t>
  </si>
  <si>
    <t xml:space="preserve">已紧固复位</t>
  </si>
  <si>
    <t xml:space="preserve">师傅来得很快</t>
  </si>
  <si>
    <t xml:space="preserve">次卧墙面受潮鼓包起皮</t>
  </si>
  <si>
    <t xml:space="preserve">已铲除鼓包批第一遍腻子，待干透后约第二次上门</t>
  </si>
  <si>
    <t xml:space="preserve">可以，辛苦了</t>
  </si>
  <si>
    <t xml:space="preserve">客厅空调管冷凝水滴落</t>
  </si>
  <si>
    <t xml:space="preserve">需先由第三方单位为楼上住户空调管加装保温棉</t>
  </si>
  <si>
    <t xml:space="preserve">卫生间门把手松动</t>
  </si>
  <si>
    <t xml:space="preserve">5月1日 17:00前</t>
  </si>
  <si>
    <t xml:space="preserve">阳台天花腻子开裂</t>
  </si>
  <si>
    <t xml:space="preserve">5月1日 17:00后</t>
  </si>
  <si>
    <t xml:space="preserve">挺好的，支持物业工作</t>
  </si>
  <si>
    <t xml:space="preserve">入户门锁芯转动卡涩</t>
  </si>
  <si>
    <t xml:space="preserve">空调出风口面板松脱</t>
  </si>
  <si>
    <t xml:space="preserve">师傅动作快，很满意</t>
  </si>
  <si>
    <t xml:space="preserve">智能门锁电量低打不开</t>
  </si>
  <si>
    <t xml:space="preserve">5月1日 16:51</t>
  </si>
  <si>
    <t xml:space="preserve">咨询车位充电桩怎么走线</t>
  </si>
  <si>
    <t xml:space="preserve">5月1日 20:30</t>
  </si>
  <si>
    <t xml:space="preserve">客厅地板有水珠，疑似空调滴水</t>
  </si>
  <si>
    <t xml:space="preserve">已更换空调出风口并加贴保温棉</t>
  </si>
  <si>
    <t xml:space="preserve">主卧门锁卡死、入户门关闭变紧</t>
  </si>
  <si>
    <t xml:space="preserve">5月1日 19:00</t>
  </si>
  <si>
    <t xml:space="preserve">另约5月2号上门</t>
  </si>
  <si>
    <t xml:space="preserve">厨房洗菜盆下水堵塞</t>
  </si>
  <si>
    <t xml:space="preserve">5月1日 21:30</t>
  </si>
  <si>
    <t xml:space="preserve">业主来电点赞表扬</t>
  </si>
  <si>
    <t xml:space="preserve">多个门把手松动、淋浴房门下沉</t>
  </si>
  <si>
    <t xml:space="preserve">5月1日 21:50</t>
  </si>
  <si>
    <t xml:space="preserve">主卧空调久未使用，开机有异味</t>
  </si>
  <si>
    <t xml:space="preserve">卫生间门吸脱落</t>
  </si>
  <si>
    <t xml:space="preserve">5月1日 15:00</t>
  </si>
  <si>
    <t xml:space="preserve">厨房水龙头出水忽大忽小</t>
  </si>
  <si>
    <t xml:space="preserve">5月1日 下午</t>
  </si>
  <si>
    <t xml:space="preserve">已拆洗起泡器滤网</t>
  </si>
  <si>
    <t xml:space="preserve">客厅踢脚线脱胶翘起</t>
  </si>
  <si>
    <t xml:space="preserve">5月1日 18:00</t>
  </si>
  <si>
    <t xml:space="preserve">师傅很细心，处理得很干净</t>
  </si>
  <si>
    <t xml:space="preserve">阳台推拉门推拉费劲</t>
  </si>
  <si>
    <t xml:space="preserve">5月1日 19:30</t>
  </si>
  <si>
    <t xml:space="preserve">次卧顶灯开关按了没反应</t>
  </si>
  <si>
    <t xml:space="preserve">5月1日 20:00</t>
  </si>
  <si>
    <t xml:space="preserve">五一活动临时送电</t>
  </si>
  <si>
    <t xml:space="preserve">门岗二楼遮阳帘松脱需加固</t>
  </si>
  <si>
    <t xml:space="preserve">出口道闸识别车牌后不抬杆</t>
  </si>
  <si>
    <t xml:space="preserve">货梯轿厢空调不制冷</t>
  </si>
  <si>
    <t xml:space="preserve">市场内墙雨后渗水</t>
  </si>
  <si>
    <t xml:space="preserve">单元大门下沉刮地</t>
  </si>
  <si>
    <t xml:space="preserve">配电箱附近有电流声</t>
  </si>
  <si>
    <t xml:space="preserve">5月1日 11:10</t>
  </si>
  <si>
    <t xml:space="preserve">现场检测未发现异常</t>
  </si>
  <si>
    <t xml:space="preserve">单元门禁读卡器升级更换</t>
  </si>
  <si>
    <t xml:space="preserve">5月1日 17:00</t>
  </si>
  <si>
    <t xml:space="preserve">门岗天花受潮破损修缮</t>
  </si>
  <si>
    <t xml:space="preserve">5月1日</t>
  </si>
  <si>
    <t xml:space="preserve">已补洞批腻子，待干燥后打磨刷乳胶漆</t>
  </si>
  <si>
    <t xml:space="preserve">8栋大堂吊灯部分不亮</t>
  </si>
  <si>
    <t xml:space="preserve">凉亭顶部雨后积水不退</t>
  </si>
  <si>
    <t xml:space="preserve">雨水管被落叶堵死，预计重新改管道</t>
  </si>
  <si>
    <t xml:space="preserve">次卧外墙窗边渗水</t>
  </si>
  <si>
    <t xml:space="preserve">5月2日 19:00</t>
  </si>
  <si>
    <t xml:space="preserve">已查看，业主要求先处理室内墙面，再排查渗水点并尽快修复</t>
  </si>
  <si>
    <t xml:space="preserve">燃气灶左边炉头点不着</t>
  </si>
  <si>
    <t xml:space="preserve">已由燃气公司人员处理</t>
  </si>
  <si>
    <t xml:space="preserve">厨房下水管接头滴水</t>
  </si>
  <si>
    <t xml:space="preserve">5月2日 9:00</t>
  </si>
  <si>
    <t xml:space="preserve">空调出风口发霉有黑点</t>
  </si>
  <si>
    <t xml:space="preserve">5月2日 16:00</t>
  </si>
  <si>
    <t xml:space="preserve">房门锁舌弹不回来</t>
  </si>
  <si>
    <t xml:space="preserve">出租前需要核对水电表读数</t>
  </si>
  <si>
    <t xml:space="preserve">5月2日 上午</t>
  </si>
  <si>
    <t xml:space="preserve">空调外机噪音大</t>
  </si>
  <si>
    <t xml:space="preserve">非物业维修范围，业主已联系空调售后</t>
  </si>
  <si>
    <t xml:space="preserve">客厅需要安装吸顶灯</t>
  </si>
  <si>
    <t xml:space="preserve">客厅灯带一半不亮</t>
  </si>
  <si>
    <t xml:space="preserve">5月2日 15:31</t>
  </si>
  <si>
    <t xml:space="preserve">很好，服务到位</t>
  </si>
  <si>
    <t xml:space="preserve">主卧外墙渗水，墙纸发霉</t>
  </si>
  <si>
    <t xml:space="preserve">5月2日 约17:00</t>
  </si>
  <si>
    <t xml:space="preserve">已现场拍照留证，待后续协商处理（业主意向使用公共维修资金）</t>
  </si>
  <si>
    <t xml:space="preserve">卫生间门框受潮变形，浴室柜板脱皮</t>
  </si>
  <si>
    <t xml:space="preserve">窗帘滑轨脱落、玄关灯带不亮、门把手松</t>
  </si>
  <si>
    <t xml:space="preserve">5月2日 17:00</t>
  </si>
  <si>
    <t xml:space="preserve">灯带变压器（12V/4A）需业主自购，到货后再约更换</t>
  </si>
  <si>
    <t xml:space="preserve">门把手松动；门口感应灯常亮，想加装开关</t>
  </si>
  <si>
    <t xml:space="preserve">5月2日 20:40</t>
  </si>
  <si>
    <t xml:space="preserve">经业主同意，先将门口感应灯电源断开</t>
  </si>
  <si>
    <t xml:space="preserve">厨房、卫生间门槛石松动</t>
  </si>
  <si>
    <t xml:space="preserve">5月2日 21:20</t>
  </si>
  <si>
    <t xml:space="preserve">洗手盆下水返臭</t>
  </si>
  <si>
    <t xml:space="preserve">入户门关不严，漏风</t>
  </si>
  <si>
    <t xml:space="preserve">5月2日 10:30</t>
  </si>
  <si>
    <t xml:space="preserve">淋浴房挡水胶条脱落</t>
  </si>
  <si>
    <t xml:space="preserve">5月2日 下午</t>
  </si>
  <si>
    <t xml:space="preserve">空调开机风口滴水</t>
  </si>
  <si>
    <t xml:space="preserve">5月2日 15:00</t>
  </si>
  <si>
    <t xml:space="preserve">橱柜门下垂关不上</t>
  </si>
  <si>
    <t xml:space="preserve">卧室墙面出现细小裂纹</t>
  </si>
  <si>
    <t xml:space="preserve">已现场查看，待腻子干透后打磨修补</t>
  </si>
  <si>
    <t xml:space="preserve">车位上方灯管闪烁</t>
  </si>
  <si>
    <t xml:space="preserve">负一层防火门关不上</t>
  </si>
  <si>
    <t xml:space="preserve">电梯厅排风扇不转</t>
  </si>
  <si>
    <t xml:space="preserve">大堂门禁主机反复重启</t>
  </si>
  <si>
    <t xml:space="preserve">车道灯管不亮</t>
  </si>
  <si>
    <t xml:space="preserve">淋浴房推拉门滑不动</t>
  </si>
  <si>
    <t xml:space="preserve">5月3日 上午</t>
  </si>
  <si>
    <t xml:space="preserve">卫生间门关不上</t>
  </si>
  <si>
    <t xml:space="preserve">5月3日</t>
  </si>
  <si>
    <t xml:space="preserve">业主致电表扬师傅</t>
  </si>
  <si>
    <t xml:space="preserve">卫生间排气扇有响声不转</t>
  </si>
  <si>
    <t xml:space="preserve">下雨后阳台地漏积水</t>
  </si>
  <si>
    <t xml:space="preserve">5月3日 11:00</t>
  </si>
  <si>
    <t xml:space="preserve">已疏通并清理落叶杂物</t>
  </si>
  <si>
    <t xml:space="preserve">客厅一排插座没电</t>
  </si>
  <si>
    <t xml:space="preserve">5月3日 下午</t>
  </si>
  <si>
    <t xml:space="preserve">次卧窗户密封条老化，下雨进水</t>
  </si>
  <si>
    <t xml:space="preserve">5月3日 15:30</t>
  </si>
  <si>
    <t xml:space="preserve">厨房水槽下方接口渗水</t>
  </si>
  <si>
    <t xml:space="preserve">5月3日 17:00</t>
  </si>
  <si>
    <t xml:space="preserve">主卧空调开机有咔咔声</t>
  </si>
  <si>
    <t xml:space="preserve">5月3日 19:00</t>
  </si>
  <si>
    <t xml:space="preserve">已紧固内机挂板</t>
  </si>
  <si>
    <t xml:space="preserve">单元大门闭门器失灵、刮地</t>
  </si>
  <si>
    <t xml:space="preserve">镜柜门脱落，阳台雨后渗水</t>
  </si>
  <si>
    <t xml:space="preserve">阳台渗水点已打胶，待胶干后补漆；镜柜铰链待配件到货后安装</t>
  </si>
  <si>
    <t xml:space="preserve">需要加装插座并固定门把手</t>
  </si>
  <si>
    <t xml:space="preserve">门把手已固定，插座待业主买好面板后再约时间</t>
  </si>
  <si>
    <t xml:space="preserve">橱柜层板托脱落</t>
  </si>
  <si>
    <t xml:space="preserve">次卧门把手松动</t>
  </si>
  <si>
    <t xml:space="preserve">很棒，谢谢师傅</t>
  </si>
  <si>
    <t xml:space="preserve">浴室柜玻璃门关不上</t>
  </si>
  <si>
    <t xml:space="preserve">厨房门口门槛石松了，踩上去会动</t>
  </si>
  <si>
    <t xml:space="preserve">玄关踢脚线脱落</t>
  </si>
  <si>
    <t xml:space="preserve">家里总闸频繁跳闸</t>
  </si>
  <si>
    <t xml:space="preserve">已排查线路，持续观察使用情况</t>
  </si>
  <si>
    <t xml:space="preserve">卫生间镜柜灯不亮</t>
  </si>
  <si>
    <t xml:space="preserve">业主在群里点赞表扬</t>
  </si>
  <si>
    <t xml:space="preserve">厨房一用电就跳闸</t>
  </si>
  <si>
    <t xml:space="preserve">店面招牌需协助打孔固定</t>
  </si>
  <si>
    <t xml:space="preserve">阳台推拉门卡住拉不动</t>
  </si>
  <si>
    <t xml:space="preserve">衣柜门铰链断了</t>
  </si>
  <si>
    <t xml:space="preserve">智能门锁需要更换电池</t>
  </si>
  <si>
    <t xml:space="preserve">镜前灯闪烁后不亮</t>
  </si>
  <si>
    <t xml:space="preserve">厨房吊柜门歪了关不严</t>
  </si>
  <si>
    <t xml:space="preserve">5月3日 14:00</t>
  </si>
  <si>
    <t xml:space="preserve">主卫花洒软管接头漏水</t>
  </si>
  <si>
    <t xml:space="preserve">客厅空调久未开启，出风有霉味</t>
  </si>
  <si>
    <t xml:space="preserve">已清洗滤网并消毒</t>
  </si>
  <si>
    <t xml:space="preserve">连续下雨后阳台墙面渗水</t>
  </si>
  <si>
    <t xml:space="preserve">5月3日 18:30</t>
  </si>
  <si>
    <t xml:space="preserve">车位顶板漏水</t>
  </si>
  <si>
    <t xml:space="preserve">充电桩充电时跳闸</t>
  </si>
  <si>
    <t xml:space="preserve">5栋负一防火门关不拢</t>
  </si>
  <si>
    <t xml:space="preserve">3栋大堂门禁从里面开不了</t>
  </si>
  <si>
    <t xml:space="preserve">房间两盏筒灯不亮，空调不制冷</t>
  </si>
  <si>
    <t xml:space="preserve">5月4日</t>
  </si>
  <si>
    <t xml:space="preserve">空调不制冷已解决，筒灯待业主买好后更换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</si>
  <si>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</si>
  <si>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</si>
  <si>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</si>
  <si>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</si>
  <si>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客厅灯关了还微微亮</t>
  </si>
  <si>
    <t xml:space="preserve">5月4日 约18:00</t>
  </si>
  <si>
    <t xml:space="preserve">镜柜铰链到货了，麻烦上门安装</t>
  </si>
  <si>
    <t xml:space="preserve">5月4日 约18:30</t>
  </si>
  <si>
    <t xml:space="preserve">厨房插座没电，卫生间灯不亮</t>
  </si>
  <si>
    <t xml:space="preserve">热水器出水小，门口墙面漆被碰掉</t>
  </si>
  <si>
    <t xml:space="preserve">5月4日 约19:00</t>
  </si>
  <si>
    <t xml:space="preserve">墙角瓷砖松动需要粘贴</t>
  </si>
  <si>
    <t xml:space="preserve">次日上门补粘门框，已处理</t>
  </si>
  <si>
    <t xml:space="preserve">阳台墙砖松动需要粘一下</t>
  </si>
  <si>
    <t xml:space="preserve">5月4日 约19:30</t>
  </si>
  <si>
    <t xml:space="preserve">燃气灶打火好几次才着</t>
  </si>
  <si>
    <t xml:space="preserve">5月4日 上午</t>
  </si>
  <si>
    <t xml:space="preserve">洗衣机排水溢出，地漏堵塞</t>
  </si>
  <si>
    <t xml:space="preserve">次卧门吸掉了</t>
  </si>
  <si>
    <t xml:space="preserve">5月4日 14:30</t>
  </si>
  <si>
    <t xml:space="preserve">卫生间墙砖空鼓开裂</t>
  </si>
  <si>
    <t xml:space="preserve">5月4日 16:00</t>
  </si>
  <si>
    <t xml:space="preserve">新买的餐厅吊灯需要安装</t>
  </si>
  <si>
    <t xml:space="preserve">5月4日 18:00</t>
  </si>
  <si>
    <t xml:space="preserve">安装很到位，感谢师傅</t>
  </si>
  <si>
    <t xml:space="preserve">主卧窗帘轨道一侧脱落</t>
  </si>
  <si>
    <t xml:space="preserve">5月4日 19:30</t>
  </si>
  <si>
    <t xml:space="preserve">5栋货梯空调不凉</t>
  </si>
  <si>
    <t xml:space="preserve">家里突然停电</t>
  </si>
  <si>
    <t xml:space="preserve">5月5日 上午</t>
  </si>
  <si>
    <t xml:space="preserve">厨房台面与墙面接缝开裂</t>
  </si>
  <si>
    <t xml:space="preserve">小孩把卫生间门反锁了打不开</t>
  </si>
  <si>
    <t xml:space="preserve">空调排水管脱落，外墙滴水</t>
  </si>
  <si>
    <t xml:space="preserve">5月5日 11:30</t>
  </si>
  <si>
    <t xml:space="preserve">5月5日 下午</t>
  </si>
  <si>
    <t xml:space="preserve">阳台晾衣架一边高一边低</t>
  </si>
  <si>
    <t xml:space="preserve">5月5日 15:00</t>
  </si>
  <si>
    <t xml:space="preserve">次卫洗手盆排水慢</t>
  </si>
  <si>
    <t xml:space="preserve">5月5日 17:30</t>
  </si>
  <si>
    <t xml:space="preserve">客厅木地板受潮起拱</t>
  </si>
  <si>
    <t xml:space="preserve">5月5日 19:00</t>
  </si>
  <si>
    <t xml:space="preserve">厨房下水道堵了，水下不去</t>
  </si>
  <si>
    <t xml:space="preserve">5月6日 上午</t>
  </si>
  <si>
    <t xml:space="preserve">厨房下水管老化需更换，客厅空调管要补贴保温棉</t>
  </si>
  <si>
    <t xml:space="preserve">5月6日 约17:00</t>
  </si>
  <si>
    <t xml:space="preserve">卫生间墙角瓷砖掉了一块需要粘回去</t>
  </si>
  <si>
    <t xml:space="preserve">5月6日 约14:00</t>
  </si>
  <si>
    <t xml:space="preserve">家里要换两个插座，顺便修一下门锁</t>
  </si>
  <si>
    <t xml:space="preserve">5月6日 约15:00</t>
  </si>
  <si>
    <t xml:space="preserve">下午三点半后来看下厨房移门，很重不好拉，厕所门也是</t>
  </si>
  <si>
    <t xml:space="preserve">5月6日 约15:30</t>
  </si>
  <si>
    <t xml:space="preserve">想把次卧门换成带锁的儿童房门，物业可以换吗</t>
  </si>
  <si>
    <t xml:space="preserve">5月6日 下午</t>
  </si>
  <si>
    <t xml:space="preserve">楼下业主反映楼上有异响，帮忙上去看看，业主在家</t>
  </si>
  <si>
    <t xml:space="preserve">卧室门框线条脱落</t>
  </si>
  <si>
    <t xml:space="preserve">主卧空调开了半小时还不凉</t>
  </si>
  <si>
    <t xml:space="preserve">油烟机排烟管接口漏烟</t>
  </si>
  <si>
    <t xml:space="preserve">主卫地漏有臭味</t>
  </si>
  <si>
    <t xml:space="preserve">5月6日 14:00</t>
  </si>
  <si>
    <t xml:space="preserve">入户门开关时吱吱响</t>
  </si>
  <si>
    <t xml:space="preserve">5月6日 15:30</t>
  </si>
  <si>
    <t xml:space="preserve">次卧插座面板松了，插头插不稳</t>
  </si>
  <si>
    <t xml:space="preserve">5月6日 17:00</t>
  </si>
  <si>
    <t xml:space="preserve">雨后客厅外墙边渗水</t>
  </si>
  <si>
    <t xml:space="preserve">5月6日 18:30</t>
  </si>
  <si>
    <t xml:space="preserve">已排查楼上管道，待雨后复测确认渗水点</t>
  </si>
  <si>
    <t xml:space="preserve">燃气灶点火打不着</t>
  </si>
  <si>
    <t xml:space="preserve">5月7日 上午</t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</si>
  <si>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</si>
  <si>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</si>
  <si>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</si>
  <si>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</si>
  <si>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t xml:space="preserve">5月7日 下午</t>
  </si>
  <si>
    <t xml:space="preserve">空调线控面板按键失灵</t>
  </si>
  <si>
    <t xml:space="preserve">厨房水槽下面漏水，柜子泡湿了</t>
  </si>
  <si>
    <t xml:space="preserve">阳台灯不亮</t>
  </si>
  <si>
    <t xml:space="preserve">淋浴房玻璃门滑轮坏了需更换</t>
  </si>
  <si>
    <t xml:space="preserve">5月7日 11:00</t>
  </si>
  <si>
    <t xml:space="preserve">业主当面表扬师傅</t>
  </si>
  <si>
    <t xml:space="preserve">入户门门槛石翘起</t>
  </si>
  <si>
    <t xml:space="preserve">空调面板显示故障代码</t>
  </si>
  <si>
    <t xml:space="preserve">5月7日 16:00</t>
  </si>
  <si>
    <t xml:space="preserve">卫生间浴霸换气扇不转</t>
  </si>
  <si>
    <t xml:space="preserve">5月7日 18:00</t>
  </si>
  <si>
    <t xml:space="preserve">已更换换气电机</t>
  </si>
  <si>
    <t xml:space="preserve">示例固定在 2025-05-07，日常使用请清空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</si>
</sst>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各维修类别报修量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仪表盘!B56</c:f>
              <c:strCache>
                <c:ptCount val="1"/>
                <c:pt idx="0">
                  <c:v>报修量</c:v>
                </c:pt>
              </c:strCache>
            </c:strRef>
          </c:tx>
          <c:spPr>
            <a:solidFill>
              <a:srgbClr val="6a9bcc"/>
            </a:solidFill>
            <a:ln w="9360">
              <a:solidFill>
                <a:srgbClr val="6a9bc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仪表盘!$B$57:$B$66</c:f>
              <c:numCache>
                <c:formatCode>0;\-0;\-</c:formatCode>
                <c:ptCount val="10"/>
                <c:pt idx="0">
                  <c:v>43</c:v>
                </c:pt>
                <c:pt idx="1">
                  <c:v>27</c:v>
                </c:pt>
                <c:pt idx="2">
                  <c:v>18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gapWidth val="60"/>
        <c:overlap val="0"/>
        <c:axId val="39315557"/>
        <c:axId val="71068984"/>
      </c:barChart>
      <c:catAx>
        <c:axId val="39315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各楼栋工单（已完成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474120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474120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12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13</v>
      </c>
      <c r="C12" s="3"/>
    </row>
    <row r="13" customFormat="false" ht="28.5" hidden="false" customHeight="true" outlineLevel="0" collapsed="false">
      <c r="B13" s="4" t="s">
        <v>14</v>
      </c>
      <c r="C13" s="5" t="s">
        <v>15</v>
      </c>
    </row>
    <row r="14" customFormat="false" ht="65.25" hidden="false" customHeight="true" outlineLevel="0" collapsed="false">
      <c r="B14" s="4" t="s">
        <v>16</v>
      </c>
      <c r="C14" s="5" t="s">
        <v>17</v>
      </c>
    </row>
    <row r="15" customFormat="false" ht="28.5" hidden="false" customHeight="true" outlineLevel="0" collapsed="false">
      <c r="B15" s="4" t="s">
        <v>18</v>
      </c>
      <c r="C15" s="5" t="s">
        <v>19</v>
      </c>
    </row>
    <row r="16" customFormat="false" ht="28.5" hidden="false" customHeight="true" outlineLevel="0" collapsed="false">
      <c r="B16" s="4" t="s">
        <v>20</v>
      </c>
      <c r="C16" s="5" t="s">
        <v>21</v>
      </c>
    </row>
    <row r="17" customFormat="false" ht="28.5" hidden="false" customHeight="true" outlineLevel="0" collapsed="false">
      <c r="B17" s="4" t="s">
        <v>22</v>
      </c>
      <c r="C17" s="5" t="s">
        <v>23</v>
      </c>
    </row>
    <row r="18" customFormat="false" ht="12" hidden="false" customHeight="true" outlineLevel="0" collapsed="false"/>
    <row r="19" customFormat="false" ht="30" hidden="false" customHeight="true" outlineLevel="0" collapsed="false">
      <c r="B19" s="3" t="s">
        <v>24</v>
      </c>
      <c r="C19" s="3"/>
    </row>
    <row r="20" customFormat="false" ht="28.5" hidden="false" customHeight="true" outlineLevel="0" collapsed="false">
      <c r="B20" s="4" t="s">
        <v>25</v>
      </c>
      <c r="C20" s="5" t="s">
        <v>26</v>
      </c>
    </row>
    <row r="21" customFormat="false" ht="46.5" hidden="false" customHeight="true" outlineLevel="0" collapsed="false">
      <c r="B21" s="4" t="s">
        <v>27</v>
      </c>
      <c r="C21" s="5" t="s">
        <v>28</v>
      </c>
    </row>
    <row r="22" customFormat="false" ht="28.5" hidden="false" customHeight="true" outlineLevel="0" collapsed="false">
      <c r="B22" s="4" t="s">
        <v>29</v>
      </c>
      <c r="C22" s="5" t="s">
        <v>30</v>
      </c>
    </row>
    <row r="23" customFormat="false" ht="12" hidden="false" customHeight="true" outlineLevel="0" collapsed="false"/>
    <row r="24" customFormat="false" ht="30" hidden="false" customHeight="true" outlineLevel="0" collapsed="false">
      <c r="B24" s="3" t="s">
        <v>31</v>
      </c>
      <c r="C24" s="3"/>
    </row>
    <row r="25" customFormat="false" ht="28.5" hidden="false" customHeight="true" outlineLevel="0" collapsed="false">
      <c r="B25" s="6" t="s">
        <v>32</v>
      </c>
      <c r="C25" s="5" t="s">
        <v>33</v>
      </c>
    </row>
    <row r="26" customFormat="false" ht="28.5" hidden="false" customHeight="true" outlineLevel="0" collapsed="false">
      <c r="B26" s="7" t="s">
        <v>34</v>
      </c>
      <c r="C26" s="5" t="s">
        <v>35</v>
      </c>
    </row>
    <row r="27" customFormat="false" ht="28.5" hidden="false" customHeight="true" outlineLevel="0" collapsed="false">
      <c r="B27" s="8" t="s">
        <v>36</v>
      </c>
      <c r="C27" s="5" t="s">
        <v>37</v>
      </c>
    </row>
    <row r="28" customFormat="false" ht="28.5" hidden="false" customHeight="true" outlineLevel="0" collapsed="false">
      <c r="B28" s="9" t="s">
        <v>38</v>
      </c>
      <c r="C28" s="5" t="s">
        <v>39</v>
      </c>
    </row>
    <row r="29" customFormat="false" ht="28.5" hidden="false" customHeight="true" outlineLevel="0" collapsed="false">
      <c r="B29" s="10" t="s">
        <v>40</v>
      </c>
      <c r="C29" s="5" t="s">
        <v>41</v>
      </c>
    </row>
    <row r="30" customFormat="false" ht="12" hidden="false" customHeight="true" outlineLevel="0" collapsed="false"/>
    <row r="31" customFormat="false" ht="30" hidden="false" customHeight="true" outlineLevel="0" collapsed="false">
      <c r="B31" s="3" t="s">
        <v>42</v>
      </c>
      <c r="C31" s="3"/>
    </row>
    <row r="32" customFormat="false" ht="28.5" hidden="false" customHeight="true" outlineLevel="0" collapsed="false">
      <c r="B32" s="4" t="s">
        <v>43</v>
      </c>
      <c r="C32" s="5" t="s">
        <v>44</v>
      </c>
    </row>
    <row r="33" customFormat="false" ht="28.5" hidden="false" customHeight="true" outlineLevel="0" collapsed="false">
      <c r="B33" s="4" t="s">
        <v>45</v>
      </c>
      <c r="C33" s="5" t="s">
        <v>46</v>
      </c>
    </row>
    <row r="34" customFormat="false" ht="28.5" hidden="false" customHeight="true" outlineLevel="0" collapsed="false">
      <c r="B34" s="4" t="s">
        <v>47</v>
      </c>
      <c r="C34" s="5" t="s">
        <v>48</v>
      </c>
    </row>
    <row r="35" customFormat="false" ht="28.5" hidden="false" customHeight="true" outlineLevel="0" collapsed="false">
      <c r="B35" s="4" t="s">
        <v>49</v>
      </c>
      <c r="C35" s="5" t="s">
        <v>50</v>
      </c>
    </row>
  </sheetData>
  <mergeCells count="6">
    <mergeCell ref="B3:C3"/>
    <mergeCell ref="B5:C5"/>
    <mergeCell ref="B12:C12"/>
    <mergeCell ref="B19:C19"/>
    <mergeCell ref="B24:C24"/>
    <mergeCell ref="B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51</v>
      </c>
      <c r="B1" s="11"/>
      <c r="C1" s="11"/>
      <c r="D1" s="11"/>
      <c r="E1" s="11"/>
      <c r="F1" s="11"/>
      <c r="G1" s="12" t="s">
        <v>52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53</v>
      </c>
      <c r="B2" s="13"/>
      <c r="C2" s="13"/>
      <c r="D2" s="13"/>
      <c r="E2" s="13"/>
      <c r="F2" s="14" t="s">
        <v>54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55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56</v>
      </c>
      <c r="G3" s="14"/>
      <c r="H3" s="18" t="s">
        <v>57</v>
      </c>
      <c r="I3" s="18" t="s">
        <v>58</v>
      </c>
      <c r="J3" s="18" t="s">
        <v>58</v>
      </c>
      <c r="K3" s="18" t="s">
        <v>58</v>
      </c>
      <c r="L3" s="18" t="s">
        <v>58</v>
      </c>
      <c r="M3" s="16" t="s">
        <v>59</v>
      </c>
      <c r="N3" s="16"/>
      <c r="O3" s="16"/>
      <c r="P3" s="16"/>
    </row>
    <row r="4" customFormat="false" ht="21" hidden="false" customHeight="true" outlineLevel="0" collapsed="false">
      <c r="A4" s="16" t="s">
        <v>60</v>
      </c>
      <c r="B4" s="16"/>
      <c r="C4" s="16"/>
      <c r="D4" s="16"/>
      <c r="E4" s="16"/>
      <c r="F4" s="14" t="s">
        <v>61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62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63</v>
      </c>
      <c r="B6" s="21" t="s">
        <v>64</v>
      </c>
      <c r="C6" s="21" t="s">
        <v>65</v>
      </c>
      <c r="D6" s="21" t="s">
        <v>66</v>
      </c>
      <c r="E6" s="21" t="s">
        <v>67</v>
      </c>
      <c r="F6" s="21" t="s">
        <v>68</v>
      </c>
      <c r="G6" s="21" t="s">
        <v>69</v>
      </c>
      <c r="H6" s="21" t="s">
        <v>70</v>
      </c>
      <c r="I6" s="21" t="s">
        <v>71</v>
      </c>
      <c r="J6" s="21" t="s">
        <v>72</v>
      </c>
      <c r="K6" s="21" t="s">
        <v>73</v>
      </c>
      <c r="L6" s="21" t="s">
        <v>74</v>
      </c>
      <c r="M6" s="21" t="s">
        <v>75</v>
      </c>
      <c r="N6" s="20" t="s">
        <v>76</v>
      </c>
      <c r="O6" s="20" t="s">
        <v>77</v>
      </c>
      <c r="P6" s="21" t="s">
        <v>78</v>
      </c>
      <c r="Q6" s="21" t="s">
        <v>79</v>
      </c>
      <c r="R6" s="21" t="s">
        <v>80</v>
      </c>
      <c r="S6" s="21" t="s">
        <v>81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8-403-0501</v>
      </c>
      <c r="B7" s="23" t="n">
        <v>45778</v>
      </c>
      <c r="C7" s="19" t="s">
        <v>82</v>
      </c>
      <c r="D7" s="19" t="s">
        <v>83</v>
      </c>
      <c r="E7" s="19" t="s">
        <v>84</v>
      </c>
      <c r="F7" s="24" t="s">
        <v>344</v>
      </c>
      <c r="G7" s="19" t="s">
        <v>85</v>
      </c>
      <c r="H7" s="19" t="s">
        <v>86</v>
      </c>
      <c r="I7" s="19" t="s">
        <v>87</v>
      </c>
      <c r="J7" s="19" t="s">
        <v>345</v>
      </c>
      <c r="K7" s="19" t="s">
        <v>88</v>
      </c>
      <c r="L7" s="19" t="s">
        <v>89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346</v>
      </c>
      <c r="Q7" s="27"/>
      <c r="R7" s="19" t="s">
        <v>90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6-2504-0501</v>
      </c>
      <c r="B8" s="23" t="n">
        <v>45778</v>
      </c>
      <c r="C8" s="19" t="s">
        <v>82</v>
      </c>
      <c r="D8" s="19" t="s">
        <v>91</v>
      </c>
      <c r="E8" s="19" t="s">
        <v>92</v>
      </c>
      <c r="F8" s="24" t="s">
        <v>347</v>
      </c>
      <c r="G8" s="19" t="s">
        <v>85</v>
      </c>
      <c r="H8" s="19" t="s">
        <v>93</v>
      </c>
      <c r="I8" s="19" t="s">
        <v>86</v>
      </c>
      <c r="J8" s="19" t="s">
        <v>348</v>
      </c>
      <c r="K8" s="19"/>
      <c r="L8" s="19" t="s">
        <v>94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349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5-503-0501</v>
      </c>
      <c r="B9" s="23" t="n">
        <v>45778</v>
      </c>
      <c r="C9" s="19" t="s">
        <v>82</v>
      </c>
      <c r="D9" s="19" t="s">
        <v>95</v>
      </c>
      <c r="E9" s="19" t="s">
        <v>96</v>
      </c>
      <c r="F9" s="24" t="s">
        <v>350</v>
      </c>
      <c r="G9" s="19" t="s">
        <v>97</v>
      </c>
      <c r="H9" s="19" t="s">
        <v>93</v>
      </c>
      <c r="I9" s="19"/>
      <c r="J9" s="19" t="s">
        <v>351</v>
      </c>
      <c r="K9" s="19"/>
      <c r="L9" s="19" t="s">
        <v>89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352</v>
      </c>
      <c r="Q9" s="27"/>
      <c r="R9" s="19" t="s">
        <v>90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7-2904-0501</v>
      </c>
      <c r="B10" s="23" t="n">
        <v>45778</v>
      </c>
      <c r="C10" s="19" t="s">
        <v>82</v>
      </c>
      <c r="D10" s="19" t="s">
        <v>98</v>
      </c>
      <c r="E10" s="19" t="s">
        <v>99</v>
      </c>
      <c r="F10" s="24" t="s">
        <v>353</v>
      </c>
      <c r="G10" s="19" t="s">
        <v>100</v>
      </c>
      <c r="H10" s="19" t="s">
        <v>86</v>
      </c>
      <c r="I10" s="19"/>
      <c r="J10" s="19" t="s">
        <v>354</v>
      </c>
      <c r="K10" s="19"/>
      <c r="L10" s="19" t="s">
        <v>89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355</v>
      </c>
      <c r="Q10" s="27"/>
      <c r="R10" s="19" t="s">
        <v>101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6-2004-0501</v>
      </c>
      <c r="B11" s="23" t="n">
        <v>45778</v>
      </c>
      <c r="C11" s="19" t="s">
        <v>82</v>
      </c>
      <c r="D11" s="19" t="s">
        <v>91</v>
      </c>
      <c r="E11" s="19" t="s">
        <v>102</v>
      </c>
      <c r="F11" s="24" t="s">
        <v>356</v>
      </c>
      <c r="G11" s="19" t="s">
        <v>85</v>
      </c>
      <c r="H11" s="19" t="s">
        <v>86</v>
      </c>
      <c r="I11" s="19"/>
      <c r="J11" s="19" t="s">
        <v>357</v>
      </c>
      <c r="K11" s="19"/>
      <c r="L11" s="19" t="s">
        <v>89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358</v>
      </c>
      <c r="Q11" s="27"/>
      <c r="R11" s="19" t="s">
        <v>103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6-2501-0501</v>
      </c>
      <c r="B12" s="23" t="n">
        <v>45778</v>
      </c>
      <c r="C12" s="19" t="s">
        <v>82</v>
      </c>
      <c r="D12" s="19" t="s">
        <v>91</v>
      </c>
      <c r="E12" s="19" t="s">
        <v>104</v>
      </c>
      <c r="F12" s="24" t="s">
        <v>359</v>
      </c>
      <c r="G12" s="19" t="s">
        <v>100</v>
      </c>
      <c r="H12" s="19" t="s">
        <v>86</v>
      </c>
      <c r="I12" s="19"/>
      <c r="J12" s="19" t="s">
        <v>360</v>
      </c>
      <c r="K12" s="19"/>
      <c r="L12" s="19" t="s">
        <v>89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361</v>
      </c>
      <c r="Q12" s="27"/>
      <c r="R12" s="19" t="s">
        <v>90</v>
      </c>
      <c r="S12" s="24" t="s">
        <v>362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6-701-0501</v>
      </c>
      <c r="B13" s="23" t="n">
        <v>45778</v>
      </c>
      <c r="C13" s="19" t="s">
        <v>82</v>
      </c>
      <c r="D13" s="19" t="s">
        <v>91</v>
      </c>
      <c r="E13" s="19" t="s">
        <v>105</v>
      </c>
      <c r="F13" s="24" t="s">
        <v>363</v>
      </c>
      <c r="G13" s="19" t="s">
        <v>106</v>
      </c>
      <c r="H13" s="19" t="s">
        <v>87</v>
      </c>
      <c r="I13" s="19"/>
      <c r="J13" s="19" t="s">
        <v>357</v>
      </c>
      <c r="K13" s="19" t="s">
        <v>107</v>
      </c>
      <c r="L13" s="19" t="s">
        <v>94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364</v>
      </c>
      <c r="Q13" s="27"/>
      <c r="R13" s="19" t="s">
        <v>90</v>
      </c>
      <c r="S13" s="24" t="s">
        <v>365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8-1602-0501</v>
      </c>
      <c r="B14" s="23" t="n">
        <v>45778</v>
      </c>
      <c r="C14" s="19" t="s">
        <v>82</v>
      </c>
      <c r="D14" s="19" t="s">
        <v>83</v>
      </c>
      <c r="E14" s="19" t="s">
        <v>108</v>
      </c>
      <c r="F14" s="24" t="s">
        <v>366</v>
      </c>
      <c r="G14" s="19" t="s">
        <v>85</v>
      </c>
      <c r="H14" s="19"/>
      <c r="I14" s="19"/>
      <c r="J14" s="19" t="s">
        <v>357</v>
      </c>
      <c r="K14" s="19" t="s">
        <v>109</v>
      </c>
      <c r="L14" s="19" t="s">
        <v>94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367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5-504-0501</v>
      </c>
      <c r="B15" s="23" t="n">
        <v>45778</v>
      </c>
      <c r="C15" s="19" t="s">
        <v>82</v>
      </c>
      <c r="D15" s="19" t="s">
        <v>95</v>
      </c>
      <c r="E15" s="19" t="s">
        <v>110</v>
      </c>
      <c r="F15" s="24" t="s">
        <v>368</v>
      </c>
      <c r="G15" s="19" t="s">
        <v>100</v>
      </c>
      <c r="H15" s="19" t="s">
        <v>86</v>
      </c>
      <c r="I15" s="19"/>
      <c r="J15" s="19" t="s">
        <v>369</v>
      </c>
      <c r="K15" s="19"/>
      <c r="L15" s="19" t="s">
        <v>89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111</v>
      </c>
      <c r="Q15" s="27"/>
      <c r="R15" s="19" t="s">
        <v>90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7-304-0501</v>
      </c>
      <c r="B16" s="23" t="n">
        <v>45778</v>
      </c>
      <c r="C16" s="19" t="s">
        <v>82</v>
      </c>
      <c r="D16" s="19" t="s">
        <v>98</v>
      </c>
      <c r="E16" s="19" t="s">
        <v>112</v>
      </c>
      <c r="F16" s="24" t="s">
        <v>370</v>
      </c>
      <c r="G16" s="19" t="s">
        <v>106</v>
      </c>
      <c r="H16" s="19" t="s">
        <v>87</v>
      </c>
      <c r="I16" s="19"/>
      <c r="J16" s="19" t="s">
        <v>371</v>
      </c>
      <c r="K16" s="19" t="s">
        <v>113</v>
      </c>
      <c r="L16" s="19" t="s">
        <v>89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90</v>
      </c>
      <c r="S16" s="24" t="s">
        <v>372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10-901-0501</v>
      </c>
      <c r="B17" s="23" t="n">
        <v>45778</v>
      </c>
      <c r="C17" s="19" t="s">
        <v>82</v>
      </c>
      <c r="D17" s="19" t="s">
        <v>114</v>
      </c>
      <c r="E17" s="19" t="s">
        <v>115</v>
      </c>
      <c r="F17" s="24" t="s">
        <v>373</v>
      </c>
      <c r="G17" s="19" t="s">
        <v>100</v>
      </c>
      <c r="H17" s="19" t="s">
        <v>87</v>
      </c>
      <c r="I17" s="19"/>
      <c r="J17" s="19" t="s">
        <v>369</v>
      </c>
      <c r="K17" s="19" t="s">
        <v>88</v>
      </c>
      <c r="L17" s="19" t="s">
        <v>89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111</v>
      </c>
      <c r="Q17" s="27"/>
      <c r="R17" s="19" t="s">
        <v>90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9-1204-0501</v>
      </c>
      <c r="B18" s="23" t="n">
        <v>45778</v>
      </c>
      <c r="C18" s="19" t="s">
        <v>82</v>
      </c>
      <c r="D18" s="19" t="s">
        <v>116</v>
      </c>
      <c r="E18" s="19" t="s">
        <v>117</v>
      </c>
      <c r="F18" s="24" t="s">
        <v>374</v>
      </c>
      <c r="G18" s="19" t="s">
        <v>85</v>
      </c>
      <c r="H18" s="19" t="s">
        <v>87</v>
      </c>
      <c r="I18" s="19"/>
      <c r="J18" s="19" t="s">
        <v>369</v>
      </c>
      <c r="K18" s="19" t="s">
        <v>88</v>
      </c>
      <c r="L18" s="19" t="s">
        <v>89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111</v>
      </c>
      <c r="Q18" s="27"/>
      <c r="R18" s="19" t="s">
        <v>90</v>
      </c>
      <c r="S18" s="24" t="s">
        <v>375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1-1203-0501</v>
      </c>
      <c r="B19" s="23" t="n">
        <v>45778</v>
      </c>
      <c r="C19" s="19" t="s">
        <v>82</v>
      </c>
      <c r="D19" s="19" t="s">
        <v>118</v>
      </c>
      <c r="E19" s="19" t="s">
        <v>119</v>
      </c>
      <c r="F19" s="24" t="s">
        <v>376</v>
      </c>
      <c r="G19" s="19" t="s">
        <v>100</v>
      </c>
      <c r="H19" s="19" t="s">
        <v>93</v>
      </c>
      <c r="I19" s="19"/>
      <c r="J19" s="19" t="s">
        <v>377</v>
      </c>
      <c r="K19" s="19" t="s">
        <v>107</v>
      </c>
      <c r="L19" s="19" t="s">
        <v>89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111</v>
      </c>
      <c r="Q19" s="27"/>
      <c r="R19" s="19" t="s">
        <v>90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8-3101-0501</v>
      </c>
      <c r="B20" s="23" t="n">
        <v>45778</v>
      </c>
      <c r="C20" s="19" t="s">
        <v>82</v>
      </c>
      <c r="D20" s="19" t="s">
        <v>83</v>
      </c>
      <c r="E20" s="19" t="s">
        <v>120</v>
      </c>
      <c r="F20" s="24" t="s">
        <v>378</v>
      </c>
      <c r="G20" s="19" t="s">
        <v>121</v>
      </c>
      <c r="H20" s="19" t="s">
        <v>87</v>
      </c>
      <c r="I20" s="19"/>
      <c r="J20" s="19" t="s">
        <v>379</v>
      </c>
      <c r="K20" s="19"/>
      <c r="L20" s="19" t="s">
        <v>89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90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8-1501-0501</v>
      </c>
      <c r="B21" s="23" t="n">
        <v>45778</v>
      </c>
      <c r="C21" s="19" t="s">
        <v>82</v>
      </c>
      <c r="D21" s="19" t="s">
        <v>83</v>
      </c>
      <c r="E21" s="19" t="s">
        <v>122</v>
      </c>
      <c r="F21" s="24" t="s">
        <v>380</v>
      </c>
      <c r="G21" s="19" t="s">
        <v>85</v>
      </c>
      <c r="H21" s="19" t="s">
        <v>87</v>
      </c>
      <c r="I21" s="19"/>
      <c r="J21" s="19" t="s">
        <v>345</v>
      </c>
      <c r="K21" s="19"/>
      <c r="L21" s="19" t="s">
        <v>89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381</v>
      </c>
      <c r="Q21" s="27"/>
      <c r="R21" s="19" t="s">
        <v>101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11-1402-0501</v>
      </c>
      <c r="B22" s="23" t="n">
        <v>45778</v>
      </c>
      <c r="C22" s="19" t="s">
        <v>82</v>
      </c>
      <c r="D22" s="19" t="s">
        <v>123</v>
      </c>
      <c r="E22" s="19" t="s">
        <v>124</v>
      </c>
      <c r="F22" s="24" t="s">
        <v>382</v>
      </c>
      <c r="G22" s="19" t="s">
        <v>100</v>
      </c>
      <c r="H22" s="19" t="s">
        <v>87</v>
      </c>
      <c r="I22" s="19"/>
      <c r="J22" s="19" t="s">
        <v>383</v>
      </c>
      <c r="K22" s="19" t="s">
        <v>107</v>
      </c>
      <c r="L22" s="19" t="s">
        <v>89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384</v>
      </c>
      <c r="Q22" s="27"/>
      <c r="R22" s="19" t="s">
        <v>90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5-2803-0501</v>
      </c>
      <c r="B23" s="23" t="n">
        <v>45778</v>
      </c>
      <c r="C23" s="19" t="s">
        <v>82</v>
      </c>
      <c r="D23" s="19" t="s">
        <v>95</v>
      </c>
      <c r="E23" s="19" t="s">
        <v>125</v>
      </c>
      <c r="F23" s="24" t="s">
        <v>385</v>
      </c>
      <c r="G23" s="19" t="s">
        <v>126</v>
      </c>
      <c r="H23" s="19" t="s">
        <v>87</v>
      </c>
      <c r="I23" s="19"/>
      <c r="J23" s="19" t="s">
        <v>386</v>
      </c>
      <c r="K23" s="19"/>
      <c r="L23" s="19" t="s">
        <v>89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90</v>
      </c>
      <c r="S23" s="24" t="s">
        <v>387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10-1103-0501</v>
      </c>
      <c r="B24" s="23" t="n">
        <v>45778</v>
      </c>
      <c r="C24" s="19" t="s">
        <v>82</v>
      </c>
      <c r="D24" s="19" t="s">
        <v>114</v>
      </c>
      <c r="E24" s="19" t="s">
        <v>127</v>
      </c>
      <c r="F24" s="24" t="s">
        <v>388</v>
      </c>
      <c r="G24" s="19" t="s">
        <v>100</v>
      </c>
      <c r="H24" s="19" t="s">
        <v>87</v>
      </c>
      <c r="I24" s="19"/>
      <c r="J24" s="19" t="s">
        <v>389</v>
      </c>
      <c r="K24" s="19"/>
      <c r="L24" s="19" t="s">
        <v>89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90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3-2901-0501</v>
      </c>
      <c r="B25" s="23" t="n">
        <v>45778</v>
      </c>
      <c r="C25" s="19" t="s">
        <v>82</v>
      </c>
      <c r="D25" s="19" t="s">
        <v>128</v>
      </c>
      <c r="E25" s="19" t="s">
        <v>129</v>
      </c>
      <c r="F25" s="24" t="s">
        <v>390</v>
      </c>
      <c r="G25" s="19" t="s">
        <v>85</v>
      </c>
      <c r="H25" s="19" t="s">
        <v>86</v>
      </c>
      <c r="I25" s="19"/>
      <c r="J25" s="19" t="s">
        <v>354</v>
      </c>
      <c r="K25" s="19"/>
      <c r="L25" s="19" t="s">
        <v>89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90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2-2604-0501</v>
      </c>
      <c r="B26" s="23" t="n">
        <v>45778</v>
      </c>
      <c r="C26" s="19" t="s">
        <v>82</v>
      </c>
      <c r="D26" s="19" t="s">
        <v>130</v>
      </c>
      <c r="E26" s="19" t="s">
        <v>131</v>
      </c>
      <c r="F26" s="24" t="s">
        <v>391</v>
      </c>
      <c r="G26" s="19" t="s">
        <v>100</v>
      </c>
      <c r="H26" s="19" t="s">
        <v>87</v>
      </c>
      <c r="I26" s="19"/>
      <c r="J26" s="19" t="s">
        <v>392</v>
      </c>
      <c r="K26" s="19" t="s">
        <v>88</v>
      </c>
      <c r="L26" s="19" t="s">
        <v>89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90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4-3104-0501</v>
      </c>
      <c r="B27" s="23" t="n">
        <v>45778</v>
      </c>
      <c r="C27" s="19" t="s">
        <v>82</v>
      </c>
      <c r="D27" s="19" t="s">
        <v>132</v>
      </c>
      <c r="E27" s="19" t="s">
        <v>133</v>
      </c>
      <c r="F27" s="24" t="s">
        <v>393</v>
      </c>
      <c r="G27" s="19" t="s">
        <v>126</v>
      </c>
      <c r="H27" s="19" t="s">
        <v>93</v>
      </c>
      <c r="I27" s="19"/>
      <c r="J27" s="19" t="s">
        <v>394</v>
      </c>
      <c r="K27" s="19"/>
      <c r="L27" s="19" t="s">
        <v>89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395</v>
      </c>
      <c r="Q27" s="27"/>
      <c r="R27" s="19" t="s">
        <v>101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9-501-0501</v>
      </c>
      <c r="B28" s="23" t="n">
        <v>45778</v>
      </c>
      <c r="C28" s="19" t="s">
        <v>82</v>
      </c>
      <c r="D28" s="19" t="s">
        <v>116</v>
      </c>
      <c r="E28" s="19" t="s">
        <v>134</v>
      </c>
      <c r="F28" s="24" t="s">
        <v>396</v>
      </c>
      <c r="G28" s="19" t="s">
        <v>106</v>
      </c>
      <c r="H28" s="19" t="s">
        <v>86</v>
      </c>
      <c r="I28" s="19"/>
      <c r="J28" s="19" t="s">
        <v>397</v>
      </c>
      <c r="K28" s="19"/>
      <c r="L28" s="19" t="s">
        <v>89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90</v>
      </c>
      <c r="S28" s="24" t="s">
        <v>398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11-802-0501</v>
      </c>
      <c r="B29" s="23" t="n">
        <v>45778</v>
      </c>
      <c r="C29" s="19" t="s">
        <v>82</v>
      </c>
      <c r="D29" s="19" t="s">
        <v>123</v>
      </c>
      <c r="E29" s="19" t="s">
        <v>135</v>
      </c>
      <c r="F29" s="24" t="s">
        <v>399</v>
      </c>
      <c r="G29" s="19" t="s">
        <v>100</v>
      </c>
      <c r="H29" s="19" t="s">
        <v>87</v>
      </c>
      <c r="I29" s="19"/>
      <c r="J29" s="19" t="s">
        <v>400</v>
      </c>
      <c r="K29" s="19" t="s">
        <v>109</v>
      </c>
      <c r="L29" s="19" t="s">
        <v>89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90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6-2701-0501</v>
      </c>
      <c r="B30" s="23" t="n">
        <v>45778</v>
      </c>
      <c r="C30" s="19" t="s">
        <v>82</v>
      </c>
      <c r="D30" s="19" t="s">
        <v>91</v>
      </c>
      <c r="E30" s="19" t="s">
        <v>136</v>
      </c>
      <c r="F30" s="24" t="s">
        <v>401</v>
      </c>
      <c r="G30" s="19" t="s">
        <v>121</v>
      </c>
      <c r="H30" s="19" t="s">
        <v>86</v>
      </c>
      <c r="I30" s="19"/>
      <c r="J30" s="19" t="s">
        <v>402</v>
      </c>
      <c r="K30" s="19"/>
      <c r="L30" s="19" t="s">
        <v>89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137</v>
      </c>
      <c r="Q30" s="27"/>
      <c r="R30" s="19" t="s">
        <v>90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9-乒乓球位置-0501</v>
      </c>
      <c r="B31" s="23" t="n">
        <v>45778</v>
      </c>
      <c r="C31" s="19" t="s">
        <v>138</v>
      </c>
      <c r="D31" s="19" t="s">
        <v>116</v>
      </c>
      <c r="E31" s="19" t="s">
        <v>139</v>
      </c>
      <c r="F31" s="24" t="s">
        <v>403</v>
      </c>
      <c r="G31" s="19" t="s">
        <v>121</v>
      </c>
      <c r="H31" s="19" t="s">
        <v>86</v>
      </c>
      <c r="I31" s="19"/>
      <c r="J31" s="19" t="s">
        <v>354</v>
      </c>
      <c r="K31" s="19"/>
      <c r="L31" s="19" t="s">
        <v>89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</v>
      </c>
      <c r="B32" s="23" t="n">
        <v>45778</v>
      </c>
      <c r="C32" s="19" t="s">
        <v>138</v>
      </c>
      <c r="D32" s="19" t="s">
        <v>140</v>
      </c>
      <c r="E32" s="19" t="s">
        <v>141</v>
      </c>
      <c r="F32" s="24" t="s">
        <v>404</v>
      </c>
      <c r="G32" s="19" t="s">
        <v>142</v>
      </c>
      <c r="H32" s="19" t="s">
        <v>143</v>
      </c>
      <c r="I32" s="19" t="s">
        <v>144</v>
      </c>
      <c r="J32" s="19" t="s">
        <v>354</v>
      </c>
      <c r="K32" s="19"/>
      <c r="L32" s="19" t="s">
        <v>89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公-西门车库出口-0501</v>
      </c>
      <c r="B33" s="23" t="n">
        <v>45778</v>
      </c>
      <c r="C33" s="19" t="s">
        <v>138</v>
      </c>
      <c r="D33" s="19" t="s">
        <v>140</v>
      </c>
      <c r="E33" s="19" t="s">
        <v>145</v>
      </c>
      <c r="F33" s="24" t="s">
        <v>405</v>
      </c>
      <c r="G33" s="19" t="s">
        <v>146</v>
      </c>
      <c r="H33" s="19" t="s">
        <v>143</v>
      </c>
      <c r="I33" s="19" t="s">
        <v>144</v>
      </c>
      <c r="J33" s="19" t="s">
        <v>354</v>
      </c>
      <c r="K33" s="19"/>
      <c r="L33" s="19" t="s">
        <v>89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3-货梯-0501</v>
      </c>
      <c r="B34" s="23" t="n">
        <v>45778</v>
      </c>
      <c r="C34" s="19" t="s">
        <v>138</v>
      </c>
      <c r="D34" s="19" t="s">
        <v>128</v>
      </c>
      <c r="E34" s="19" t="s">
        <v>147</v>
      </c>
      <c r="F34" s="24" t="s">
        <v>406</v>
      </c>
      <c r="G34" s="19" t="s">
        <v>85</v>
      </c>
      <c r="H34" s="19" t="s">
        <v>143</v>
      </c>
      <c r="I34" s="19"/>
      <c r="J34" s="19" t="s">
        <v>394</v>
      </c>
      <c r="K34" s="19"/>
      <c r="L34" s="19" t="s">
        <v>89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9-肉菜市场-0501</v>
      </c>
      <c r="B35" s="23" t="n">
        <v>45778</v>
      </c>
      <c r="C35" s="19" t="s">
        <v>138</v>
      </c>
      <c r="D35" s="19" t="s">
        <v>116</v>
      </c>
      <c r="E35" s="19" t="s">
        <v>148</v>
      </c>
      <c r="F35" s="24" t="s">
        <v>407</v>
      </c>
      <c r="G35" s="19" t="s">
        <v>97</v>
      </c>
      <c r="H35" s="19" t="s">
        <v>93</v>
      </c>
      <c r="I35" s="19"/>
      <c r="J35" s="19"/>
      <c r="K35" s="19"/>
      <c r="L35" s="19" t="s">
        <v>94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149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10-1层-0501</v>
      </c>
      <c r="B36" s="23" t="n">
        <v>45778</v>
      </c>
      <c r="C36" s="19" t="s">
        <v>138</v>
      </c>
      <c r="D36" s="19" t="s">
        <v>114</v>
      </c>
      <c r="E36" s="19" t="s">
        <v>150</v>
      </c>
      <c r="F36" s="24" t="s">
        <v>408</v>
      </c>
      <c r="G36" s="19" t="s">
        <v>100</v>
      </c>
      <c r="H36" s="19" t="s">
        <v>143</v>
      </c>
      <c r="I36" s="19"/>
      <c r="J36" s="19" t="s">
        <v>357</v>
      </c>
      <c r="K36" s="19"/>
      <c r="L36" s="19" t="s">
        <v>89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公-健身房旁-0501</v>
      </c>
      <c r="B37" s="23" t="n">
        <v>45778</v>
      </c>
      <c r="C37" s="19" t="s">
        <v>138</v>
      </c>
      <c r="D37" s="19" t="s">
        <v>140</v>
      </c>
      <c r="E37" s="19" t="s">
        <v>151</v>
      </c>
      <c r="F37" s="24" t="s">
        <v>409</v>
      </c>
      <c r="G37" s="19" t="s">
        <v>121</v>
      </c>
      <c r="H37" s="19" t="s">
        <v>86</v>
      </c>
      <c r="I37" s="19"/>
      <c r="J37" s="19" t="s">
        <v>410</v>
      </c>
      <c r="K37" s="19"/>
      <c r="L37" s="19" t="s">
        <v>89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411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2-1楼-0501</v>
      </c>
      <c r="B38" s="23" t="n">
        <v>45778</v>
      </c>
      <c r="C38" s="19" t="s">
        <v>138</v>
      </c>
      <c r="D38" s="19" t="s">
        <v>130</v>
      </c>
      <c r="E38" s="19" t="s">
        <v>152</v>
      </c>
      <c r="F38" s="24" t="s">
        <v>412</v>
      </c>
      <c r="G38" s="19" t="s">
        <v>146</v>
      </c>
      <c r="H38" s="19" t="s">
        <v>143</v>
      </c>
      <c r="I38" s="19" t="s">
        <v>144</v>
      </c>
      <c r="J38" s="19" t="s">
        <v>413</v>
      </c>
      <c r="K38" s="19"/>
      <c r="L38" s="19" t="s">
        <v>89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公-东大门-0501-02</v>
      </c>
      <c r="B39" s="23" t="n">
        <v>45778</v>
      </c>
      <c r="C39" s="19" t="s">
        <v>138</v>
      </c>
      <c r="D39" s="19" t="s">
        <v>140</v>
      </c>
      <c r="E39" s="19" t="s">
        <v>141</v>
      </c>
      <c r="F39" s="24" t="s">
        <v>414</v>
      </c>
      <c r="G39" s="19" t="s">
        <v>106</v>
      </c>
      <c r="H39" s="19" t="s">
        <v>93</v>
      </c>
      <c r="I39" s="19"/>
      <c r="J39" s="19" t="s">
        <v>415</v>
      </c>
      <c r="K39" s="19"/>
      <c r="L39" s="19" t="s">
        <v>94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416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8-大堂-0501</v>
      </c>
      <c r="B40" s="23" t="n">
        <v>45778</v>
      </c>
      <c r="C40" s="19" t="s">
        <v>138</v>
      </c>
      <c r="D40" s="19" t="s">
        <v>83</v>
      </c>
      <c r="E40" s="19" t="s">
        <v>153</v>
      </c>
      <c r="F40" s="24" t="s">
        <v>417</v>
      </c>
      <c r="G40" s="19" t="s">
        <v>121</v>
      </c>
      <c r="H40" s="19" t="s">
        <v>143</v>
      </c>
      <c r="I40" s="19"/>
      <c r="J40" s="19" t="s">
        <v>394</v>
      </c>
      <c r="K40" s="19"/>
      <c r="L40" s="19" t="s">
        <v>89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7-凉亭-0501</v>
      </c>
      <c r="B41" s="23" t="n">
        <v>45778</v>
      </c>
      <c r="C41" s="19" t="s">
        <v>138</v>
      </c>
      <c r="D41" s="19" t="s">
        <v>98</v>
      </c>
      <c r="E41" s="19" t="s">
        <v>154</v>
      </c>
      <c r="F41" s="24" t="s">
        <v>418</v>
      </c>
      <c r="G41" s="19" t="s">
        <v>126</v>
      </c>
      <c r="H41" s="19" t="s">
        <v>143</v>
      </c>
      <c r="I41" s="19" t="s">
        <v>144</v>
      </c>
      <c r="J41" s="19" t="s">
        <v>394</v>
      </c>
      <c r="K41" s="19"/>
      <c r="L41" s="19" t="s">
        <v>94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419</v>
      </c>
      <c r="Q41" s="27"/>
      <c r="R41" s="19"/>
      <c r="S41" s="24"/>
    </row>
    <row r="42" customFormat="false" ht="29.85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5-1602-0502</v>
      </c>
      <c r="B42" s="23" t="n">
        <v>45779</v>
      </c>
      <c r="C42" s="19" t="s">
        <v>82</v>
      </c>
      <c r="D42" s="19" t="s">
        <v>95</v>
      </c>
      <c r="E42" s="19" t="s">
        <v>108</v>
      </c>
      <c r="F42" s="24" t="s">
        <v>420</v>
      </c>
      <c r="G42" s="19" t="s">
        <v>97</v>
      </c>
      <c r="H42" s="19" t="s">
        <v>87</v>
      </c>
      <c r="I42" s="19"/>
      <c r="J42" s="19" t="s">
        <v>421</v>
      </c>
      <c r="K42" s="19"/>
      <c r="L42" s="19" t="s">
        <v>94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422</v>
      </c>
      <c r="Q42" s="27"/>
      <c r="R42" s="19" t="s">
        <v>90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11-2301-0502</v>
      </c>
      <c r="B43" s="23" t="n">
        <v>45779</v>
      </c>
      <c r="C43" s="19" t="s">
        <v>82</v>
      </c>
      <c r="D43" s="19" t="s">
        <v>123</v>
      </c>
      <c r="E43" s="19" t="s">
        <v>155</v>
      </c>
      <c r="F43" s="24" t="s">
        <v>423</v>
      </c>
      <c r="G43" s="19" t="s">
        <v>156</v>
      </c>
      <c r="H43" s="19" t="s">
        <v>143</v>
      </c>
      <c r="I43" s="19"/>
      <c r="J43" s="19" t="s">
        <v>351</v>
      </c>
      <c r="K43" s="19"/>
      <c r="L43" s="19" t="s">
        <v>89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424</v>
      </c>
      <c r="Q43" s="27"/>
      <c r="R43" s="19" t="s">
        <v>90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2-1201-0502</v>
      </c>
      <c r="B44" s="23" t="n">
        <v>45779</v>
      </c>
      <c r="C44" s="19" t="s">
        <v>82</v>
      </c>
      <c r="D44" s="19" t="s">
        <v>130</v>
      </c>
      <c r="E44" s="19" t="s">
        <v>157</v>
      </c>
      <c r="F44" s="24" t="s">
        <v>425</v>
      </c>
      <c r="G44" s="19" t="s">
        <v>126</v>
      </c>
      <c r="H44" s="19" t="s">
        <v>86</v>
      </c>
      <c r="I44" s="19"/>
      <c r="J44" s="19" t="s">
        <v>426</v>
      </c>
      <c r="K44" s="19"/>
      <c r="L44" s="19" t="s">
        <v>89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90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9-304-0502</v>
      </c>
      <c r="B45" s="23" t="n">
        <v>45779</v>
      </c>
      <c r="C45" s="19" t="s">
        <v>82</v>
      </c>
      <c r="D45" s="19" t="s">
        <v>116</v>
      </c>
      <c r="E45" s="19" t="s">
        <v>112</v>
      </c>
      <c r="F45" s="24" t="s">
        <v>427</v>
      </c>
      <c r="G45" s="19" t="s">
        <v>85</v>
      </c>
      <c r="H45" s="19" t="s">
        <v>87</v>
      </c>
      <c r="I45" s="19"/>
      <c r="J45" s="19" t="s">
        <v>428</v>
      </c>
      <c r="K45" s="19" t="s">
        <v>88</v>
      </c>
      <c r="L45" s="19" t="s">
        <v>89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205</v>
      </c>
      <c r="Q45" s="27"/>
      <c r="R45" s="19" t="s">
        <v>90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6-201-0502</v>
      </c>
      <c r="B46" s="23" t="n">
        <v>45779</v>
      </c>
      <c r="C46" s="19" t="s">
        <v>82</v>
      </c>
      <c r="D46" s="19" t="s">
        <v>91</v>
      </c>
      <c r="E46" s="19" t="s">
        <v>158</v>
      </c>
      <c r="F46" s="24" t="s">
        <v>429</v>
      </c>
      <c r="G46" s="19" t="s">
        <v>100</v>
      </c>
      <c r="H46" s="19" t="s">
        <v>86</v>
      </c>
      <c r="I46" s="19"/>
      <c r="J46" s="19" t="s">
        <v>351</v>
      </c>
      <c r="K46" s="19"/>
      <c r="L46" s="19" t="s">
        <v>89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90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10-2403-0502</v>
      </c>
      <c r="B47" s="23" t="n">
        <v>45779</v>
      </c>
      <c r="C47" s="19" t="s">
        <v>82</v>
      </c>
      <c r="D47" s="19" t="s">
        <v>114</v>
      </c>
      <c r="E47" s="19" t="s">
        <v>159</v>
      </c>
      <c r="F47" s="24" t="s">
        <v>430</v>
      </c>
      <c r="G47" s="19" t="s">
        <v>160</v>
      </c>
      <c r="H47" s="19" t="s">
        <v>86</v>
      </c>
      <c r="I47" s="19"/>
      <c r="J47" s="19" t="s">
        <v>431</v>
      </c>
      <c r="K47" s="19"/>
      <c r="L47" s="19" t="s">
        <v>89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90</v>
      </c>
      <c r="S47" s="24"/>
    </row>
    <row r="48" customFormat="false" ht="29.8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6-3304-0502</v>
      </c>
      <c r="B48" s="23" t="n">
        <v>45779</v>
      </c>
      <c r="C48" s="19" t="s">
        <v>82</v>
      </c>
      <c r="D48" s="19" t="s">
        <v>91</v>
      </c>
      <c r="E48" s="19" t="s">
        <v>161</v>
      </c>
      <c r="F48" s="24" t="s">
        <v>432</v>
      </c>
      <c r="G48" s="19" t="s">
        <v>85</v>
      </c>
      <c r="H48" s="19" t="s">
        <v>87</v>
      </c>
      <c r="I48" s="19"/>
      <c r="J48" s="19" t="s">
        <v>351</v>
      </c>
      <c r="K48" s="19" t="s">
        <v>107</v>
      </c>
      <c r="L48" s="19" t="s">
        <v>94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433</v>
      </c>
      <c r="Q48" s="27"/>
      <c r="R48" s="19" t="s">
        <v>90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7-2503-0502</v>
      </c>
      <c r="B49" s="23" t="n">
        <v>45779</v>
      </c>
      <c r="C49" s="19" t="s">
        <v>82</v>
      </c>
      <c r="D49" s="19" t="s">
        <v>98</v>
      </c>
      <c r="E49" s="19" t="s">
        <v>162</v>
      </c>
      <c r="F49" s="24" t="s">
        <v>434</v>
      </c>
      <c r="G49" s="19" t="s">
        <v>121</v>
      </c>
      <c r="H49" s="19" t="s">
        <v>86</v>
      </c>
      <c r="I49" s="19"/>
      <c r="J49" s="19" t="s">
        <v>428</v>
      </c>
      <c r="K49" s="19" t="s">
        <v>88</v>
      </c>
      <c r="L49" s="19" t="s">
        <v>89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90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9-1102-0502</v>
      </c>
      <c r="B50" s="23" t="n">
        <v>45779</v>
      </c>
      <c r="C50" s="19" t="s">
        <v>82</v>
      </c>
      <c r="D50" s="19" t="s">
        <v>116</v>
      </c>
      <c r="E50" s="19" t="s">
        <v>163</v>
      </c>
      <c r="F50" s="24" t="s">
        <v>435</v>
      </c>
      <c r="G50" s="19" t="s">
        <v>121</v>
      </c>
      <c r="H50" s="19" t="s">
        <v>87</v>
      </c>
      <c r="I50" s="19"/>
      <c r="J50" s="19" t="s">
        <v>436</v>
      </c>
      <c r="K50" s="19" t="s">
        <v>88</v>
      </c>
      <c r="L50" s="19" t="s">
        <v>89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90</v>
      </c>
      <c r="S50" s="24" t="s">
        <v>437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5-1501-0502</v>
      </c>
      <c r="B51" s="23" t="n">
        <v>45779</v>
      </c>
      <c r="C51" s="19" t="s">
        <v>82</v>
      </c>
      <c r="D51" s="19" t="s">
        <v>95</v>
      </c>
      <c r="E51" s="19" t="s">
        <v>122</v>
      </c>
      <c r="F51" s="24" t="s">
        <v>438</v>
      </c>
      <c r="G51" s="19" t="s">
        <v>97</v>
      </c>
      <c r="H51" s="19" t="s">
        <v>143</v>
      </c>
      <c r="I51" s="19"/>
      <c r="J51" s="19" t="s">
        <v>439</v>
      </c>
      <c r="K51" s="19" t="s">
        <v>107</v>
      </c>
      <c r="L51" s="19" t="s">
        <v>94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440</v>
      </c>
      <c r="Q51" s="27"/>
      <c r="R51" s="19" t="s">
        <v>90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10-502-0502</v>
      </c>
      <c r="B52" s="23" t="n">
        <v>45779</v>
      </c>
      <c r="C52" s="19" t="s">
        <v>82</v>
      </c>
      <c r="D52" s="19" t="s">
        <v>114</v>
      </c>
      <c r="E52" s="19" t="s">
        <v>164</v>
      </c>
      <c r="F52" s="24" t="s">
        <v>441</v>
      </c>
      <c r="G52" s="19" t="s">
        <v>100</v>
      </c>
      <c r="H52" s="19" t="s">
        <v>143</v>
      </c>
      <c r="I52" s="19"/>
      <c r="J52" s="19" t="s">
        <v>351</v>
      </c>
      <c r="K52" s="19" t="s">
        <v>107</v>
      </c>
      <c r="L52" s="19" t="s">
        <v>89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90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7-1004-0502</v>
      </c>
      <c r="B53" s="23" t="n">
        <v>45779</v>
      </c>
      <c r="C53" s="19" t="s">
        <v>82</v>
      </c>
      <c r="D53" s="19" t="s">
        <v>98</v>
      </c>
      <c r="E53" s="19" t="s">
        <v>165</v>
      </c>
      <c r="F53" s="24" t="s">
        <v>442</v>
      </c>
      <c r="G53" s="19" t="s">
        <v>100</v>
      </c>
      <c r="H53" s="19" t="s">
        <v>87</v>
      </c>
      <c r="I53" s="19"/>
      <c r="J53" s="19" t="s">
        <v>443</v>
      </c>
      <c r="K53" s="19" t="s">
        <v>88</v>
      </c>
      <c r="L53" s="19" t="s">
        <v>89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444</v>
      </c>
      <c r="Q53" s="27"/>
      <c r="R53" s="19" t="s">
        <v>90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10-1901-0502</v>
      </c>
      <c r="B54" s="23" t="n">
        <v>45779</v>
      </c>
      <c r="C54" s="19" t="s">
        <v>82</v>
      </c>
      <c r="D54" s="19" t="s">
        <v>114</v>
      </c>
      <c r="E54" s="19" t="s">
        <v>166</v>
      </c>
      <c r="F54" s="24" t="s">
        <v>445</v>
      </c>
      <c r="G54" s="19" t="s">
        <v>100</v>
      </c>
      <c r="H54" s="19" t="s">
        <v>87</v>
      </c>
      <c r="I54" s="19"/>
      <c r="J54" s="19" t="s">
        <v>446</v>
      </c>
      <c r="K54" s="19"/>
      <c r="L54" s="19" t="s">
        <v>89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447</v>
      </c>
      <c r="Q54" s="27"/>
      <c r="R54" s="19" t="s">
        <v>90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5-503-0502-02</v>
      </c>
      <c r="B55" s="23" t="n">
        <v>45779</v>
      </c>
      <c r="C55" s="19" t="s">
        <v>82</v>
      </c>
      <c r="D55" s="19" t="s">
        <v>95</v>
      </c>
      <c r="E55" s="19" t="s">
        <v>96</v>
      </c>
      <c r="F55" s="24" t="s">
        <v>448</v>
      </c>
      <c r="G55" s="19" t="s">
        <v>106</v>
      </c>
      <c r="H55" s="19" t="s">
        <v>87</v>
      </c>
      <c r="I55" s="19"/>
      <c r="J55" s="19" t="s">
        <v>449</v>
      </c>
      <c r="K55" s="19"/>
      <c r="L55" s="19" t="s">
        <v>89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90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5-2101-0502</v>
      </c>
      <c r="B56" s="23" t="n">
        <v>45779</v>
      </c>
      <c r="C56" s="19" t="s">
        <v>82</v>
      </c>
      <c r="D56" s="19" t="s">
        <v>95</v>
      </c>
      <c r="E56" s="19" t="s">
        <v>167</v>
      </c>
      <c r="F56" s="24" t="s">
        <v>450</v>
      </c>
      <c r="G56" s="19" t="s">
        <v>126</v>
      </c>
      <c r="H56" s="19" t="s">
        <v>86</v>
      </c>
      <c r="I56" s="19"/>
      <c r="J56" s="19" t="s">
        <v>431</v>
      </c>
      <c r="K56" s="19"/>
      <c r="L56" s="19" t="s">
        <v>89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168</v>
      </c>
      <c r="Q56" s="27"/>
      <c r="R56" s="19" t="s">
        <v>90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10-3302-0502</v>
      </c>
      <c r="B57" s="23" t="n">
        <v>45779</v>
      </c>
      <c r="C57" s="19" t="s">
        <v>82</v>
      </c>
      <c r="D57" s="19" t="s">
        <v>114</v>
      </c>
      <c r="E57" s="19" t="s">
        <v>169</v>
      </c>
      <c r="F57" s="24" t="s">
        <v>451</v>
      </c>
      <c r="G57" s="19" t="s">
        <v>100</v>
      </c>
      <c r="H57" s="19" t="s">
        <v>87</v>
      </c>
      <c r="I57" s="19"/>
      <c r="J57" s="19" t="s">
        <v>452</v>
      </c>
      <c r="K57" s="19" t="s">
        <v>107</v>
      </c>
      <c r="L57" s="19" t="s">
        <v>89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90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3-2904-0502</v>
      </c>
      <c r="B58" s="23" t="n">
        <v>45779</v>
      </c>
      <c r="C58" s="19" t="s">
        <v>82</v>
      </c>
      <c r="D58" s="19" t="s">
        <v>128</v>
      </c>
      <c r="E58" s="19" t="s">
        <v>99</v>
      </c>
      <c r="F58" s="24" t="s">
        <v>453</v>
      </c>
      <c r="G58" s="19" t="s">
        <v>100</v>
      </c>
      <c r="H58" s="19" t="s">
        <v>143</v>
      </c>
      <c r="I58" s="19"/>
      <c r="J58" s="19" t="s">
        <v>454</v>
      </c>
      <c r="K58" s="19"/>
      <c r="L58" s="19" t="s">
        <v>89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101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8-2704-0502</v>
      </c>
      <c r="B59" s="23" t="n">
        <v>45779</v>
      </c>
      <c r="C59" s="19" t="s">
        <v>82</v>
      </c>
      <c r="D59" s="19" t="s">
        <v>83</v>
      </c>
      <c r="E59" s="19" t="s">
        <v>170</v>
      </c>
      <c r="F59" s="24" t="s">
        <v>455</v>
      </c>
      <c r="G59" s="19" t="s">
        <v>85</v>
      </c>
      <c r="H59" s="19" t="s">
        <v>86</v>
      </c>
      <c r="I59" s="19" t="s">
        <v>87</v>
      </c>
      <c r="J59" s="19" t="s">
        <v>456</v>
      </c>
      <c r="K59" s="19"/>
      <c r="L59" s="19" t="s">
        <v>89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171</v>
      </c>
      <c r="Q59" s="27"/>
      <c r="R59" s="19" t="s">
        <v>90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2-702-0502</v>
      </c>
      <c r="B60" s="23" t="n">
        <v>45779</v>
      </c>
      <c r="C60" s="19" t="s">
        <v>82</v>
      </c>
      <c r="D60" s="19" t="s">
        <v>130</v>
      </c>
      <c r="E60" s="19" t="s">
        <v>172</v>
      </c>
      <c r="F60" s="24" t="s">
        <v>457</v>
      </c>
      <c r="G60" s="19" t="s">
        <v>100</v>
      </c>
      <c r="H60" s="19" t="s">
        <v>93</v>
      </c>
      <c r="I60" s="19"/>
      <c r="J60" s="19" t="s">
        <v>443</v>
      </c>
      <c r="K60" s="19"/>
      <c r="L60" s="19" t="s">
        <v>89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90</v>
      </c>
      <c r="S60" s="24"/>
    </row>
    <row r="61" customFormat="false" ht="29.8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7-1301-0502</v>
      </c>
      <c r="B61" s="23" t="n">
        <v>45779</v>
      </c>
      <c r="C61" s="19" t="s">
        <v>82</v>
      </c>
      <c r="D61" s="19" t="s">
        <v>98</v>
      </c>
      <c r="E61" s="19" t="s">
        <v>173</v>
      </c>
      <c r="F61" s="24" t="s">
        <v>458</v>
      </c>
      <c r="G61" s="19" t="s">
        <v>106</v>
      </c>
      <c r="H61" s="19" t="s">
        <v>87</v>
      </c>
      <c r="I61" s="19"/>
      <c r="J61" s="19" t="s">
        <v>421</v>
      </c>
      <c r="K61" s="19" t="s">
        <v>88</v>
      </c>
      <c r="L61" s="19" t="s">
        <v>94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459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公-946车位-0502</v>
      </c>
      <c r="B62" s="23" t="n">
        <v>45779</v>
      </c>
      <c r="C62" s="19" t="s">
        <v>138</v>
      </c>
      <c r="D62" s="19" t="s">
        <v>140</v>
      </c>
      <c r="E62" s="19" t="s">
        <v>174</v>
      </c>
      <c r="F62" s="24" t="s">
        <v>460</v>
      </c>
      <c r="G62" s="19" t="s">
        <v>121</v>
      </c>
      <c r="H62" s="19" t="s">
        <v>86</v>
      </c>
      <c r="I62" s="19"/>
      <c r="J62" s="19" t="s">
        <v>431</v>
      </c>
      <c r="K62" s="19"/>
      <c r="L62" s="19" t="s">
        <v>89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11-负一-0502</v>
      </c>
      <c r="B63" s="23" t="n">
        <v>45779</v>
      </c>
      <c r="C63" s="19" t="s">
        <v>138</v>
      </c>
      <c r="D63" s="19" t="s">
        <v>123</v>
      </c>
      <c r="E63" s="19" t="s">
        <v>175</v>
      </c>
      <c r="F63" s="24" t="s">
        <v>461</v>
      </c>
      <c r="G63" s="19" t="s">
        <v>100</v>
      </c>
      <c r="H63" s="19" t="s">
        <v>86</v>
      </c>
      <c r="I63" s="19"/>
      <c r="J63" s="19" t="s">
        <v>431</v>
      </c>
      <c r="K63" s="19"/>
      <c r="L63" s="19" t="s">
        <v>89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10-1楼-0502</v>
      </c>
      <c r="B64" s="23" t="n">
        <v>45779</v>
      </c>
      <c r="C64" s="19" t="s">
        <v>138</v>
      </c>
      <c r="D64" s="19" t="s">
        <v>114</v>
      </c>
      <c r="E64" s="19" t="s">
        <v>152</v>
      </c>
      <c r="F64" s="24" t="s">
        <v>462</v>
      </c>
      <c r="G64" s="19" t="s">
        <v>121</v>
      </c>
      <c r="H64" s="19" t="s">
        <v>86</v>
      </c>
      <c r="I64" s="19"/>
      <c r="J64" s="19" t="s">
        <v>431</v>
      </c>
      <c r="K64" s="19"/>
      <c r="L64" s="19" t="s">
        <v>89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176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10-大堂-0502</v>
      </c>
      <c r="B65" s="23" t="n">
        <v>45779</v>
      </c>
      <c r="C65" s="19" t="s">
        <v>138</v>
      </c>
      <c r="D65" s="19" t="s">
        <v>114</v>
      </c>
      <c r="E65" s="19" t="s">
        <v>153</v>
      </c>
      <c r="F65" s="24" t="s">
        <v>463</v>
      </c>
      <c r="G65" s="19" t="s">
        <v>146</v>
      </c>
      <c r="H65" s="19" t="s">
        <v>86</v>
      </c>
      <c r="I65" s="19"/>
      <c r="J65" s="19" t="s">
        <v>431</v>
      </c>
      <c r="K65" s="19"/>
      <c r="L65" s="19" t="s">
        <v>89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公-919车位-0502</v>
      </c>
      <c r="B66" s="23" t="n">
        <v>45779</v>
      </c>
      <c r="C66" s="19" t="s">
        <v>138</v>
      </c>
      <c r="D66" s="19" t="s">
        <v>140</v>
      </c>
      <c r="E66" s="19" t="s">
        <v>177</v>
      </c>
      <c r="F66" s="24" t="s">
        <v>464</v>
      </c>
      <c r="G66" s="19" t="s">
        <v>121</v>
      </c>
      <c r="H66" s="19" t="s">
        <v>86</v>
      </c>
      <c r="I66" s="19"/>
      <c r="J66" s="19" t="s">
        <v>431</v>
      </c>
      <c r="K66" s="19"/>
      <c r="L66" s="19" t="s">
        <v>89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11-602-0503</v>
      </c>
      <c r="B67" s="23" t="n">
        <v>45780</v>
      </c>
      <c r="C67" s="19" t="s">
        <v>82</v>
      </c>
      <c r="D67" s="19" t="s">
        <v>123</v>
      </c>
      <c r="E67" s="19" t="s">
        <v>178</v>
      </c>
      <c r="F67" s="24" t="s">
        <v>465</v>
      </c>
      <c r="G67" s="19" t="s">
        <v>100</v>
      </c>
      <c r="H67" s="19" t="s">
        <v>86</v>
      </c>
      <c r="I67" s="19"/>
      <c r="J67" s="19" t="s">
        <v>466</v>
      </c>
      <c r="K67" s="19"/>
      <c r="L67" s="19" t="s">
        <v>89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90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6-1904-0503</v>
      </c>
      <c r="B68" s="23" t="n">
        <v>45780</v>
      </c>
      <c r="C68" s="19" t="s">
        <v>82</v>
      </c>
      <c r="D68" s="19" t="s">
        <v>91</v>
      </c>
      <c r="E68" s="19" t="s">
        <v>179</v>
      </c>
      <c r="F68" s="24" t="s">
        <v>467</v>
      </c>
      <c r="G68" s="19" t="s">
        <v>100</v>
      </c>
      <c r="H68" s="19" t="s">
        <v>87</v>
      </c>
      <c r="I68" s="19"/>
      <c r="J68" s="19" t="s">
        <v>468</v>
      </c>
      <c r="K68" s="19"/>
      <c r="L68" s="19" t="s">
        <v>89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90</v>
      </c>
      <c r="S68" s="24" t="s">
        <v>469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1-1301-0503</v>
      </c>
      <c r="B69" s="23" t="n">
        <v>45780</v>
      </c>
      <c r="C69" s="19" t="s">
        <v>82</v>
      </c>
      <c r="D69" s="19" t="s">
        <v>118</v>
      </c>
      <c r="E69" s="19" t="s">
        <v>173</v>
      </c>
      <c r="F69" s="24" t="s">
        <v>470</v>
      </c>
      <c r="G69" s="19" t="s">
        <v>121</v>
      </c>
      <c r="H69" s="19" t="s">
        <v>86</v>
      </c>
      <c r="I69" s="19"/>
      <c r="J69" s="19" t="s">
        <v>466</v>
      </c>
      <c r="K69" s="19"/>
      <c r="L69" s="19" t="s">
        <v>89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90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6-2402-0503</v>
      </c>
      <c r="B70" s="23" t="n">
        <v>45780</v>
      </c>
      <c r="C70" s="19" t="s">
        <v>82</v>
      </c>
      <c r="D70" s="19" t="s">
        <v>91</v>
      </c>
      <c r="E70" s="19" t="s">
        <v>180</v>
      </c>
      <c r="F70" s="24" t="s">
        <v>181</v>
      </c>
      <c r="G70" s="19" t="s">
        <v>100</v>
      </c>
      <c r="H70" s="19" t="s">
        <v>86</v>
      </c>
      <c r="I70" s="19"/>
      <c r="J70" s="19" t="s">
        <v>466</v>
      </c>
      <c r="K70" s="19"/>
      <c r="L70" s="19" t="s">
        <v>89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90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9-2203-0503</v>
      </c>
      <c r="B71" s="23" t="n">
        <v>45780</v>
      </c>
      <c r="C71" s="19" t="s">
        <v>82</v>
      </c>
      <c r="D71" s="19" t="s">
        <v>116</v>
      </c>
      <c r="E71" s="19" t="s">
        <v>182</v>
      </c>
      <c r="F71" s="24" t="s">
        <v>471</v>
      </c>
      <c r="G71" s="19" t="s">
        <v>126</v>
      </c>
      <c r="H71" s="19" t="s">
        <v>87</v>
      </c>
      <c r="I71" s="19"/>
      <c r="J71" s="19" t="s">
        <v>472</v>
      </c>
      <c r="K71" s="19"/>
      <c r="L71" s="19" t="s">
        <v>89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473</v>
      </c>
      <c r="Q71" s="27"/>
      <c r="R71" s="19" t="s">
        <v>90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4-2903-0503</v>
      </c>
      <c r="B72" s="23" t="n">
        <v>45780</v>
      </c>
      <c r="C72" s="19" t="s">
        <v>82</v>
      </c>
      <c r="D72" s="19" t="s">
        <v>132</v>
      </c>
      <c r="E72" s="19" t="s">
        <v>183</v>
      </c>
      <c r="F72" s="24" t="s">
        <v>474</v>
      </c>
      <c r="G72" s="19" t="s">
        <v>121</v>
      </c>
      <c r="H72" s="19" t="s">
        <v>93</v>
      </c>
      <c r="I72" s="19"/>
      <c r="J72" s="19" t="s">
        <v>475</v>
      </c>
      <c r="K72" s="19" t="s">
        <v>107</v>
      </c>
      <c r="L72" s="19" t="s">
        <v>89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184</v>
      </c>
      <c r="Q72" s="27"/>
      <c r="R72" s="19" t="s">
        <v>90</v>
      </c>
      <c r="S72" s="24" t="s">
        <v>185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10-1501-0503</v>
      </c>
      <c r="B73" s="23" t="n">
        <v>45780</v>
      </c>
      <c r="C73" s="19" t="s">
        <v>82</v>
      </c>
      <c r="D73" s="19" t="s">
        <v>114</v>
      </c>
      <c r="E73" s="19" t="s">
        <v>122</v>
      </c>
      <c r="F73" s="24" t="s">
        <v>476</v>
      </c>
      <c r="G73" s="19" t="s">
        <v>100</v>
      </c>
      <c r="H73" s="19" t="s">
        <v>87</v>
      </c>
      <c r="I73" s="19"/>
      <c r="J73" s="19" t="s">
        <v>477</v>
      </c>
      <c r="K73" s="19"/>
      <c r="L73" s="19" t="s">
        <v>89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101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5-204-0503</v>
      </c>
      <c r="B74" s="23" t="n">
        <v>45780</v>
      </c>
      <c r="C74" s="19" t="s">
        <v>82</v>
      </c>
      <c r="D74" s="19" t="s">
        <v>95</v>
      </c>
      <c r="E74" s="19" t="s">
        <v>186</v>
      </c>
      <c r="F74" s="24" t="s">
        <v>478</v>
      </c>
      <c r="G74" s="19" t="s">
        <v>126</v>
      </c>
      <c r="H74" s="19" t="s">
        <v>86</v>
      </c>
      <c r="I74" s="19"/>
      <c r="J74" s="19" t="s">
        <v>479</v>
      </c>
      <c r="K74" s="19" t="s">
        <v>88</v>
      </c>
      <c r="L74" s="19" t="s">
        <v>89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187</v>
      </c>
      <c r="Q74" s="27"/>
      <c r="R74" s="19" t="s">
        <v>90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11-2504-0503</v>
      </c>
      <c r="B75" s="23" t="n">
        <v>45780</v>
      </c>
      <c r="C75" s="19" t="s">
        <v>82</v>
      </c>
      <c r="D75" s="19" t="s">
        <v>123</v>
      </c>
      <c r="E75" s="19" t="s">
        <v>92</v>
      </c>
      <c r="F75" s="24" t="s">
        <v>480</v>
      </c>
      <c r="G75" s="19" t="s">
        <v>85</v>
      </c>
      <c r="H75" s="19" t="s">
        <v>143</v>
      </c>
      <c r="I75" s="19"/>
      <c r="J75" s="19" t="s">
        <v>481</v>
      </c>
      <c r="K75" s="19"/>
      <c r="L75" s="19" t="s">
        <v>89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482</v>
      </c>
      <c r="Q75" s="27"/>
      <c r="R75" s="19" t="s">
        <v>90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11-大门-0503</v>
      </c>
      <c r="B76" s="23" t="n">
        <v>45780</v>
      </c>
      <c r="C76" s="19" t="s">
        <v>138</v>
      </c>
      <c r="D76" s="19" t="s">
        <v>123</v>
      </c>
      <c r="E76" s="19" t="s">
        <v>188</v>
      </c>
      <c r="F76" s="24" t="s">
        <v>483</v>
      </c>
      <c r="G76" s="19" t="s">
        <v>100</v>
      </c>
      <c r="H76" s="19" t="s">
        <v>143</v>
      </c>
      <c r="I76" s="19" t="s">
        <v>86</v>
      </c>
      <c r="J76" s="19" t="s">
        <v>475</v>
      </c>
      <c r="K76" s="19"/>
      <c r="L76" s="19" t="s">
        <v>89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7-1304-0503</v>
      </c>
      <c r="B77" s="23" t="n">
        <v>45780</v>
      </c>
      <c r="C77" s="19" t="s">
        <v>82</v>
      </c>
      <c r="D77" s="19" t="s">
        <v>98</v>
      </c>
      <c r="E77" s="19" t="s">
        <v>189</v>
      </c>
      <c r="F77" s="24" t="s">
        <v>484</v>
      </c>
      <c r="G77" s="19" t="s">
        <v>97</v>
      </c>
      <c r="H77" s="19" t="s">
        <v>86</v>
      </c>
      <c r="I77" s="19"/>
      <c r="J77" s="19" t="s">
        <v>466</v>
      </c>
      <c r="K77" s="19"/>
      <c r="L77" s="19" t="s">
        <v>89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485</v>
      </c>
      <c r="Q77" s="27"/>
      <c r="R77" s="19" t="s">
        <v>90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7-3002-0503</v>
      </c>
      <c r="B78" s="23" t="n">
        <v>45780</v>
      </c>
      <c r="C78" s="19" t="s">
        <v>82</v>
      </c>
      <c r="D78" s="19" t="s">
        <v>98</v>
      </c>
      <c r="E78" s="19" t="s">
        <v>190</v>
      </c>
      <c r="F78" s="24" t="s">
        <v>486</v>
      </c>
      <c r="G78" s="19" t="s">
        <v>121</v>
      </c>
      <c r="H78" s="19" t="s">
        <v>86</v>
      </c>
      <c r="I78" s="19"/>
      <c r="J78" s="19" t="s">
        <v>466</v>
      </c>
      <c r="K78" s="19"/>
      <c r="L78" s="19" t="s">
        <v>94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487</v>
      </c>
      <c r="Q78" s="27"/>
      <c r="R78" s="19" t="s">
        <v>90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4-1104-0503</v>
      </c>
      <c r="B79" s="23" t="n">
        <v>45780</v>
      </c>
      <c r="C79" s="19" t="s">
        <v>82</v>
      </c>
      <c r="D79" s="19" t="s">
        <v>132</v>
      </c>
      <c r="E79" s="19" t="s">
        <v>191</v>
      </c>
      <c r="F79" s="24" t="s">
        <v>488</v>
      </c>
      <c r="G79" s="19" t="s">
        <v>100</v>
      </c>
      <c r="H79" s="19" t="s">
        <v>87</v>
      </c>
      <c r="I79" s="19"/>
      <c r="J79" s="19" t="s">
        <v>466</v>
      </c>
      <c r="K79" s="19" t="s">
        <v>88</v>
      </c>
      <c r="L79" s="19" t="s">
        <v>89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90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6-504-0503</v>
      </c>
      <c r="B80" s="23" t="n">
        <v>45780</v>
      </c>
      <c r="C80" s="19" t="s">
        <v>82</v>
      </c>
      <c r="D80" s="19" t="s">
        <v>91</v>
      </c>
      <c r="E80" s="19" t="s">
        <v>110</v>
      </c>
      <c r="F80" s="24" t="s">
        <v>489</v>
      </c>
      <c r="G80" s="19" t="s">
        <v>100</v>
      </c>
      <c r="H80" s="19" t="s">
        <v>93</v>
      </c>
      <c r="I80" s="19"/>
      <c r="J80" s="19" t="s">
        <v>466</v>
      </c>
      <c r="K80" s="19"/>
      <c r="L80" s="19" t="s">
        <v>89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90</v>
      </c>
      <c r="S80" s="24" t="s">
        <v>490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7-2304-0503</v>
      </c>
      <c r="B81" s="23" t="n">
        <v>45780</v>
      </c>
      <c r="C81" s="19" t="s">
        <v>82</v>
      </c>
      <c r="D81" s="19" t="s">
        <v>98</v>
      </c>
      <c r="E81" s="19" t="s">
        <v>192</v>
      </c>
      <c r="F81" s="24" t="s">
        <v>491</v>
      </c>
      <c r="G81" s="19" t="s">
        <v>100</v>
      </c>
      <c r="H81" s="19" t="s">
        <v>87</v>
      </c>
      <c r="I81" s="19"/>
      <c r="J81" s="19" t="s">
        <v>466</v>
      </c>
      <c r="K81" s="19" t="s">
        <v>107</v>
      </c>
      <c r="L81" s="19" t="s">
        <v>89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90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6-1102-0503</v>
      </c>
      <c r="B82" s="23" t="n">
        <v>45780</v>
      </c>
      <c r="C82" s="19" t="s">
        <v>82</v>
      </c>
      <c r="D82" s="19" t="s">
        <v>91</v>
      </c>
      <c r="E82" s="19" t="s">
        <v>163</v>
      </c>
      <c r="F82" s="24" t="s">
        <v>492</v>
      </c>
      <c r="G82" s="19" t="s">
        <v>106</v>
      </c>
      <c r="H82" s="19" t="s">
        <v>144</v>
      </c>
      <c r="I82" s="19"/>
      <c r="J82" s="19" t="s">
        <v>466</v>
      </c>
      <c r="K82" s="19"/>
      <c r="L82" s="19" t="s">
        <v>89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90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6-1503-0503</v>
      </c>
      <c r="B83" s="23" t="n">
        <v>45780</v>
      </c>
      <c r="C83" s="19" t="s">
        <v>82</v>
      </c>
      <c r="D83" s="19" t="s">
        <v>91</v>
      </c>
      <c r="E83" s="19" t="s">
        <v>193</v>
      </c>
      <c r="F83" s="24" t="s">
        <v>493</v>
      </c>
      <c r="G83" s="19" t="s">
        <v>106</v>
      </c>
      <c r="H83" s="19" t="s">
        <v>86</v>
      </c>
      <c r="I83" s="19"/>
      <c r="J83" s="19" t="s">
        <v>466</v>
      </c>
      <c r="K83" s="19"/>
      <c r="L83" s="19" t="s">
        <v>89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90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9-3301-0503</v>
      </c>
      <c r="B84" s="23" t="n">
        <v>45780</v>
      </c>
      <c r="C84" s="19" t="s">
        <v>82</v>
      </c>
      <c r="D84" s="19" t="s">
        <v>116</v>
      </c>
      <c r="E84" s="19" t="s">
        <v>194</v>
      </c>
      <c r="F84" s="24" t="s">
        <v>494</v>
      </c>
      <c r="G84" s="19" t="s">
        <v>121</v>
      </c>
      <c r="H84" s="19" t="s">
        <v>93</v>
      </c>
      <c r="I84" s="19"/>
      <c r="J84" s="19" t="s">
        <v>466</v>
      </c>
      <c r="K84" s="19"/>
      <c r="L84" s="19" t="s">
        <v>89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495</v>
      </c>
      <c r="Q84" s="27"/>
      <c r="R84" s="19" t="s">
        <v>90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9-3204-0503</v>
      </c>
      <c r="B85" s="23" t="n">
        <v>45780</v>
      </c>
      <c r="C85" s="19" t="s">
        <v>82</v>
      </c>
      <c r="D85" s="19" t="s">
        <v>116</v>
      </c>
      <c r="E85" s="19" t="s">
        <v>195</v>
      </c>
      <c r="F85" s="24" t="s">
        <v>496</v>
      </c>
      <c r="G85" s="19" t="s">
        <v>121</v>
      </c>
      <c r="H85" s="19" t="s">
        <v>87</v>
      </c>
      <c r="I85" s="19"/>
      <c r="J85" s="19" t="s">
        <v>477</v>
      </c>
      <c r="K85" s="19"/>
      <c r="L85" s="19" t="s">
        <v>89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90</v>
      </c>
      <c r="S85" s="24" t="s">
        <v>497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9-303-0503</v>
      </c>
      <c r="B86" s="23" t="n">
        <v>45780</v>
      </c>
      <c r="C86" s="19" t="s">
        <v>82</v>
      </c>
      <c r="D86" s="19" t="s">
        <v>116</v>
      </c>
      <c r="E86" s="19" t="s">
        <v>196</v>
      </c>
      <c r="F86" s="24" t="s">
        <v>498</v>
      </c>
      <c r="G86" s="19" t="s">
        <v>121</v>
      </c>
      <c r="H86" s="19" t="s">
        <v>86</v>
      </c>
      <c r="I86" s="19"/>
      <c r="J86" s="19" t="s">
        <v>468</v>
      </c>
      <c r="K86" s="19"/>
      <c r="L86" s="19" t="s">
        <v>89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90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S-124-0503</v>
      </c>
      <c r="B87" s="23" t="n">
        <v>45780</v>
      </c>
      <c r="C87" s="19" t="s">
        <v>82</v>
      </c>
      <c r="D87" s="19" t="s">
        <v>197</v>
      </c>
      <c r="E87" s="19" t="s">
        <v>198</v>
      </c>
      <c r="F87" s="24" t="s">
        <v>499</v>
      </c>
      <c r="G87" s="19" t="s">
        <v>160</v>
      </c>
      <c r="H87" s="19" t="s">
        <v>144</v>
      </c>
      <c r="I87" s="19"/>
      <c r="J87" s="19" t="s">
        <v>468</v>
      </c>
      <c r="K87" s="19"/>
      <c r="L87" s="19" t="s">
        <v>89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90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7-1402-0503</v>
      </c>
      <c r="B88" s="23" t="n">
        <v>45780</v>
      </c>
      <c r="C88" s="19" t="s">
        <v>82</v>
      </c>
      <c r="D88" s="19" t="s">
        <v>98</v>
      </c>
      <c r="E88" s="19" t="s">
        <v>124</v>
      </c>
      <c r="F88" s="24" t="s">
        <v>500</v>
      </c>
      <c r="G88" s="19" t="s">
        <v>100</v>
      </c>
      <c r="H88" s="19" t="s">
        <v>86</v>
      </c>
      <c r="I88" s="19"/>
      <c r="J88" s="19" t="s">
        <v>468</v>
      </c>
      <c r="K88" s="19"/>
      <c r="L88" s="19" t="s">
        <v>89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90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8-3303-0503</v>
      </c>
      <c r="B89" s="23" t="n">
        <v>45780</v>
      </c>
      <c r="C89" s="19" t="s">
        <v>82</v>
      </c>
      <c r="D89" s="19" t="s">
        <v>83</v>
      </c>
      <c r="E89" s="19" t="s">
        <v>199</v>
      </c>
      <c r="F89" s="24" t="s">
        <v>501</v>
      </c>
      <c r="G89" s="19" t="s">
        <v>100</v>
      </c>
      <c r="H89" s="19" t="s">
        <v>87</v>
      </c>
      <c r="I89" s="19"/>
      <c r="J89" s="19" t="s">
        <v>468</v>
      </c>
      <c r="K89" s="19"/>
      <c r="L89" s="19" t="s">
        <v>89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90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7-504-0503</v>
      </c>
      <c r="B90" s="23" t="n">
        <v>45780</v>
      </c>
      <c r="C90" s="19" t="s">
        <v>82</v>
      </c>
      <c r="D90" s="19" t="s">
        <v>98</v>
      </c>
      <c r="E90" s="19" t="s">
        <v>110</v>
      </c>
      <c r="F90" s="24" t="s">
        <v>502</v>
      </c>
      <c r="G90" s="19" t="s">
        <v>100</v>
      </c>
      <c r="H90" s="19" t="s">
        <v>86</v>
      </c>
      <c r="I90" s="19"/>
      <c r="J90" s="19" t="s">
        <v>466</v>
      </c>
      <c r="K90" s="19"/>
      <c r="L90" s="19" t="s">
        <v>89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90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3-2102-0503</v>
      </c>
      <c r="B91" s="23" t="n">
        <v>45780</v>
      </c>
      <c r="C91" s="19" t="s">
        <v>82</v>
      </c>
      <c r="D91" s="19" t="s">
        <v>128</v>
      </c>
      <c r="E91" s="19" t="s">
        <v>200</v>
      </c>
      <c r="F91" s="24" t="s">
        <v>503</v>
      </c>
      <c r="G91" s="19" t="s">
        <v>121</v>
      </c>
      <c r="H91" s="19" t="s">
        <v>87</v>
      </c>
      <c r="I91" s="19"/>
      <c r="J91" s="19" t="s">
        <v>466</v>
      </c>
      <c r="K91" s="19"/>
      <c r="L91" s="19" t="s">
        <v>89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201</v>
      </c>
      <c r="Q91" s="27"/>
      <c r="R91" s="19" t="s">
        <v>90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8-2203-0503</v>
      </c>
      <c r="B92" s="23" t="n">
        <v>45780</v>
      </c>
      <c r="C92" s="19" t="s">
        <v>82</v>
      </c>
      <c r="D92" s="19" t="s">
        <v>83</v>
      </c>
      <c r="E92" s="19" t="s">
        <v>182</v>
      </c>
      <c r="F92" s="24" t="s">
        <v>504</v>
      </c>
      <c r="G92" s="19" t="s">
        <v>100</v>
      </c>
      <c r="H92" s="19" t="s">
        <v>144</v>
      </c>
      <c r="I92" s="19"/>
      <c r="J92" s="19" t="s">
        <v>505</v>
      </c>
      <c r="K92" s="19"/>
      <c r="L92" s="19" t="s">
        <v>89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90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2-1202-0503</v>
      </c>
      <c r="B93" s="23" t="n">
        <v>45780</v>
      </c>
      <c r="C93" s="19" t="s">
        <v>82</v>
      </c>
      <c r="D93" s="19" t="s">
        <v>130</v>
      </c>
      <c r="E93" s="19" t="s">
        <v>202</v>
      </c>
      <c r="F93" s="24" t="s">
        <v>506</v>
      </c>
      <c r="G93" s="19" t="s">
        <v>126</v>
      </c>
      <c r="H93" s="19" t="s">
        <v>86</v>
      </c>
      <c r="I93" s="19"/>
      <c r="J93" s="19" t="s">
        <v>477</v>
      </c>
      <c r="K93" s="19" t="s">
        <v>88</v>
      </c>
      <c r="L93" s="19" t="s">
        <v>89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203</v>
      </c>
      <c r="Q93" s="27"/>
      <c r="R93" s="19" t="s">
        <v>90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10-1003-0503</v>
      </c>
      <c r="B94" s="23" t="n">
        <v>45780</v>
      </c>
      <c r="C94" s="19" t="s">
        <v>82</v>
      </c>
      <c r="D94" s="19" t="s">
        <v>114</v>
      </c>
      <c r="E94" s="19" t="s">
        <v>204</v>
      </c>
      <c r="F94" s="24" t="s">
        <v>507</v>
      </c>
      <c r="G94" s="19" t="s">
        <v>85</v>
      </c>
      <c r="H94" s="19" t="s">
        <v>87</v>
      </c>
      <c r="I94" s="19"/>
      <c r="J94" s="19" t="s">
        <v>479</v>
      </c>
      <c r="K94" s="19"/>
      <c r="L94" s="19" t="s">
        <v>89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508</v>
      </c>
      <c r="Q94" s="27"/>
      <c r="R94" s="19" t="s">
        <v>101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6-2802-0503</v>
      </c>
      <c r="B95" s="23" t="n">
        <v>45780</v>
      </c>
      <c r="C95" s="19" t="s">
        <v>82</v>
      </c>
      <c r="D95" s="19" t="s">
        <v>91</v>
      </c>
      <c r="E95" s="19" t="s">
        <v>206</v>
      </c>
      <c r="F95" s="24" t="s">
        <v>509</v>
      </c>
      <c r="G95" s="19" t="s">
        <v>97</v>
      </c>
      <c r="H95" s="19" t="s">
        <v>143</v>
      </c>
      <c r="I95" s="19"/>
      <c r="J95" s="19" t="s">
        <v>510</v>
      </c>
      <c r="K95" s="19" t="s">
        <v>107</v>
      </c>
      <c r="L95" s="19" t="s">
        <v>94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207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公-254车位-0503</v>
      </c>
      <c r="B96" s="23" t="n">
        <v>45780</v>
      </c>
      <c r="C96" s="19" t="s">
        <v>138</v>
      </c>
      <c r="D96" s="19" t="s">
        <v>140</v>
      </c>
      <c r="E96" s="19" t="s">
        <v>208</v>
      </c>
      <c r="F96" s="24" t="s">
        <v>511</v>
      </c>
      <c r="G96" s="19" t="s">
        <v>97</v>
      </c>
      <c r="H96" s="19"/>
      <c r="I96" s="19"/>
      <c r="J96" s="19" t="s">
        <v>468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公-557车位-0503</v>
      </c>
      <c r="B97" s="23" t="n">
        <v>45780</v>
      </c>
      <c r="C97" s="19" t="s">
        <v>138</v>
      </c>
      <c r="D97" s="19" t="s">
        <v>140</v>
      </c>
      <c r="E97" s="19" t="s">
        <v>209</v>
      </c>
      <c r="F97" s="24" t="s">
        <v>512</v>
      </c>
      <c r="G97" s="19" t="s">
        <v>121</v>
      </c>
      <c r="H97" s="19" t="s">
        <v>93</v>
      </c>
      <c r="I97" s="19"/>
      <c r="J97" s="19" t="s">
        <v>466</v>
      </c>
      <c r="K97" s="19"/>
      <c r="L97" s="19" t="s">
        <v>89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5-负一-0503</v>
      </c>
      <c r="B98" s="23" t="n">
        <v>45780</v>
      </c>
      <c r="C98" s="19" t="s">
        <v>138</v>
      </c>
      <c r="D98" s="19" t="s">
        <v>95</v>
      </c>
      <c r="E98" s="19" t="s">
        <v>175</v>
      </c>
      <c r="F98" s="24" t="s">
        <v>513</v>
      </c>
      <c r="G98" s="19" t="s">
        <v>100</v>
      </c>
      <c r="H98" s="19" t="s">
        <v>86</v>
      </c>
      <c r="I98" s="19"/>
      <c r="J98" s="19" t="s">
        <v>466</v>
      </c>
      <c r="K98" s="19"/>
      <c r="L98" s="19" t="s">
        <v>89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3-大堂-0503</v>
      </c>
      <c r="B99" s="23" t="n">
        <v>45780</v>
      </c>
      <c r="C99" s="19" t="s">
        <v>138</v>
      </c>
      <c r="D99" s="19" t="s">
        <v>128</v>
      </c>
      <c r="E99" s="19" t="s">
        <v>153</v>
      </c>
      <c r="F99" s="24" t="s">
        <v>514</v>
      </c>
      <c r="G99" s="19" t="s">
        <v>146</v>
      </c>
      <c r="H99" s="19" t="s">
        <v>86</v>
      </c>
      <c r="I99" s="19"/>
      <c r="J99" s="19" t="s">
        <v>468</v>
      </c>
      <c r="K99" s="19"/>
      <c r="L99" s="19" t="s">
        <v>89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29.8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8-1704-0504</v>
      </c>
      <c r="B100" s="23" t="n">
        <v>45781</v>
      </c>
      <c r="C100" s="19" t="s">
        <v>82</v>
      </c>
      <c r="D100" s="19" t="s">
        <v>83</v>
      </c>
      <c r="E100" s="19" t="s">
        <v>210</v>
      </c>
      <c r="F100" s="24" t="s">
        <v>515</v>
      </c>
      <c r="G100" s="19" t="s">
        <v>121</v>
      </c>
      <c r="H100" s="19" t="s">
        <v>86</v>
      </c>
      <c r="I100" s="19"/>
      <c r="J100" s="19" t="s">
        <v>516</v>
      </c>
      <c r="K100" s="19"/>
      <c r="L100" s="19" t="s">
        <v>94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517</v>
      </c>
      <c r="Q100" s="27"/>
      <c r="R100" s="19"/>
      <c r="S100" s="24"/>
    </row>
    <row r="101" customFormat="false" ht="29.85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6-402-0504</v>
      </c>
      <c r="B101" s="23" t="n">
        <v>45781</v>
      </c>
      <c r="C101" s="19" t="s">
        <v>82</v>
      </c>
      <c r="D101" s="19" t="s">
        <v>91</v>
      </c>
      <c r="E101" s="19" t="s">
        <v>211</v>
      </c>
      <c r="F101" s="24" t="s">
        <v>518</v>
      </c>
      <c r="G101" s="19" t="s">
        <v>126</v>
      </c>
      <c r="H101" s="19" t="s">
        <v>86</v>
      </c>
      <c r="I101" s="19"/>
      <c r="J101" s="19" t="s">
        <v>516</v>
      </c>
      <c r="K101" s="19"/>
      <c r="L101" s="19" t="s">
        <v>89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90</v>
      </c>
      <c r="S101" s="24" t="s">
        <v>519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8-3104-0504</v>
      </c>
      <c r="B102" s="23" t="n">
        <v>45781</v>
      </c>
      <c r="C102" s="19" t="s">
        <v>82</v>
      </c>
      <c r="D102" s="19" t="s">
        <v>83</v>
      </c>
      <c r="E102" s="19" t="s">
        <v>133</v>
      </c>
      <c r="F102" s="24" t="s">
        <v>520</v>
      </c>
      <c r="G102" s="19" t="s">
        <v>126</v>
      </c>
      <c r="H102" s="19" t="s">
        <v>86</v>
      </c>
      <c r="I102" s="19"/>
      <c r="J102" s="19" t="s">
        <v>516</v>
      </c>
      <c r="K102" s="19"/>
      <c r="L102" s="19" t="s">
        <v>89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90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8-1003-0504</v>
      </c>
      <c r="B103" s="23" t="n">
        <v>45781</v>
      </c>
      <c r="C103" s="19" t="s">
        <v>82</v>
      </c>
      <c r="D103" s="19" t="s">
        <v>83</v>
      </c>
      <c r="E103" s="19" t="s">
        <v>204</v>
      </c>
      <c r="F103" s="24" t="s">
        <v>521</v>
      </c>
      <c r="G103" s="19" t="s">
        <v>85</v>
      </c>
      <c r="H103" s="19" t="s">
        <v>86</v>
      </c>
      <c r="I103" s="19"/>
      <c r="J103" s="19" t="s">
        <v>516</v>
      </c>
      <c r="K103" s="19"/>
      <c r="L103" s="19" t="s">
        <v>89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90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1-2002-0504</v>
      </c>
      <c r="B104" s="23" t="n">
        <v>45781</v>
      </c>
      <c r="C104" s="19" t="s">
        <v>82</v>
      </c>
      <c r="D104" s="19" t="s">
        <v>118</v>
      </c>
      <c r="E104" s="19" t="s">
        <v>212</v>
      </c>
      <c r="F104" s="24" t="s">
        <v>522</v>
      </c>
      <c r="G104" s="19" t="s">
        <v>121</v>
      </c>
      <c r="H104" s="19" t="s">
        <v>86</v>
      </c>
      <c r="I104" s="19"/>
      <c r="J104" s="19" t="s">
        <v>523</v>
      </c>
      <c r="K104" s="19"/>
      <c r="L104" s="19" t="s">
        <v>89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90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7-1304-0504-02</v>
      </c>
      <c r="B105" s="23" t="n">
        <v>45781</v>
      </c>
      <c r="C105" s="19" t="s">
        <v>82</v>
      </c>
      <c r="D105" s="19" t="s">
        <v>98</v>
      </c>
      <c r="E105" s="19" t="s">
        <v>189</v>
      </c>
      <c r="F105" s="24" t="s">
        <v>524</v>
      </c>
      <c r="G105" s="19" t="s">
        <v>100</v>
      </c>
      <c r="H105" s="19" t="s">
        <v>86</v>
      </c>
      <c r="I105" s="19"/>
      <c r="J105" s="19" t="s">
        <v>525</v>
      </c>
      <c r="K105" s="19"/>
      <c r="L105" s="19" t="s">
        <v>89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90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10-3102-0504</v>
      </c>
      <c r="B106" s="23" t="n">
        <v>45781</v>
      </c>
      <c r="C106" s="19" t="s">
        <v>82</v>
      </c>
      <c r="D106" s="19" t="s">
        <v>114</v>
      </c>
      <c r="E106" s="19" t="s">
        <v>213</v>
      </c>
      <c r="F106" s="24" t="s">
        <v>526</v>
      </c>
      <c r="G106" s="19" t="s">
        <v>121</v>
      </c>
      <c r="H106" s="19" t="s">
        <v>87</v>
      </c>
      <c r="I106" s="19"/>
      <c r="J106" s="19" t="s">
        <v>525</v>
      </c>
      <c r="K106" s="19"/>
      <c r="L106" s="19" t="s">
        <v>94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9-2504-0504</v>
      </c>
      <c r="B107" s="23" t="n">
        <v>45781</v>
      </c>
      <c r="C107" s="19" t="s">
        <v>82</v>
      </c>
      <c r="D107" s="19" t="s">
        <v>116</v>
      </c>
      <c r="E107" s="19" t="s">
        <v>92</v>
      </c>
      <c r="F107" s="24" t="s">
        <v>527</v>
      </c>
      <c r="G107" s="19" t="s">
        <v>126</v>
      </c>
      <c r="H107" s="19" t="s">
        <v>86</v>
      </c>
      <c r="I107" s="19"/>
      <c r="J107" s="19" t="s">
        <v>528</v>
      </c>
      <c r="K107" s="19"/>
      <c r="L107" s="19" t="s">
        <v>89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90</v>
      </c>
      <c r="S107" s="24"/>
    </row>
    <row r="108" customFormat="false" ht="15.6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10-1101-0504</v>
      </c>
      <c r="B108" s="23" t="n">
        <v>45781</v>
      </c>
      <c r="C108" s="19" t="s">
        <v>82</v>
      </c>
      <c r="D108" s="19" t="s">
        <v>114</v>
      </c>
      <c r="E108" s="19" t="s">
        <v>214</v>
      </c>
      <c r="F108" s="24" t="s">
        <v>529</v>
      </c>
      <c r="G108" s="19" t="s">
        <v>106</v>
      </c>
      <c r="H108" s="19" t="s">
        <v>86</v>
      </c>
      <c r="I108" s="19"/>
      <c r="J108" s="19" t="s">
        <v>525</v>
      </c>
      <c r="K108" s="19"/>
      <c r="L108" s="19" t="s">
        <v>89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530</v>
      </c>
      <c r="Q108" s="27"/>
      <c r="R108" s="19" t="s">
        <v>90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1-804-0504</v>
      </c>
      <c r="B109" s="23" t="n">
        <v>45781</v>
      </c>
      <c r="C109" s="19" t="s">
        <v>82</v>
      </c>
      <c r="D109" s="19" t="s">
        <v>118</v>
      </c>
      <c r="E109" s="19" t="s">
        <v>215</v>
      </c>
      <c r="F109" s="24" t="s">
        <v>531</v>
      </c>
      <c r="G109" s="19" t="s">
        <v>106</v>
      </c>
      <c r="H109" s="19" t="s">
        <v>216</v>
      </c>
      <c r="I109" s="19"/>
      <c r="J109" s="19" t="s">
        <v>532</v>
      </c>
      <c r="K109" s="19"/>
      <c r="L109" s="19" t="s">
        <v>89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90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1-202-0504</v>
      </c>
      <c r="B110" s="23" t="n">
        <v>45781</v>
      </c>
      <c r="C110" s="19" t="s">
        <v>82</v>
      </c>
      <c r="D110" s="19" t="s">
        <v>118</v>
      </c>
      <c r="E110" s="19" t="s">
        <v>217</v>
      </c>
      <c r="F110" s="24" t="s">
        <v>533</v>
      </c>
      <c r="G110" s="19" t="s">
        <v>156</v>
      </c>
      <c r="H110" s="19" t="s">
        <v>86</v>
      </c>
      <c r="I110" s="19"/>
      <c r="J110" s="19" t="s">
        <v>534</v>
      </c>
      <c r="K110" s="19"/>
      <c r="L110" s="19" t="s">
        <v>89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218</v>
      </c>
      <c r="Q110" s="27"/>
      <c r="R110" s="19" t="s">
        <v>90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9-1502-0504</v>
      </c>
      <c r="B111" s="23" t="n">
        <v>45781</v>
      </c>
      <c r="C111" s="19" t="s">
        <v>82</v>
      </c>
      <c r="D111" s="19" t="s">
        <v>116</v>
      </c>
      <c r="E111" s="19" t="s">
        <v>219</v>
      </c>
      <c r="F111" s="24" t="s">
        <v>535</v>
      </c>
      <c r="G111" s="19" t="s">
        <v>126</v>
      </c>
      <c r="H111" s="19" t="s">
        <v>86</v>
      </c>
      <c r="I111" s="19"/>
      <c r="J111" s="19" t="s">
        <v>534</v>
      </c>
      <c r="K111" s="19"/>
      <c r="L111" s="19" t="s">
        <v>89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90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5-1104-0504</v>
      </c>
      <c r="B112" s="23" t="n">
        <v>45781</v>
      </c>
      <c r="C112" s="19" t="s">
        <v>82</v>
      </c>
      <c r="D112" s="19" t="s">
        <v>95</v>
      </c>
      <c r="E112" s="19" t="s">
        <v>191</v>
      </c>
      <c r="F112" s="24" t="s">
        <v>536</v>
      </c>
      <c r="G112" s="19" t="s">
        <v>100</v>
      </c>
      <c r="H112" s="19" t="s">
        <v>87</v>
      </c>
      <c r="I112" s="19"/>
      <c r="J112" s="19" t="s">
        <v>537</v>
      </c>
      <c r="K112" s="19"/>
      <c r="L112" s="19" t="s">
        <v>89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90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11-2904-0504</v>
      </c>
      <c r="B113" s="23" t="n">
        <v>45781</v>
      </c>
      <c r="C113" s="19" t="s">
        <v>82</v>
      </c>
      <c r="D113" s="19" t="s">
        <v>123</v>
      </c>
      <c r="E113" s="19" t="s">
        <v>99</v>
      </c>
      <c r="F113" s="24" t="s">
        <v>538</v>
      </c>
      <c r="G113" s="19" t="s">
        <v>106</v>
      </c>
      <c r="H113" s="19" t="s">
        <v>87</v>
      </c>
      <c r="I113" s="19"/>
      <c r="J113" s="19" t="s">
        <v>539</v>
      </c>
      <c r="K113" s="19" t="s">
        <v>109</v>
      </c>
      <c r="L113" s="19" t="s">
        <v>94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220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4-1603-0504</v>
      </c>
      <c r="B114" s="23" t="n">
        <v>45781</v>
      </c>
      <c r="C114" s="19" t="s">
        <v>82</v>
      </c>
      <c r="D114" s="19" t="s">
        <v>132</v>
      </c>
      <c r="E114" s="19" t="s">
        <v>221</v>
      </c>
      <c r="F114" s="24" t="s">
        <v>540</v>
      </c>
      <c r="G114" s="19" t="s">
        <v>121</v>
      </c>
      <c r="H114" s="19" t="s">
        <v>93</v>
      </c>
      <c r="I114" s="19"/>
      <c r="J114" s="19" t="s">
        <v>541</v>
      </c>
      <c r="K114" s="19"/>
      <c r="L114" s="19" t="s">
        <v>89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90</v>
      </c>
      <c r="S114" s="24" t="s">
        <v>542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7-503-0504</v>
      </c>
      <c r="B115" s="23" t="n">
        <v>45781</v>
      </c>
      <c r="C115" s="19" t="s">
        <v>82</v>
      </c>
      <c r="D115" s="19" t="s">
        <v>98</v>
      </c>
      <c r="E115" s="19" t="s">
        <v>96</v>
      </c>
      <c r="F115" s="24" t="s">
        <v>543</v>
      </c>
      <c r="G115" s="19" t="s">
        <v>100</v>
      </c>
      <c r="H115" s="19" t="s">
        <v>86</v>
      </c>
      <c r="I115" s="19"/>
      <c r="J115" s="19" t="s">
        <v>544</v>
      </c>
      <c r="K115" s="19"/>
      <c r="L115" s="19" t="s">
        <v>89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90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5-货梯-0504</v>
      </c>
      <c r="B116" s="23" t="n">
        <v>45781</v>
      </c>
      <c r="C116" s="19" t="s">
        <v>138</v>
      </c>
      <c r="D116" s="19" t="s">
        <v>95</v>
      </c>
      <c r="E116" s="19" t="s">
        <v>147</v>
      </c>
      <c r="F116" s="24" t="s">
        <v>545</v>
      </c>
      <c r="G116" s="19" t="s">
        <v>85</v>
      </c>
      <c r="H116" s="19"/>
      <c r="I116" s="19"/>
      <c r="J116" s="19" t="s">
        <v>516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5-2601-0505</v>
      </c>
      <c r="B117" s="23" t="n">
        <v>45782</v>
      </c>
      <c r="C117" s="19" t="s">
        <v>82</v>
      </c>
      <c r="D117" s="19" t="s">
        <v>95</v>
      </c>
      <c r="E117" s="19" t="s">
        <v>222</v>
      </c>
      <c r="F117" s="24" t="s">
        <v>546</v>
      </c>
      <c r="G117" s="19" t="s">
        <v>121</v>
      </c>
      <c r="H117" s="19" t="s">
        <v>86</v>
      </c>
      <c r="I117" s="19"/>
      <c r="J117" s="19" t="s">
        <v>547</v>
      </c>
      <c r="K117" s="19"/>
      <c r="L117" s="19" t="s">
        <v>89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90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8-1603-0505</v>
      </c>
      <c r="B118" s="23" t="n">
        <v>45782</v>
      </c>
      <c r="C118" s="19" t="s">
        <v>82</v>
      </c>
      <c r="D118" s="19" t="s">
        <v>83</v>
      </c>
      <c r="E118" s="19" t="s">
        <v>221</v>
      </c>
      <c r="F118" s="24" t="s">
        <v>548</v>
      </c>
      <c r="G118" s="19" t="s">
        <v>106</v>
      </c>
      <c r="H118" s="19" t="s">
        <v>87</v>
      </c>
      <c r="I118" s="19"/>
      <c r="J118" s="19" t="s">
        <v>547</v>
      </c>
      <c r="K118" s="19"/>
      <c r="L118" s="19" t="s">
        <v>89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223</v>
      </c>
      <c r="Q118" s="27"/>
      <c r="R118" s="19" t="s">
        <v>90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2-2101-0505</v>
      </c>
      <c r="B119" s="23" t="n">
        <v>45782</v>
      </c>
      <c r="C119" s="19" t="s">
        <v>82</v>
      </c>
      <c r="D119" s="19" t="s">
        <v>130</v>
      </c>
      <c r="E119" s="19" t="s">
        <v>167</v>
      </c>
      <c r="F119" s="24" t="s">
        <v>549</v>
      </c>
      <c r="G119" s="19" t="s">
        <v>100</v>
      </c>
      <c r="H119" s="19" t="s">
        <v>86</v>
      </c>
      <c r="I119" s="19"/>
      <c r="J119" s="19" t="s">
        <v>547</v>
      </c>
      <c r="K119" s="19" t="s">
        <v>107</v>
      </c>
      <c r="L119" s="19" t="s">
        <v>89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90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10-2802-0505</v>
      </c>
      <c r="B120" s="23" t="n">
        <v>45782</v>
      </c>
      <c r="C120" s="19" t="s">
        <v>82</v>
      </c>
      <c r="D120" s="19" t="s">
        <v>114</v>
      </c>
      <c r="E120" s="19" t="s">
        <v>206</v>
      </c>
      <c r="F120" s="24" t="s">
        <v>550</v>
      </c>
      <c r="G120" s="19" t="s">
        <v>85</v>
      </c>
      <c r="H120" s="19" t="s">
        <v>86</v>
      </c>
      <c r="I120" s="19"/>
      <c r="J120" s="19" t="s">
        <v>551</v>
      </c>
      <c r="K120" s="19"/>
      <c r="L120" s="19" t="s">
        <v>89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224</v>
      </c>
      <c r="Q120" s="27"/>
      <c r="R120" s="19" t="s">
        <v>90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6-403-0505</v>
      </c>
      <c r="B121" s="23" t="n">
        <v>45782</v>
      </c>
      <c r="C121" s="19" t="s">
        <v>82</v>
      </c>
      <c r="D121" s="19" t="s">
        <v>91</v>
      </c>
      <c r="E121" s="19" t="s">
        <v>84</v>
      </c>
      <c r="F121" s="24" t="s">
        <v>225</v>
      </c>
      <c r="G121" s="19" t="s">
        <v>100</v>
      </c>
      <c r="H121" s="19" t="s">
        <v>144</v>
      </c>
      <c r="I121" s="19"/>
      <c r="J121" s="19" t="s">
        <v>552</v>
      </c>
      <c r="K121" s="19"/>
      <c r="L121" s="19" t="s">
        <v>89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101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3-203-0505</v>
      </c>
      <c r="B122" s="23" t="n">
        <v>45782</v>
      </c>
      <c r="C122" s="19" t="s">
        <v>82</v>
      </c>
      <c r="D122" s="19" t="s">
        <v>128</v>
      </c>
      <c r="E122" s="19" t="s">
        <v>226</v>
      </c>
      <c r="F122" s="24" t="s">
        <v>553</v>
      </c>
      <c r="G122" s="19" t="s">
        <v>100</v>
      </c>
      <c r="H122" s="19" t="s">
        <v>87</v>
      </c>
      <c r="I122" s="19"/>
      <c r="J122" s="19" t="s">
        <v>554</v>
      </c>
      <c r="K122" s="19"/>
      <c r="L122" s="19" t="s">
        <v>89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227</v>
      </c>
      <c r="Q122" s="27"/>
      <c r="R122" s="19" t="s">
        <v>90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9-1603-0505</v>
      </c>
      <c r="B123" s="23" t="n">
        <v>45782</v>
      </c>
      <c r="C123" s="19" t="s">
        <v>82</v>
      </c>
      <c r="D123" s="19" t="s">
        <v>116</v>
      </c>
      <c r="E123" s="19" t="s">
        <v>221</v>
      </c>
      <c r="F123" s="24" t="s">
        <v>555</v>
      </c>
      <c r="G123" s="19" t="s">
        <v>126</v>
      </c>
      <c r="H123" s="19" t="s">
        <v>86</v>
      </c>
      <c r="I123" s="19"/>
      <c r="J123" s="19" t="s">
        <v>556</v>
      </c>
      <c r="K123" s="19"/>
      <c r="L123" s="19" t="s">
        <v>89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90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5-2802-0505</v>
      </c>
      <c r="B124" s="23" t="n">
        <v>45782</v>
      </c>
      <c r="C124" s="19" t="s">
        <v>82</v>
      </c>
      <c r="D124" s="19" t="s">
        <v>95</v>
      </c>
      <c r="E124" s="19" t="s">
        <v>206</v>
      </c>
      <c r="F124" s="24" t="s">
        <v>557</v>
      </c>
      <c r="G124" s="19" t="s">
        <v>106</v>
      </c>
      <c r="H124" s="19" t="s">
        <v>143</v>
      </c>
      <c r="I124" s="19"/>
      <c r="J124" s="19" t="s">
        <v>558</v>
      </c>
      <c r="K124" s="19" t="s">
        <v>88</v>
      </c>
      <c r="L124" s="19" t="s">
        <v>89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228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11-803-0506</v>
      </c>
      <c r="B125" s="23" t="n">
        <v>45783</v>
      </c>
      <c r="C125" s="19" t="s">
        <v>82</v>
      </c>
      <c r="D125" s="19" t="s">
        <v>123</v>
      </c>
      <c r="E125" s="19" t="s">
        <v>229</v>
      </c>
      <c r="F125" s="24" t="s">
        <v>559</v>
      </c>
      <c r="G125" s="19" t="s">
        <v>126</v>
      </c>
      <c r="H125" s="19" t="s">
        <v>86</v>
      </c>
      <c r="I125" s="19"/>
      <c r="J125" s="19" t="s">
        <v>560</v>
      </c>
      <c r="K125" s="19"/>
      <c r="L125" s="19" t="s">
        <v>89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90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1-2101-0506</v>
      </c>
      <c r="B126" s="23" t="n">
        <v>45783</v>
      </c>
      <c r="C126" s="19" t="s">
        <v>82</v>
      </c>
      <c r="D126" s="19" t="s">
        <v>118</v>
      </c>
      <c r="E126" s="19" t="s">
        <v>167</v>
      </c>
      <c r="F126" s="24" t="s">
        <v>561</v>
      </c>
      <c r="G126" s="19" t="s">
        <v>126</v>
      </c>
      <c r="H126" s="19" t="s">
        <v>216</v>
      </c>
      <c r="I126" s="19"/>
      <c r="J126" s="19" t="s">
        <v>562</v>
      </c>
      <c r="K126" s="19"/>
      <c r="L126" s="19" t="s">
        <v>89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101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4-2604-0506</v>
      </c>
      <c r="B127" s="23" t="n">
        <v>45783</v>
      </c>
      <c r="C127" s="19" t="s">
        <v>82</v>
      </c>
      <c r="D127" s="19" t="s">
        <v>132</v>
      </c>
      <c r="E127" s="19" t="s">
        <v>131</v>
      </c>
      <c r="F127" s="24" t="s">
        <v>563</v>
      </c>
      <c r="G127" s="19" t="s">
        <v>106</v>
      </c>
      <c r="H127" s="19" t="s">
        <v>86</v>
      </c>
      <c r="I127" s="19"/>
      <c r="J127" s="19" t="s">
        <v>564</v>
      </c>
      <c r="K127" s="19"/>
      <c r="L127" s="19" t="s">
        <v>89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90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1-2604-0506</v>
      </c>
      <c r="B128" s="23" t="n">
        <v>45783</v>
      </c>
      <c r="C128" s="19" t="s">
        <v>82</v>
      </c>
      <c r="D128" s="19" t="s">
        <v>118</v>
      </c>
      <c r="E128" s="19" t="s">
        <v>131</v>
      </c>
      <c r="F128" s="24" t="s">
        <v>565</v>
      </c>
      <c r="G128" s="19" t="s">
        <v>121</v>
      </c>
      <c r="H128" s="19" t="s">
        <v>216</v>
      </c>
      <c r="I128" s="19"/>
      <c r="J128" s="19" t="s">
        <v>566</v>
      </c>
      <c r="K128" s="19"/>
      <c r="L128" s="19" t="s">
        <v>89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90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5-702-0506</v>
      </c>
      <c r="B129" s="23" t="n">
        <v>45783</v>
      </c>
      <c r="C129" s="19" t="s">
        <v>82</v>
      </c>
      <c r="D129" s="19" t="s">
        <v>95</v>
      </c>
      <c r="E129" s="19" t="s">
        <v>172</v>
      </c>
      <c r="F129" s="24" t="s">
        <v>567</v>
      </c>
      <c r="G129" s="19" t="s">
        <v>100</v>
      </c>
      <c r="H129" s="19" t="s">
        <v>86</v>
      </c>
      <c r="I129" s="19"/>
      <c r="J129" s="19" t="s">
        <v>568</v>
      </c>
      <c r="K129" s="19"/>
      <c r="L129" s="19" t="s">
        <v>89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90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11-401-0506</v>
      </c>
      <c r="B130" s="23" t="n">
        <v>45783</v>
      </c>
      <c r="C130" s="19" t="s">
        <v>82</v>
      </c>
      <c r="D130" s="19" t="s">
        <v>123</v>
      </c>
      <c r="E130" s="19" t="s">
        <v>230</v>
      </c>
      <c r="F130" s="24" t="s">
        <v>569</v>
      </c>
      <c r="G130" s="19" t="s">
        <v>100</v>
      </c>
      <c r="H130" s="19" t="s">
        <v>86</v>
      </c>
      <c r="I130" s="19"/>
      <c r="J130" s="19" t="s">
        <v>570</v>
      </c>
      <c r="K130" s="19"/>
      <c r="L130" s="19" t="s">
        <v>89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90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5-3203-0506</v>
      </c>
      <c r="B131" s="23" t="n">
        <v>45783</v>
      </c>
      <c r="C131" s="19" t="s">
        <v>82</v>
      </c>
      <c r="D131" s="19" t="s">
        <v>95</v>
      </c>
      <c r="E131" s="19" t="s">
        <v>231</v>
      </c>
      <c r="F131" s="24" t="s">
        <v>571</v>
      </c>
      <c r="G131" s="19" t="s">
        <v>160</v>
      </c>
      <c r="H131" s="19"/>
      <c r="I131" s="19"/>
      <c r="J131" s="19" t="s">
        <v>570</v>
      </c>
      <c r="K131" s="19"/>
      <c r="L131" s="19" t="s">
        <v>89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101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8-1501-0506-02</v>
      </c>
      <c r="B132" s="23" t="n">
        <v>45783</v>
      </c>
      <c r="C132" s="19" t="s">
        <v>82</v>
      </c>
      <c r="D132" s="19" t="s">
        <v>83</v>
      </c>
      <c r="E132" s="19" t="s">
        <v>122</v>
      </c>
      <c r="F132" s="24" t="s">
        <v>572</v>
      </c>
      <c r="G132" s="19" t="s">
        <v>100</v>
      </c>
      <c r="H132" s="19" t="s">
        <v>86</v>
      </c>
      <c r="I132" s="19"/>
      <c r="J132" s="19" t="s">
        <v>570</v>
      </c>
      <c r="K132" s="19"/>
      <c r="L132" s="19" t="s">
        <v>89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90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11-2702-0506</v>
      </c>
      <c r="B133" s="23" t="n">
        <v>45783</v>
      </c>
      <c r="C133" s="19" t="s">
        <v>82</v>
      </c>
      <c r="D133" s="19" t="s">
        <v>123</v>
      </c>
      <c r="E133" s="19" t="s">
        <v>232</v>
      </c>
      <c r="F133" s="24" t="s">
        <v>573</v>
      </c>
      <c r="G133" s="19" t="s">
        <v>85</v>
      </c>
      <c r="H133" s="19" t="s">
        <v>86</v>
      </c>
      <c r="I133" s="19"/>
      <c r="J133" s="19" t="s">
        <v>560</v>
      </c>
      <c r="K133" s="19" t="s">
        <v>107</v>
      </c>
      <c r="L133" s="19" t="s">
        <v>89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233</v>
      </c>
      <c r="Q133" s="27"/>
      <c r="R133" s="19" t="s">
        <v>90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1-2404-0506</v>
      </c>
      <c r="B134" s="23" t="n">
        <v>45783</v>
      </c>
      <c r="C134" s="19" t="s">
        <v>82</v>
      </c>
      <c r="D134" s="19" t="s">
        <v>118</v>
      </c>
      <c r="E134" s="19" t="s">
        <v>234</v>
      </c>
      <c r="F134" s="24" t="s">
        <v>574</v>
      </c>
      <c r="G134" s="19" t="s">
        <v>156</v>
      </c>
      <c r="H134" s="19" t="s">
        <v>86</v>
      </c>
      <c r="I134" s="19"/>
      <c r="J134" s="19" t="s">
        <v>560</v>
      </c>
      <c r="K134" s="19"/>
      <c r="L134" s="19" t="s">
        <v>89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90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7-1603-0506</v>
      </c>
      <c r="B135" s="23" t="n">
        <v>45783</v>
      </c>
      <c r="C135" s="19" t="s">
        <v>82</v>
      </c>
      <c r="D135" s="19" t="s">
        <v>98</v>
      </c>
      <c r="E135" s="19" t="s">
        <v>221</v>
      </c>
      <c r="F135" s="24" t="s">
        <v>575</v>
      </c>
      <c r="G135" s="19" t="s">
        <v>126</v>
      </c>
      <c r="H135" s="19" t="s">
        <v>87</v>
      </c>
      <c r="I135" s="19"/>
      <c r="J135" s="19" t="s">
        <v>576</v>
      </c>
      <c r="K135" s="19"/>
      <c r="L135" s="19" t="s">
        <v>89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235</v>
      </c>
      <c r="Q135" s="27"/>
      <c r="R135" s="19" t="s">
        <v>90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4-2704-0506</v>
      </c>
      <c r="B136" s="23" t="n">
        <v>45783</v>
      </c>
      <c r="C136" s="19" t="s">
        <v>82</v>
      </c>
      <c r="D136" s="19" t="s">
        <v>132</v>
      </c>
      <c r="E136" s="19" t="s">
        <v>170</v>
      </c>
      <c r="F136" s="24" t="s">
        <v>577</v>
      </c>
      <c r="G136" s="19" t="s">
        <v>100</v>
      </c>
      <c r="H136" s="19" t="s">
        <v>93</v>
      </c>
      <c r="I136" s="19"/>
      <c r="J136" s="19" t="s">
        <v>578</v>
      </c>
      <c r="K136" s="19"/>
      <c r="L136" s="19" t="s">
        <v>89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90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8-603-0506</v>
      </c>
      <c r="B137" s="23" t="n">
        <v>45783</v>
      </c>
      <c r="C137" s="19" t="s">
        <v>82</v>
      </c>
      <c r="D137" s="19" t="s">
        <v>83</v>
      </c>
      <c r="E137" s="19" t="s">
        <v>236</v>
      </c>
      <c r="F137" s="24" t="s">
        <v>579</v>
      </c>
      <c r="G137" s="19" t="s">
        <v>121</v>
      </c>
      <c r="H137" s="19" t="s">
        <v>86</v>
      </c>
      <c r="I137" s="19"/>
      <c r="J137" s="19" t="s">
        <v>580</v>
      </c>
      <c r="K137" s="19"/>
      <c r="L137" s="19" t="s">
        <v>89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101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10-1401-0506</v>
      </c>
      <c r="B138" s="23" t="n">
        <v>45783</v>
      </c>
      <c r="C138" s="19" t="s">
        <v>82</v>
      </c>
      <c r="D138" s="19" t="s">
        <v>114</v>
      </c>
      <c r="E138" s="19" t="s">
        <v>237</v>
      </c>
      <c r="F138" s="24" t="s">
        <v>581</v>
      </c>
      <c r="G138" s="19" t="s">
        <v>97</v>
      </c>
      <c r="H138" s="19" t="s">
        <v>87</v>
      </c>
      <c r="I138" s="19"/>
      <c r="J138" s="19" t="s">
        <v>582</v>
      </c>
      <c r="K138" s="19" t="s">
        <v>88</v>
      </c>
      <c r="L138" s="19" t="s">
        <v>94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583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6-504-0507-02</v>
      </c>
      <c r="B139" s="23" t="n">
        <v>45784</v>
      </c>
      <c r="C139" s="19" t="s">
        <v>82</v>
      </c>
      <c r="D139" s="19" t="s">
        <v>91</v>
      </c>
      <c r="E139" s="19" t="s">
        <v>110</v>
      </c>
      <c r="F139" s="24" t="s">
        <v>584</v>
      </c>
      <c r="G139" s="19" t="s">
        <v>156</v>
      </c>
      <c r="H139" s="19" t="s">
        <v>86</v>
      </c>
      <c r="I139" s="19"/>
      <c r="J139" s="19" t="s">
        <v>585</v>
      </c>
      <c r="K139" s="19"/>
      <c r="L139" s="19" t="s">
        <v>89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90</v>
      </c>
      <c r="S139" s="24"/>
    </row>
    <row r="140" customFormat="false" ht="29.85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10-2702-0507</v>
      </c>
      <c r="B140" s="23" t="n">
        <v>45784</v>
      </c>
      <c r="C140" s="19" t="s">
        <v>82</v>
      </c>
      <c r="D140" s="19" t="s">
        <v>114</v>
      </c>
      <c r="E140" s="19" t="s">
        <v>232</v>
      </c>
      <c r="F140" s="24" t="s">
        <v>586</v>
      </c>
      <c r="G140" s="19" t="s">
        <v>126</v>
      </c>
      <c r="H140" s="19" t="s">
        <v>86</v>
      </c>
      <c r="I140" s="19"/>
      <c r="J140" s="19" t="s">
        <v>585</v>
      </c>
      <c r="K140" s="19"/>
      <c r="L140" s="19" t="s">
        <v>89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587</v>
      </c>
      <c r="Q140" s="27"/>
      <c r="R140" s="19" t="s">
        <v>90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8-1501-0507-03</v>
      </c>
      <c r="B141" s="23" t="n">
        <v>45784</v>
      </c>
      <c r="C141" s="19" t="s">
        <v>82</v>
      </c>
      <c r="D141" s="19" t="s">
        <v>83</v>
      </c>
      <c r="E141" s="19" t="s">
        <v>122</v>
      </c>
      <c r="F141" s="24" t="s">
        <v>588</v>
      </c>
      <c r="G141" s="19" t="s">
        <v>160</v>
      </c>
      <c r="H141" s="19" t="s">
        <v>86</v>
      </c>
      <c r="I141" s="19"/>
      <c r="J141" s="19" t="s">
        <v>585</v>
      </c>
      <c r="K141" s="19"/>
      <c r="L141" s="19" t="s">
        <v>89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90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8-1102-0507</v>
      </c>
      <c r="B142" s="23" t="n">
        <v>45784</v>
      </c>
      <c r="C142" s="19" t="s">
        <v>82</v>
      </c>
      <c r="D142" s="19" t="s">
        <v>83</v>
      </c>
      <c r="E142" s="19" t="s">
        <v>163</v>
      </c>
      <c r="F142" s="24" t="s">
        <v>589</v>
      </c>
      <c r="G142" s="19" t="s">
        <v>100</v>
      </c>
      <c r="H142" s="19" t="s">
        <v>86</v>
      </c>
      <c r="I142" s="19"/>
      <c r="J142" s="19" t="s">
        <v>590</v>
      </c>
      <c r="K142" s="19"/>
      <c r="L142" s="19" t="s">
        <v>89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90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5-1701-0507</v>
      </c>
      <c r="B143" s="23" t="n">
        <v>45784</v>
      </c>
      <c r="C143" s="19" t="s">
        <v>82</v>
      </c>
      <c r="D143" s="19" t="s">
        <v>95</v>
      </c>
      <c r="E143" s="19" t="s">
        <v>238</v>
      </c>
      <c r="F143" s="24" t="s">
        <v>591</v>
      </c>
      <c r="G143" s="19" t="s">
        <v>85</v>
      </c>
      <c r="H143" s="19" t="s">
        <v>86</v>
      </c>
      <c r="I143" s="19"/>
      <c r="J143" s="19" t="s">
        <v>590</v>
      </c>
      <c r="K143" s="19"/>
      <c r="L143" s="19" t="s">
        <v>89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90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6-1101-0507</v>
      </c>
      <c r="B144" s="23" t="n">
        <v>45784</v>
      </c>
      <c r="C144" s="19" t="s">
        <v>82</v>
      </c>
      <c r="D144" s="19" t="s">
        <v>91</v>
      </c>
      <c r="E144" s="19" t="s">
        <v>214</v>
      </c>
      <c r="F144" s="24" t="s">
        <v>592</v>
      </c>
      <c r="G144" s="19" t="s">
        <v>126</v>
      </c>
      <c r="H144" s="19" t="s">
        <v>86</v>
      </c>
      <c r="I144" s="19"/>
      <c r="J144" s="19" t="s">
        <v>585</v>
      </c>
      <c r="K144" s="19"/>
      <c r="L144" s="19" t="s">
        <v>89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239</v>
      </c>
      <c r="Q144" s="27"/>
      <c r="R144" s="19" t="s">
        <v>90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2-2002-0507</v>
      </c>
      <c r="B145" s="23" t="n">
        <v>45784</v>
      </c>
      <c r="C145" s="19" t="s">
        <v>82</v>
      </c>
      <c r="D145" s="19" t="s">
        <v>130</v>
      </c>
      <c r="E145" s="19" t="s">
        <v>212</v>
      </c>
      <c r="F145" s="24" t="s">
        <v>593</v>
      </c>
      <c r="G145" s="19" t="s">
        <v>121</v>
      </c>
      <c r="H145" s="19" t="s">
        <v>86</v>
      </c>
      <c r="I145" s="19"/>
      <c r="J145" s="19" t="s">
        <v>585</v>
      </c>
      <c r="K145" s="19"/>
      <c r="L145" s="19" t="s">
        <v>89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90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9-2604-0507</v>
      </c>
      <c r="B146" s="23" t="n">
        <v>45784</v>
      </c>
      <c r="C146" s="19" t="s">
        <v>82</v>
      </c>
      <c r="D146" s="19" t="s">
        <v>116</v>
      </c>
      <c r="E146" s="19" t="s">
        <v>131</v>
      </c>
      <c r="F146" s="24" t="s">
        <v>594</v>
      </c>
      <c r="G146" s="19" t="s">
        <v>100</v>
      </c>
      <c r="H146" s="19" t="s">
        <v>87</v>
      </c>
      <c r="I146" s="19"/>
      <c r="J146" s="19" t="s">
        <v>595</v>
      </c>
      <c r="K146" s="19"/>
      <c r="L146" s="19" t="s">
        <v>89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90</v>
      </c>
      <c r="S146" s="24" t="s">
        <v>596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5-1101-0507</v>
      </c>
      <c r="B147" s="23" t="n">
        <v>45784</v>
      </c>
      <c r="C147" s="19" t="s">
        <v>82</v>
      </c>
      <c r="D147" s="19" t="s">
        <v>95</v>
      </c>
      <c r="E147" s="19" t="s">
        <v>214</v>
      </c>
      <c r="F147" s="24" t="s">
        <v>597</v>
      </c>
      <c r="G147" s="19" t="s">
        <v>106</v>
      </c>
      <c r="H147" s="19" t="s">
        <v>87</v>
      </c>
      <c r="I147" s="19"/>
      <c r="J147" s="19" t="s">
        <v>590</v>
      </c>
      <c r="K147" s="19"/>
      <c r="L147" s="19" t="s">
        <v>89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240</v>
      </c>
      <c r="Q147" s="27"/>
      <c r="R147" s="19" t="s">
        <v>101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3-402-0507</v>
      </c>
      <c r="B148" s="23" t="n">
        <v>45784</v>
      </c>
      <c r="C148" s="19" t="s">
        <v>82</v>
      </c>
      <c r="D148" s="19" t="s">
        <v>128</v>
      </c>
      <c r="E148" s="19" t="s">
        <v>211</v>
      </c>
      <c r="F148" s="24" t="s">
        <v>598</v>
      </c>
      <c r="G148" s="19" t="s">
        <v>85</v>
      </c>
      <c r="H148" s="19" t="s">
        <v>143</v>
      </c>
      <c r="I148" s="19"/>
      <c r="J148" s="19" t="s">
        <v>599</v>
      </c>
      <c r="K148" s="19" t="s">
        <v>88</v>
      </c>
      <c r="L148" s="19" t="s">
        <v>94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241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11-2804-0507</v>
      </c>
      <c r="B149" s="23" t="n">
        <v>45784</v>
      </c>
      <c r="C149" s="19" t="s">
        <v>82</v>
      </c>
      <c r="D149" s="19" t="s">
        <v>123</v>
      </c>
      <c r="E149" s="19" t="s">
        <v>242</v>
      </c>
      <c r="F149" s="24" t="s">
        <v>600</v>
      </c>
      <c r="G149" s="19" t="s">
        <v>121</v>
      </c>
      <c r="H149" s="19" t="s">
        <v>86</v>
      </c>
      <c r="I149" s="19"/>
      <c r="J149" s="19" t="s">
        <v>601</v>
      </c>
      <c r="K149" s="19"/>
      <c r="L149" s="19" t="s">
        <v>89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602</v>
      </c>
      <c r="Q149" s="27"/>
      <c r="R149" s="19" t="s">
        <v>90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conditionalFormatting sqref="A7:S2006">
    <cfRule type="expression" priority="27" aboveAverage="0" equalAverage="0" bottom="0" percent="0" rank="0" text="" dxfId="27">
      <formula>AND($F7&lt;&gt;"",MOD(ROW(),2)=0)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243</v>
      </c>
      <c r="B1" s="28"/>
      <c r="C1" s="28"/>
      <c r="D1" s="28"/>
      <c r="E1" s="28"/>
      <c r="F1" s="28"/>
      <c r="G1" s="28"/>
      <c r="H1" s="28"/>
      <c r="I1" s="12" t="s">
        <v>244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245</v>
      </c>
      <c r="B2" s="30" t="n">
        <f aca="false">基准日</f>
        <v>45784</v>
      </c>
      <c r="C2" s="30"/>
      <c r="D2" s="31" t="s">
        <v>246</v>
      </c>
      <c r="E2" s="32" t="s">
        <v>247</v>
      </c>
      <c r="F2" s="16" t="str">
        <f aca="false">"　"&amp;TEXT(期初,"yyyy-mm-dd")&amp;" ~ "&amp;TEXT(期末,"yyyy-mm-dd")&amp;"　　米黄格可改；基准日在【设置】里改，留空即今天"</f>
        <v>　2025-05-01 ~ 2025-05-31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248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249</v>
      </c>
      <c r="B5" s="34"/>
      <c r="C5" s="35" t="s">
        <v>250</v>
      </c>
      <c r="D5" s="35"/>
      <c r="E5" s="35" t="s">
        <v>251</v>
      </c>
      <c r="F5" s="35"/>
      <c r="G5" s="35" t="s">
        <v>252</v>
      </c>
      <c r="H5" s="35"/>
      <c r="I5" s="35" t="s">
        <v>56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253</v>
      </c>
      <c r="B7" s="42"/>
      <c r="C7" s="43" t="str">
        <f aca="false">"等待 ≥ "&amp;超期阈值&amp;" 天"</f>
        <v>等待 ≥ 3 天</v>
      </c>
      <c r="D7" s="43"/>
      <c r="E7" s="43" t="s">
        <v>254</v>
      </c>
      <c r="F7" s="43"/>
      <c r="G7" s="43" t="s">
        <v>255</v>
      </c>
      <c r="H7" s="43"/>
      <c r="I7" s="43" t="s">
        <v>256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63</v>
      </c>
      <c r="B10" s="46" t="s">
        <v>65</v>
      </c>
      <c r="C10" s="46" t="s">
        <v>66</v>
      </c>
      <c r="D10" s="46" t="s">
        <v>67</v>
      </c>
      <c r="E10" s="46" t="s">
        <v>68</v>
      </c>
      <c r="F10" s="46"/>
      <c r="G10" s="46"/>
      <c r="H10" s="46" t="s">
        <v>69</v>
      </c>
      <c r="I10" s="46" t="s">
        <v>257</v>
      </c>
      <c r="J10" s="46" t="s">
        <v>64</v>
      </c>
      <c r="K10" s="46" t="s">
        <v>258</v>
      </c>
      <c r="L10" s="46" t="s">
        <v>74</v>
      </c>
      <c r="M10" s="46" t="s">
        <v>259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7-凉亭-0501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凉亭顶部雨后积水不退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45778</v>
      </c>
      <c r="K11" s="51" t="n">
        <f aca="false">IF($P11=0,"",INDEX(工单[处理天数],$P11-ROW(工单[#Headers])))</f>
        <v>6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雨水管被落叶堵死，预计重新改管道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53" t="str">
        <f aca="false">IF($P12=0,"",INDEX(工单[单据编号],$P12-ROW(工单[#Headers]))&amp;"")</f>
        <v>公-东大门-0501-02</v>
      </c>
      <c r="B12" s="54" t="str">
        <f aca="false">IF($P12=0,"",INDEX(工单[类型],$P12-ROW(工单[#Headers]))&amp;"")</f>
        <v>公区</v>
      </c>
      <c r="C12" s="54" t="str">
        <f aca="false">IF($P12=0,"",INDEX(工单[楼栋],$P12-ROW(工单[#Headers]))&amp;"")</f>
        <v>公共区域</v>
      </c>
      <c r="D12" s="54" t="str">
        <f aca="false">IF($P12=0,"",INDEX(工单[房号/位置],$P12-ROW(工单[#Headers]))&amp;"")</f>
        <v>东大门</v>
      </c>
      <c r="E12" s="55" t="str">
        <f aca="false">IF($P12=0,"",INDEX(工单[报修问题描述],$P12-ROW(工单[#Headers]))&amp;"")</f>
        <v>门岗天花受潮破损修缮</v>
      </c>
      <c r="F12" s="55"/>
      <c r="G12" s="55"/>
      <c r="H12" s="54" t="str">
        <f aca="false">IF($P12=0,"",INDEX(工单[维修类别],$P12-ROW(工单[#Headers]))&amp;"")</f>
        <v>墙地饰面</v>
      </c>
      <c r="I12" s="53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6" t="n">
        <f aca="false">IF($P12=0,"",INDEX(工单[报修日期],$P12-ROW(工单[#Headers])))</f>
        <v>45778</v>
      </c>
      <c r="K12" s="57" t="n">
        <f aca="false">IF($P12=0,"",INDEX(工单[处理天数],$P12-ROW(工单[#Headers])))</f>
        <v>6</v>
      </c>
      <c r="L12" s="54" t="str">
        <f aca="false">IF($P12=0,"",IF(INDEX(工单[完成情况],$P12-ROW(工单[#Headers]))="","没填状态",INDEX(工单[完成情况],$P12-ROW(工单[#Headers]))))</f>
        <v>跟进中</v>
      </c>
      <c r="M12" s="55" t="str">
        <f aca="false">IF($P12=0,"",INDEX(工单[维修备注],$P12-ROW(工单[#Headers]))&amp;"")</f>
        <v>已补洞批腻子，待干燥后打磨刷乳胶漆</v>
      </c>
      <c r="N12" s="55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9-肉菜市场-0501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市场内墙雨后渗水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45778</v>
      </c>
      <c r="K13" s="51" t="n">
        <f aca="false">IF($P13=0,"",INDEX(工单[处理天数],$P13-ROW(工单[#Headers])))</f>
        <v>6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53" t="str">
        <f aca="false">IF($P14=0,"",INDEX(工单[单据编号],$P14-ROW(工单[#Headers]))&amp;"")</f>
        <v>8-1602-0501</v>
      </c>
      <c r="B14" s="54" t="str">
        <f aca="false">IF($P14=0,"",INDEX(工单[类型],$P14-ROW(工单[#Headers]))&amp;"")</f>
        <v>入户</v>
      </c>
      <c r="C14" s="54" t="str">
        <f aca="false">IF($P14=0,"",INDEX(工单[楼栋],$P14-ROW(工单[#Headers]))&amp;"")</f>
        <v>8栋</v>
      </c>
      <c r="D14" s="54" t="str">
        <f aca="false">IF($P14=0,"",INDEX(工单[房号/位置],$P14-ROW(工单[#Headers]))&amp;"")</f>
        <v>1602</v>
      </c>
      <c r="E14" s="55" t="str">
        <f aca="false">IF($P14=0,"",INDEX(工单[报修问题描述],$P14-ROW(工单[#Headers]))&amp;"")</f>
        <v>客厅空调管冷凝水滴落</v>
      </c>
      <c r="F14" s="55"/>
      <c r="G14" s="55"/>
      <c r="H14" s="54" t="str">
        <f aca="false">IF($P14=0,"",INDEX(工单[维修类别],$P14-ROW(工单[#Headers]))&amp;"")</f>
        <v>空调暖通</v>
      </c>
      <c r="I14" s="53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6" t="n">
        <f aca="false">IF($P14=0,"",INDEX(工单[报修日期],$P14-ROW(工单[#Headers])))</f>
        <v>45778</v>
      </c>
      <c r="K14" s="57" t="n">
        <f aca="false">IF($P14=0,"",INDEX(工单[处理天数],$P14-ROW(工单[#Headers])))</f>
        <v>6</v>
      </c>
      <c r="L14" s="54" t="str">
        <f aca="false">IF($P14=0,"",IF(INDEX(工单[完成情况],$P14-ROW(工单[#Headers]))="","没填状态",INDEX(工单[完成情况],$P14-ROW(工单[#Headers]))))</f>
        <v>跟进中</v>
      </c>
      <c r="M14" s="55" t="str">
        <f aca="false">IF($P14=0,"",INDEX(工单[维修备注],$P14-ROW(工单[#Headers]))&amp;"")</f>
        <v>需先由第三方单位为楼上住户空调管加装保温棉</v>
      </c>
      <c r="N14" s="55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6-701-0501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次卧墙面受潮鼓包起皮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45778</v>
      </c>
      <c r="K15" s="51" t="n">
        <f aca="false">IF($P15=0,"",INDEX(工单[处理天数],$P15-ROW(工单[#Headers])))</f>
        <v>6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已铲除鼓包批第一遍腻子，待干透后约第二次上门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53" t="str">
        <f aca="false">IF($P16=0,"",INDEX(工单[单据编号],$P16-ROW(工单[#Headers]))&amp;"")</f>
        <v>6-2504-0501</v>
      </c>
      <c r="B16" s="54" t="str">
        <f aca="false">IF($P16=0,"",INDEX(工单[类型],$P16-ROW(工单[#Headers]))&amp;"")</f>
        <v>入户</v>
      </c>
      <c r="C16" s="54" t="str">
        <f aca="false">IF($P16=0,"",INDEX(工单[楼栋],$P16-ROW(工单[#Headers]))&amp;"")</f>
        <v>6栋</v>
      </c>
      <c r="D16" s="54" t="str">
        <f aca="false">IF($P16=0,"",INDEX(工单[房号/位置],$P16-ROW(工单[#Headers]))&amp;"")</f>
        <v>2504</v>
      </c>
      <c r="E16" s="55" t="str">
        <f aca="false">IF($P16=0,"",INDEX(工单[报修问题描述],$P16-ROW(工单[#Headers]))&amp;"")</f>
        <v>空调开机后室内机滴水</v>
      </c>
      <c r="F16" s="55"/>
      <c r="G16" s="55"/>
      <c r="H16" s="54" t="str">
        <f aca="false">IF($P16=0,"",INDEX(工单[维修类别],$P16-ROW(工单[#Headers]))&amp;"")</f>
        <v>空调暖通</v>
      </c>
      <c r="I16" s="53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6" t="n">
        <f aca="false">IF($P16=0,"",INDEX(工单[报修日期],$P16-ROW(工单[#Headers])))</f>
        <v>45778</v>
      </c>
      <c r="K16" s="57" t="n">
        <f aca="false">IF($P16=0,"",INDEX(工单[处理天数],$P16-ROW(工单[#Headers])))</f>
        <v>6</v>
      </c>
      <c r="L16" s="54" t="str">
        <f aca="false">IF($P16=0,"",IF(INDEX(工单[完成情况],$P16-ROW(工单[#Headers]))="","没填状态",INDEX(工单[完成情况],$P16-ROW(工单[#Headers]))))</f>
        <v>跟进中</v>
      </c>
      <c r="M16" s="55" t="str">
        <f aca="false">IF($P16=0,"",INDEX(工单[维修备注],$P16-ROW(工单[#Headers]))&amp;"")</f>
        <v>需重新包扎保温棉，待料处理</v>
      </c>
      <c r="N16" s="55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7-1301-0502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卧室墙面出现细小裂纹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45779</v>
      </c>
      <c r="K17" s="51" t="n">
        <f aca="false">IF($P17=0,"",INDEX(工单[处理天数],$P17-ROW(工单[#Headers])))</f>
        <v>5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已现场查看，待腻子干透后打磨修补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53" t="str">
        <f aca="false">IF($P18=0,"",INDEX(工单[单据编号],$P18-ROW(工单[#Headers]))&amp;"")</f>
        <v>5-1501-0502</v>
      </c>
      <c r="B18" s="54" t="str">
        <f aca="false">IF($P18=0,"",INDEX(工单[类型],$P18-ROW(工单[#Headers]))&amp;"")</f>
        <v>入户</v>
      </c>
      <c r="C18" s="54" t="str">
        <f aca="false">IF($P18=0,"",INDEX(工单[楼栋],$P18-ROW(工单[#Headers]))&amp;"")</f>
        <v>5栋</v>
      </c>
      <c r="D18" s="54" t="str">
        <f aca="false">IF($P18=0,"",INDEX(工单[房号/位置],$P18-ROW(工单[#Headers]))&amp;"")</f>
        <v>1501</v>
      </c>
      <c r="E18" s="55" t="str">
        <f aca="false">IF($P18=0,"",INDEX(工单[报修问题描述],$P18-ROW(工单[#Headers]))&amp;"")</f>
        <v>主卧外墙渗水，墙纸发霉</v>
      </c>
      <c r="F18" s="55"/>
      <c r="G18" s="55"/>
      <c r="H18" s="54" t="str">
        <f aca="false">IF($P18=0,"",INDEX(工单[维修类别],$P18-ROW(工单[#Headers]))&amp;"")</f>
        <v>渗漏防水</v>
      </c>
      <c r="I18" s="53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6" t="n">
        <f aca="false">IF($P18=0,"",INDEX(工单[报修日期],$P18-ROW(工单[#Headers])))</f>
        <v>45779</v>
      </c>
      <c r="K18" s="57" t="n">
        <f aca="false">IF($P18=0,"",INDEX(工单[处理天数],$P18-ROW(工单[#Headers])))</f>
        <v>5</v>
      </c>
      <c r="L18" s="54" t="str">
        <f aca="false">IF($P18=0,"",IF(INDEX(工单[完成情况],$P18-ROW(工单[#Headers]))="","没填状态",INDEX(工单[完成情况],$P18-ROW(工单[#Headers]))))</f>
        <v>跟进中</v>
      </c>
      <c r="M18" s="55" t="str">
        <f aca="false">IF($P18=0,"",INDEX(工单[维修备注],$P18-ROW(工单[#Headers]))&amp;"")</f>
        <v>已现场拍照留证，待后续协商处理（业主意向使用公共维修资金）</v>
      </c>
      <c r="N18" s="55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6-3304-0502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空调外机噪音大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45779</v>
      </c>
      <c r="K19" s="51" t="n">
        <f aca="false">IF($P19=0,"",INDEX(工单[处理天数],$P19-ROW(工单[#Headers])))</f>
        <v>5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非物业维修范围，业主已联系空调售后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53" t="str">
        <f aca="false">IF($P20=0,"",INDEX(工单[单据编号],$P20-ROW(工单[#Headers]))&amp;"")</f>
        <v>5-1602-0502</v>
      </c>
      <c r="B20" s="54" t="str">
        <f aca="false">IF($P20=0,"",INDEX(工单[类型],$P20-ROW(工单[#Headers]))&amp;"")</f>
        <v>入户</v>
      </c>
      <c r="C20" s="54" t="str">
        <f aca="false">IF($P20=0,"",INDEX(工单[楼栋],$P20-ROW(工单[#Headers]))&amp;"")</f>
        <v>5栋</v>
      </c>
      <c r="D20" s="54" t="str">
        <f aca="false">IF($P20=0,"",INDEX(工单[房号/位置],$P20-ROW(工单[#Headers]))&amp;"")</f>
        <v>1602</v>
      </c>
      <c r="E20" s="55" t="str">
        <f aca="false">IF($P20=0,"",INDEX(工单[报修问题描述],$P20-ROW(工单[#Headers]))&amp;"")</f>
        <v>次卧外墙窗边渗水</v>
      </c>
      <c r="F20" s="55"/>
      <c r="G20" s="55"/>
      <c r="H20" s="54" t="str">
        <f aca="false">IF($P20=0,"",INDEX(工单[维修类别],$P20-ROW(工单[#Headers]))&amp;"")</f>
        <v>渗漏防水</v>
      </c>
      <c r="I20" s="53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6" t="n">
        <f aca="false">IF($P20=0,"",INDEX(工单[报修日期],$P20-ROW(工单[#Headers])))</f>
        <v>45779</v>
      </c>
      <c r="K20" s="57" t="n">
        <f aca="false">IF($P20=0,"",INDEX(工单[处理天数],$P20-ROW(工单[#Headers])))</f>
        <v>5</v>
      </c>
      <c r="L20" s="54" t="str">
        <f aca="false">IF($P20=0,"",IF(INDEX(工单[完成情况],$P20-ROW(工单[#Headers]))="","没填状态",INDEX(工单[完成情况],$P20-ROW(工单[#Headers]))))</f>
        <v>跟进中</v>
      </c>
      <c r="M20" s="55" t="str">
        <f aca="false">IF($P20=0,"",INDEX(工单[维修备注],$P20-ROW(工单[#Headers]))&amp;"")</f>
        <v>已查看，业主要求先处理室内墙面，再排查渗水点并尽快修复</v>
      </c>
      <c r="N20" s="55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公-254车位-0503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车位顶板漏水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45780</v>
      </c>
      <c r="K21" s="51" t="n">
        <f aca="false">IF($P21=0,"",INDEX(工单[处理天数],$P21-ROW(工单[#Headers])))</f>
        <v>4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53" t="str">
        <f aca="false">IF($P22=0,"",INDEX(工单[单据编号],$P22-ROW(工单[#Headers]))&amp;"")</f>
        <v>6-2802-0503</v>
      </c>
      <c r="B22" s="54" t="str">
        <f aca="false">IF($P22=0,"",INDEX(工单[类型],$P22-ROW(工单[#Headers]))&amp;"")</f>
        <v>入户</v>
      </c>
      <c r="C22" s="54" t="str">
        <f aca="false">IF($P22=0,"",INDEX(工单[楼栋],$P22-ROW(工单[#Headers]))&amp;"")</f>
        <v>6栋</v>
      </c>
      <c r="D22" s="54" t="str">
        <f aca="false">IF($P22=0,"",INDEX(工单[房号/位置],$P22-ROW(工单[#Headers]))&amp;"")</f>
        <v>2802</v>
      </c>
      <c r="E22" s="55" t="str">
        <f aca="false">IF($P22=0,"",INDEX(工单[报修问题描述],$P22-ROW(工单[#Headers]))&amp;"")</f>
        <v>连续下雨后阳台墙面渗水</v>
      </c>
      <c r="F22" s="55"/>
      <c r="G22" s="55"/>
      <c r="H22" s="54" t="str">
        <f aca="false">IF($P22=0,"",INDEX(工单[维修类别],$P22-ROW(工单[#Headers]))&amp;"")</f>
        <v>渗漏防水</v>
      </c>
      <c r="I22" s="53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6" t="n">
        <f aca="false">IF($P22=0,"",INDEX(工单[报修日期],$P22-ROW(工单[#Headers])))</f>
        <v>45780</v>
      </c>
      <c r="K22" s="57" t="n">
        <f aca="false">IF($P22=0,"",INDEX(工单[处理天数],$P22-ROW(工单[#Headers])))</f>
        <v>4</v>
      </c>
      <c r="L22" s="54" t="str">
        <f aca="false">IF($P22=0,"",IF(INDEX(工单[完成情况],$P22-ROW(工单[#Headers]))="","没填状态",INDEX(工单[完成情况],$P22-ROW(工单[#Headers]))))</f>
        <v>跟进中</v>
      </c>
      <c r="M22" s="55" t="str">
        <f aca="false">IF($P22=0,"",INDEX(工单[维修备注],$P22-ROW(工单[#Headers]))&amp;"")</f>
        <v>已拍照留证，待联系防水单位复查</v>
      </c>
      <c r="N22" s="55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7-3002-0503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需要加装插座并固定门把手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45780</v>
      </c>
      <c r="K23" s="51" t="n">
        <f aca="false">IF($P23=0,"",INDEX(工单[处理天数],$P23-ROW(工单[#Headers])))</f>
        <v>4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门把手已固定，插座待业主买好面板后再约时间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53" t="str">
        <f aca="false">IF($P24=0,"",INDEX(工单[单据编号],$P24-ROW(工单[#Headers]))&amp;"")</f>
        <v>5-货梯-0504</v>
      </c>
      <c r="B24" s="54" t="str">
        <f aca="false">IF($P24=0,"",INDEX(工单[类型],$P24-ROW(工单[#Headers]))&amp;"")</f>
        <v>公区</v>
      </c>
      <c r="C24" s="54" t="str">
        <f aca="false">IF($P24=0,"",INDEX(工单[楼栋],$P24-ROW(工单[#Headers]))&amp;"")</f>
        <v>5栋</v>
      </c>
      <c r="D24" s="54" t="str">
        <f aca="false">IF($P24=0,"",INDEX(工单[房号/位置],$P24-ROW(工单[#Headers]))&amp;"")</f>
        <v>货梯</v>
      </c>
      <c r="E24" s="55" t="str">
        <f aca="false">IF($P24=0,"",INDEX(工单[报修问题描述],$P24-ROW(工单[#Headers]))&amp;"")</f>
        <v>5栋货梯空调不凉</v>
      </c>
      <c r="F24" s="55"/>
      <c r="G24" s="55"/>
      <c r="H24" s="54" t="str">
        <f aca="false">IF($P24=0,"",INDEX(工单[维修类别],$P24-ROW(工单[#Headers]))&amp;"")</f>
        <v>空调暖通</v>
      </c>
      <c r="I24" s="53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6" t="n">
        <f aca="false">IF($P24=0,"",INDEX(工单[报修日期],$P24-ROW(工单[#Headers])))</f>
        <v>45781</v>
      </c>
      <c r="K24" s="57" t="n">
        <f aca="false">IF($P24=0,"",INDEX(工单[处理天数],$P24-ROW(工单[#Headers])))</f>
        <v>3</v>
      </c>
      <c r="L24" s="54" t="str">
        <f aca="false">IF($P24=0,"",IF(INDEX(工单[完成情况],$P24-ROW(工单[#Headers]))="","没填状态",INDEX(工单[完成情况],$P24-ROW(工单[#Headers]))))</f>
        <v>没填状态</v>
      </c>
      <c r="M24" s="55" t="str">
        <f aca="false">IF($P24=0,"",INDEX(工单[维修备注],$P24-ROW(工单[#Headers]))&amp;"")</f>
        <v/>
      </c>
      <c r="N24" s="55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11-2904-0504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卫生间墙砖空鼓开裂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45781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66</v>
      </c>
      <c r="B29" s="46" t="s">
        <v>67</v>
      </c>
      <c r="C29" s="46" t="s">
        <v>260</v>
      </c>
      <c r="D29" s="46" t="s">
        <v>261</v>
      </c>
      <c r="E29" s="46" t="s">
        <v>262</v>
      </c>
      <c r="F29" s="46"/>
      <c r="G29" s="46"/>
      <c r="H29" s="46" t="s">
        <v>69</v>
      </c>
      <c r="I29" s="46" t="s">
        <v>257</v>
      </c>
      <c r="J29" s="46" t="s">
        <v>74</v>
      </c>
      <c r="K29" s="46" t="s">
        <v>80</v>
      </c>
      <c r="L29" s="46" t="s">
        <v>78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45784</v>
      </c>
      <c r="E30" s="49" t="str">
        <f aca="false">IF($Q30=0,"",INDEX(工单[报修问题描述],$Q30-ROW(工单[#Headers]))&amp;"")</f>
        <v>燃气灶点火打不着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54" t="str">
        <f aca="false">IF($Q31=0,"",INDEX(工单[楼栋],$Q31-ROW(工单[#Headers]))&amp;"")</f>
        <v>8栋</v>
      </c>
      <c r="B31" s="54" t="str">
        <f aca="false">IF($Q31=0,"",INDEX(工单[房号/位置],$Q31-ROW(工单[#Headers]))&amp;"")</f>
        <v>1501</v>
      </c>
      <c r="C31" s="59" t="n">
        <f aca="false">IF($Q31=0,"",COUNTIFS(工单[楼栋],A31,工单[房号/位置],B31))</f>
        <v>3</v>
      </c>
      <c r="D31" s="56" t="n">
        <f aca="false">IF($Q31=0,"",INDEX(工单[报修日期],$Q31-ROW(工单[#Headers])))</f>
        <v>45784</v>
      </c>
      <c r="E31" s="55" t="str">
        <f aca="false">IF($Q31=0,"",INDEX(工单[报修问题描述],$Q31-ROW(工单[#Headers]))&amp;"")</f>
        <v>想挂电视需要打孔</v>
      </c>
      <c r="F31" s="55"/>
      <c r="G31" s="55"/>
      <c r="H31" s="54" t="str">
        <f aca="false">IF($Q31=0,"",INDEX(工单[维修类别],$Q31-ROW(工单[#Headers]))&amp;"")</f>
        <v>其他</v>
      </c>
      <c r="I31" s="54" t="str">
        <f aca="false">IF($Q31=0,"",INDEX(工单[跟进人1],$Q31-ROW(工单[#Headers]))&amp;"")</f>
        <v>张师傅</v>
      </c>
      <c r="J31" s="54" t="str">
        <f aca="false">IF($Q31=0,"",INDEX(工单[完成情况],$Q31-ROW(工单[#Headers]))&amp;"")</f>
        <v>已完成</v>
      </c>
      <c r="K31" s="54" t="str">
        <f aca="false">IF($Q31=0,"",INDEX(工单[维修评价],$Q31-ROW(工单[#Headers]))&amp;"")</f>
        <v>非常满意</v>
      </c>
      <c r="L31" s="55" t="str">
        <f aca="false">IF($Q31=0,"",INDEX(工单[维修备注],$Q31-ROW(工单[#Headers]))&amp;"")</f>
        <v/>
      </c>
      <c r="M31" s="55"/>
      <c r="N31" s="55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45781</v>
      </c>
      <c r="E32" s="49" t="str">
        <f aca="false">IF($Q32=0,"",INDEX(工单[报修问题描述],$Q32-ROW(工单[#Headers]))&amp;"")</f>
        <v>镜柜铰链到货了，麻烦上门安装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54" t="str">
        <f aca="false">IF($Q33=0,"",INDEX(工单[楼栋],$Q33-ROW(工单[#Headers]))&amp;"")</f>
        <v>5栋</v>
      </c>
      <c r="B33" s="54" t="str">
        <f aca="false">IF($Q33=0,"",INDEX(工单[房号/位置],$Q33-ROW(工单[#Headers]))&amp;"")</f>
        <v>503</v>
      </c>
      <c r="C33" s="59" t="n">
        <f aca="false">IF($Q33=0,"",COUNTIFS(工单[楼栋],A33,工单[房号/位置],B33))</f>
        <v>2</v>
      </c>
      <c r="D33" s="56" t="n">
        <f aca="false">IF($Q33=0,"",INDEX(工单[报修日期],$Q33-ROW(工单[#Headers])))</f>
        <v>45779</v>
      </c>
      <c r="E33" s="55" t="str">
        <f aca="false">IF($Q33=0,"",INDEX(工单[报修问题描述],$Q33-ROW(工单[#Headers]))&amp;"")</f>
        <v>厨房、卫生间门槛石松动</v>
      </c>
      <c r="F33" s="55"/>
      <c r="G33" s="55"/>
      <c r="H33" s="54" t="str">
        <f aca="false">IF($Q33=0,"",INDEX(工单[维修类别],$Q33-ROW(工单[#Headers]))&amp;"")</f>
        <v>墙地饰面</v>
      </c>
      <c r="I33" s="54" t="str">
        <f aca="false">IF($Q33=0,"",INDEX(工单[跟进人1],$Q33-ROW(工单[#Headers]))&amp;"")</f>
        <v>李师傅</v>
      </c>
      <c r="J33" s="54" t="str">
        <f aca="false">IF($Q33=0,"",INDEX(工单[完成情况],$Q33-ROW(工单[#Headers]))&amp;"")</f>
        <v>已完成</v>
      </c>
      <c r="K33" s="54" t="str">
        <f aca="false">IF($Q33=0,"",INDEX(工单[维修评价],$Q33-ROW(工单[#Headers]))&amp;"")</f>
        <v>非常满意</v>
      </c>
      <c r="L33" s="55" t="str">
        <f aca="false">IF($Q33=0,"",INDEX(工单[维修备注],$Q33-ROW(工单[#Headers]))&amp;"")</f>
        <v/>
      </c>
      <c r="M33" s="55"/>
      <c r="N33" s="55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45778</v>
      </c>
      <c r="E34" s="49" t="str">
        <f aca="false">IF($Q34=0,"",INDEX(工单[报修问题描述],$Q34-ROW(工单[#Headers]))&amp;"")</f>
        <v>门岗天花受潮破损修缮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已补洞批腻子，待干燥后打磨刷乳胶漆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54" t="str">
        <f aca="false">IF($Q35=0,"",INDEX(工单[楼栋],$Q35-ROW(工单[#Headers]))&amp;"")</f>
        <v/>
      </c>
      <c r="B35" s="54" t="str">
        <f aca="false">IF($Q35=0,"",INDEX(工单[房号/位置],$Q35-ROW(工单[#Headers]))&amp;"")</f>
        <v/>
      </c>
      <c r="C35" s="59" t="str">
        <f aca="false">IF($Q35=0,"",COUNTIFS(工单[楼栋],A35,工单[房号/位置],B35))</f>
        <v/>
      </c>
      <c r="D35" s="56" t="str">
        <f aca="false">IF($Q35=0,"",INDEX(工单[报修日期],$Q35-ROW(工单[#Headers])))</f>
        <v/>
      </c>
      <c r="E35" s="55" t="str">
        <f aca="false">IF($Q35=0,"",INDEX(工单[报修问题描述],$Q35-ROW(工单[#Headers]))&amp;"")</f>
        <v/>
      </c>
      <c r="F35" s="55"/>
      <c r="G35" s="55"/>
      <c r="H35" s="54" t="str">
        <f aca="false">IF($Q35=0,"",INDEX(工单[维修类别],$Q35-ROW(工单[#Headers]))&amp;"")</f>
        <v/>
      </c>
      <c r="I35" s="54" t="str">
        <f aca="false">IF($Q35=0,"",INDEX(工单[跟进人1],$Q35-ROW(工单[#Headers]))&amp;"")</f>
        <v/>
      </c>
      <c r="J35" s="54" t="str">
        <f aca="false">IF($Q35=0,"",INDEX(工单[完成情况],$Q35-ROW(工单[#Headers]))&amp;"")</f>
        <v/>
      </c>
      <c r="K35" s="54" t="str">
        <f aca="false">IF($Q35=0,"",INDEX(工单[维修评价],$Q35-ROW(工单[#Headers]))&amp;"")</f>
        <v/>
      </c>
      <c r="L35" s="55" t="str">
        <f aca="false">IF($Q35=0,"",INDEX(工单[维修备注],$Q35-ROW(工单[#Headers]))&amp;"")</f>
        <v/>
      </c>
      <c r="M35" s="55"/>
      <c r="N35" s="55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54" t="str">
        <f aca="false">IF($Q37=0,"",INDEX(工单[楼栋],$Q37-ROW(工单[#Headers]))&amp;"")</f>
        <v/>
      </c>
      <c r="B37" s="54" t="str">
        <f aca="false">IF($Q37=0,"",INDEX(工单[房号/位置],$Q37-ROW(工单[#Headers]))&amp;"")</f>
        <v/>
      </c>
      <c r="C37" s="59" t="str">
        <f aca="false">IF($Q37=0,"",COUNTIFS(工单[楼栋],A37,工单[房号/位置],B37))</f>
        <v/>
      </c>
      <c r="D37" s="56" t="str">
        <f aca="false">IF($Q37=0,"",INDEX(工单[报修日期],$Q37-ROW(工单[#Headers])))</f>
        <v/>
      </c>
      <c r="E37" s="55" t="str">
        <f aca="false">IF($Q37=0,"",INDEX(工单[报修问题描述],$Q37-ROW(工单[#Headers]))&amp;"")</f>
        <v/>
      </c>
      <c r="F37" s="55"/>
      <c r="G37" s="55"/>
      <c r="H37" s="54" t="str">
        <f aca="false">IF($Q37=0,"",INDEX(工单[维修类别],$Q37-ROW(工单[#Headers]))&amp;"")</f>
        <v/>
      </c>
      <c r="I37" s="54" t="str">
        <f aca="false">IF($Q37=0,"",INDEX(工单[跟进人1],$Q37-ROW(工单[#Headers]))&amp;"")</f>
        <v/>
      </c>
      <c r="J37" s="54" t="str">
        <f aca="false">IF($Q37=0,"",INDEX(工单[完成情况],$Q37-ROW(工单[#Headers]))&amp;"")</f>
        <v/>
      </c>
      <c r="K37" s="54" t="str">
        <f aca="false">IF($Q37=0,"",INDEX(工单[维修评价],$Q37-ROW(工单[#Headers]))&amp;"")</f>
        <v/>
      </c>
      <c r="L37" s="55" t="str">
        <f aca="false">IF($Q37=0,"",INDEX(工单[维修备注],$Q37-ROW(工单[#Headers]))&amp;"")</f>
        <v/>
      </c>
      <c r="M37" s="55"/>
      <c r="N37" s="55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54" t="str">
        <f aca="false">IF($Q39=0,"",INDEX(工单[楼栋],$Q39-ROW(工单[#Headers]))&amp;"")</f>
        <v/>
      </c>
      <c r="B39" s="54" t="str">
        <f aca="false">IF($Q39=0,"",INDEX(工单[房号/位置],$Q39-ROW(工单[#Headers]))&amp;"")</f>
        <v/>
      </c>
      <c r="C39" s="59" t="str">
        <f aca="false">IF($Q39=0,"",COUNTIFS(工单[楼栋],A39,工单[房号/位置],B39))</f>
        <v/>
      </c>
      <c r="D39" s="56" t="str">
        <f aca="false">IF($Q39=0,"",INDEX(工单[报修日期],$Q39-ROW(工单[#Headers])))</f>
        <v/>
      </c>
      <c r="E39" s="55" t="str">
        <f aca="false">IF($Q39=0,"",INDEX(工单[报修问题描述],$Q39-ROW(工单[#Headers]))&amp;"")</f>
        <v/>
      </c>
      <c r="F39" s="55"/>
      <c r="G39" s="55"/>
      <c r="H39" s="54" t="str">
        <f aca="false">IF($Q39=0,"",INDEX(工单[维修类别],$Q39-ROW(工单[#Headers]))&amp;"")</f>
        <v/>
      </c>
      <c r="I39" s="54" t="str">
        <f aca="false">IF($Q39=0,"",INDEX(工单[跟进人1],$Q39-ROW(工单[#Headers]))&amp;"")</f>
        <v/>
      </c>
      <c r="J39" s="54" t="str">
        <f aca="false">IF($Q39=0,"",INDEX(工单[完成情况],$Q39-ROW(工单[#Headers]))&amp;"")</f>
        <v/>
      </c>
      <c r="K39" s="54" t="str">
        <f aca="false">IF($Q39=0,"",INDEX(工单[维修评价],$Q39-ROW(工单[#Headers]))&amp;"")</f>
        <v/>
      </c>
      <c r="L39" s="55" t="str">
        <f aca="false">IF($Q39=0,"",INDEX(工单[维修备注],$Q39-ROW(工单[#Headers]))&amp;"")</f>
        <v/>
      </c>
      <c r="M39" s="55"/>
      <c r="N39" s="55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263</v>
      </c>
      <c r="B42" s="34"/>
      <c r="C42" s="35" t="s">
        <v>264</v>
      </c>
      <c r="D42" s="35"/>
      <c r="E42" s="35" t="s">
        <v>265</v>
      </c>
      <c r="F42" s="35"/>
      <c r="G42" s="35" t="s">
        <v>266</v>
      </c>
      <c r="H42" s="35"/>
      <c r="I42" s="35" t="s">
        <v>267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143</v>
      </c>
      <c r="B43" s="37"/>
      <c r="C43" s="60" t="n">
        <f aca="false">IFERROR(COUNTIFS(工单[报修日期],"&gt;="&amp;期初,工单[报修日期],"&lt;="&amp;期末,工单[完成情况],"已完成")/A43,"-")</f>
        <v>0.867132867132867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0.990990990990991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268</v>
      </c>
      <c r="B44" s="42"/>
      <c r="C44" s="43" t="s">
        <v>269</v>
      </c>
      <c r="D44" s="43"/>
      <c r="E44" s="43" t="s">
        <v>270</v>
      </c>
      <c r="F44" s="43"/>
      <c r="G44" s="43" t="s">
        <v>271</v>
      </c>
      <c r="H44" s="43"/>
      <c r="I44" s="43" t="s">
        <v>272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273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274</v>
      </c>
      <c r="B47" s="46" t="s">
        <v>54</v>
      </c>
      <c r="C47" s="46" t="s">
        <v>275</v>
      </c>
      <c r="D47" s="46" t="s">
        <v>89</v>
      </c>
      <c r="E47" s="46" t="s">
        <v>276</v>
      </c>
      <c r="F47" s="46" t="s">
        <v>264</v>
      </c>
      <c r="G47" s="46" t="s">
        <v>90</v>
      </c>
      <c r="H47" s="46" t="s">
        <v>101</v>
      </c>
      <c r="I47" s="46" t="s">
        <v>103</v>
      </c>
      <c r="J47" s="46" t="s">
        <v>277</v>
      </c>
      <c r="K47" s="46" t="s">
        <v>265</v>
      </c>
      <c r="L47" s="46" t="s">
        <v>278</v>
      </c>
      <c r="M47" s="46" t="s">
        <v>61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67</v>
      </c>
      <c r="D48" s="64" t="n">
        <f aca="false">INDEX(设置!$G$26:$G$30,MATCH(1,设置!$P$26:$P$30,0))</f>
        <v>64</v>
      </c>
      <c r="E48" s="64" t="n">
        <f aca="false">INDEX(设置!$H$26:$H$30,MATCH(1,设置!$P$26:$P$30,0))</f>
        <v>3</v>
      </c>
      <c r="F48" s="65" t="n">
        <f aca="false">IFERROR(D48/C48,"")</f>
        <v>0.955223880597015</v>
      </c>
      <c r="G48" s="64" t="n">
        <f aca="false">INDEX(设置!$I$26:$I$30,MATCH(1,设置!$P$26:$P$30,0))</f>
        <v>52</v>
      </c>
      <c r="H48" s="64" t="n">
        <f aca="false">INDEX(设置!$J$26:$J$30,MATCH(1,设置!$P$26:$P$30,0))</f>
        <v>2</v>
      </c>
      <c r="I48" s="64" t="n">
        <f aca="false">INDEX(设置!$K$26:$K$30,MATCH(1,设置!$P$26:$P$30,0))</f>
        <v>1</v>
      </c>
      <c r="J48" s="64" t="n">
        <f aca="false">INDEX(设置!$L$26:$L$30,MATCH(1,设置!$P$26:$P$30,0))</f>
        <v>0</v>
      </c>
      <c r="K48" s="65" t="n">
        <f aca="false">IFERROR((G48+H48)/SUM(G48:J48),"")</f>
        <v>0.981818181818182</v>
      </c>
      <c r="L48" s="66" t="n">
        <f aca="false">INDEX(设置!$N$26:$N$30,MATCH(1,设置!$P$26:$P$30,0))</f>
        <v>98.5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7" t="str">
        <f aca="false">IF(INDEX(设置!$F$26:$F$30,MATCH(2,设置!$P$26:$P$30,0))=0,"—","第 2 名")</f>
        <v>第 2 名</v>
      </c>
      <c r="B49" s="67" t="str">
        <f aca="false">INDEX(设置!$E$26:$E$30,MATCH(2,设置!$P$26:$P$30,0))</f>
        <v>李师傅</v>
      </c>
      <c r="C49" s="68" t="n">
        <f aca="false">INDEX(设置!$F$26:$F$30,MATCH(2,设置!$P$26:$P$30,0))</f>
        <v>40</v>
      </c>
      <c r="D49" s="68" t="n">
        <f aca="false">INDEX(设置!$G$26:$G$30,MATCH(2,设置!$P$26:$P$30,0))</f>
        <v>33</v>
      </c>
      <c r="E49" s="68" t="n">
        <f aca="false">INDEX(设置!$H$26:$H$30,MATCH(2,设置!$P$26:$P$30,0))</f>
        <v>7</v>
      </c>
      <c r="F49" s="69" t="n">
        <f aca="false">IFERROR(D49/C49,"")</f>
        <v>0.825</v>
      </c>
      <c r="G49" s="68" t="n">
        <f aca="false">INDEX(设置!$I$26:$I$30,MATCH(2,设置!$P$26:$P$30,0))</f>
        <v>32</v>
      </c>
      <c r="H49" s="68" t="n">
        <f aca="false">INDEX(设置!$J$26:$J$30,MATCH(2,设置!$P$26:$P$30,0))</f>
        <v>4</v>
      </c>
      <c r="I49" s="68" t="n">
        <f aca="false">INDEX(设置!$K$26:$K$30,MATCH(2,设置!$P$26:$P$30,0))</f>
        <v>0</v>
      </c>
      <c r="J49" s="68" t="n">
        <f aca="false">INDEX(设置!$L$26:$L$30,MATCH(2,设置!$P$26:$P$30,0))</f>
        <v>0</v>
      </c>
      <c r="K49" s="69" t="n">
        <f aca="false">IFERROR((G49+H49)/SUM(G49:J49),"")</f>
        <v>1</v>
      </c>
      <c r="L49" s="70" t="n">
        <f aca="false">INDEX(设置!$N$26:$N$30,MATCH(2,设置!$P$26:$P$30,0))</f>
        <v>97.8</v>
      </c>
      <c r="M49" s="67" t="str">
        <f aca="false">IFERROR(INDEX(工单台账!$H$4:$L$4,MATCH(B49,工单台账!$H$2:$L$2,0)),"")</f>
        <v>在岗 7 单</v>
      </c>
      <c r="N49" s="67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陈师傅</v>
      </c>
      <c r="C50" s="64" t="n">
        <f aca="false">INDEX(设置!$F$26:$F$30,MATCH(3,设置!$P$26:$P$30,0))</f>
        <v>16</v>
      </c>
      <c r="D50" s="64" t="n">
        <f aca="false">INDEX(设置!$G$26:$G$30,MATCH(3,设置!$P$26:$P$30,0))</f>
        <v>12</v>
      </c>
      <c r="E50" s="64" t="n">
        <f aca="false">INDEX(设置!$H$26:$H$30,MATCH(3,设置!$P$26:$P$30,0))</f>
        <v>4</v>
      </c>
      <c r="F50" s="65" t="n">
        <f aca="false">IFERROR(D50/C50,"")</f>
        <v>0.75</v>
      </c>
      <c r="G50" s="64" t="n">
        <f aca="false">INDEX(设置!$I$26:$I$30,MATCH(3,设置!$P$26:$P$30,0))</f>
        <v>4</v>
      </c>
      <c r="H50" s="64" t="n">
        <f aca="false">INDEX(设置!$J$26:$J$30,MATCH(3,设置!$P$26:$P$30,0))</f>
        <v>1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96</v>
      </c>
      <c r="M50" s="63" t="str">
        <f aca="false">IFERROR(INDEX(工单台账!$H$4:$L$4,MATCH(B50,工单台账!$H$2:$L$2,0)),"")</f>
        <v>在岗 4 单</v>
      </c>
      <c r="N50" s="63"/>
    </row>
    <row r="51" customFormat="false" ht="19.5" hidden="false" customHeight="true" outlineLevel="0" collapsed="false">
      <c r="A51" s="67" t="str">
        <f aca="false">IF(INDEX(设置!$F$26:$F$30,MATCH(4,设置!$P$26:$P$30,0))=0,"—","第 4 名")</f>
        <v>第 4 名</v>
      </c>
      <c r="B51" s="67" t="str">
        <f aca="false">INDEX(设置!$E$26:$E$30,MATCH(4,设置!$P$26:$P$30,0))</f>
        <v>刘师傅</v>
      </c>
      <c r="C51" s="68" t="n">
        <f aca="false">INDEX(设置!$F$26:$F$30,MATCH(4,设置!$P$26:$P$30,0))</f>
        <v>13</v>
      </c>
      <c r="D51" s="68" t="n">
        <f aca="false">INDEX(设置!$G$26:$G$30,MATCH(4,设置!$P$26:$P$30,0))</f>
        <v>10</v>
      </c>
      <c r="E51" s="68" t="n">
        <f aca="false">INDEX(设置!$H$26:$H$30,MATCH(4,设置!$P$26:$P$30,0))</f>
        <v>3</v>
      </c>
      <c r="F51" s="69" t="n">
        <f aca="false">IFERROR(D51/C51,"")</f>
        <v>0.769230769230769</v>
      </c>
      <c r="G51" s="68" t="n">
        <f aca="false">INDEX(设置!$I$26:$I$30,MATCH(4,设置!$P$26:$P$30,0))</f>
        <v>8</v>
      </c>
      <c r="H51" s="68" t="n">
        <f aca="false">INDEX(设置!$J$26:$J$30,MATCH(4,设置!$P$26:$P$30,0))</f>
        <v>1</v>
      </c>
      <c r="I51" s="68" t="n">
        <f aca="false">INDEX(设置!$K$26:$K$30,MATCH(4,设置!$P$26:$P$30,0))</f>
        <v>0</v>
      </c>
      <c r="J51" s="68" t="n">
        <f aca="false">INDEX(设置!$L$26:$L$30,MATCH(4,设置!$P$26:$P$30,0))</f>
        <v>0</v>
      </c>
      <c r="K51" s="69" t="n">
        <f aca="false">IFERROR((G51+H51)/SUM(G51:J51),"")</f>
        <v>1</v>
      </c>
      <c r="L51" s="70" t="n">
        <f aca="false">INDEX(设置!$N$26:$N$30,MATCH(4,设置!$P$26:$P$30,0))</f>
        <v>97.8</v>
      </c>
      <c r="M51" s="67" t="str">
        <f aca="false">IFERROR(INDEX(工单台账!$H$4:$L$4,MATCH(B51,工单台账!$H$2:$L$2,0)),"")</f>
        <v>在岗 3 单</v>
      </c>
      <c r="N51" s="67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王师傅</v>
      </c>
      <c r="C52" s="64" t="n">
        <f aca="false">INDEX(设置!$F$26:$F$30,MATCH(5,设置!$P$26:$P$30,0))</f>
        <v>8</v>
      </c>
      <c r="D52" s="64" t="n">
        <f aca="false">INDEX(设置!$G$26:$G$30,MATCH(5,设置!$P$26:$P$30,0))</f>
        <v>7</v>
      </c>
      <c r="E52" s="64" t="n">
        <f aca="false">INDEX(设置!$H$26:$H$30,MATCH(5,设置!$P$26:$P$30,0))</f>
        <v>1</v>
      </c>
      <c r="F52" s="65" t="n">
        <f aca="false">IFERROR(D52/C52,"")</f>
        <v>0.875</v>
      </c>
      <c r="G52" s="64" t="n">
        <f aca="false">INDEX(设置!$I$26:$I$30,MATCH(5,设置!$P$26:$P$30,0))</f>
        <v>3</v>
      </c>
      <c r="H52" s="64" t="n">
        <f aca="false">INDEX(设置!$J$26:$J$30,MATCH(5,设置!$P$26:$P$30,0))</f>
        <v>1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95</v>
      </c>
      <c r="M52" s="63" t="str">
        <f aca="false">IFERROR(INDEX(工单台账!$H$4:$L$4,MATCH(B52,工单台账!$H$2:$L$2,0)),"")</f>
        <v>在岗 1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279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69</v>
      </c>
      <c r="B56" s="46" t="s">
        <v>263</v>
      </c>
      <c r="C56" s="46" t="s">
        <v>89</v>
      </c>
      <c r="D56" s="46" t="s">
        <v>276</v>
      </c>
      <c r="E56" s="46" t="s">
        <v>264</v>
      </c>
      <c r="F56" s="46" t="s">
        <v>280</v>
      </c>
      <c r="G56" s="46" t="s">
        <v>266</v>
      </c>
      <c r="H56" s="46" t="s">
        <v>265</v>
      </c>
      <c r="I56" s="46" t="s">
        <v>281</v>
      </c>
    </row>
    <row r="57" customFormat="false" ht="18.75" hidden="false" customHeight="true" outlineLevel="0" collapsed="false">
      <c r="A57" s="71" t="s">
        <v>100</v>
      </c>
      <c r="B57" s="64" t="n">
        <f aca="false">COUNTIFS(工单[报修日期],"&gt;="&amp;期初,工单[报修日期],"&lt;="&amp;期末,工单[维修类别],$A57)</f>
        <v>43</v>
      </c>
      <c r="C57" s="64" t="n">
        <f aca="false">COUNTIFS(工单[报修日期],"&gt;="&amp;期初,工单[报修日期],"&lt;="&amp;期末,工单[维修类别],$A57,工单[完成情况],"已完成")</f>
        <v>43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0.300699300699301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4" t="s">
        <v>121</v>
      </c>
      <c r="B58" s="68" t="n">
        <f aca="false">COUNTIFS(工单[报修日期],"&gt;="&amp;期初,工单[报修日期],"&lt;="&amp;期末,工单[维修类别],$A58)</f>
        <v>27</v>
      </c>
      <c r="C58" s="68" t="n">
        <f aca="false">COUNTIFS(工单[报修日期],"&gt;="&amp;期初,工单[报修日期],"&lt;="&amp;期末,工单[维修类别],$A58,工单[完成情况],"已完成")</f>
        <v>24</v>
      </c>
      <c r="D58" s="68" t="n">
        <f aca="false">B58-C58</f>
        <v>3</v>
      </c>
      <c r="E58" s="69" t="n">
        <f aca="false">IFERROR(C58/B58,"")</f>
        <v>0.888888888888889</v>
      </c>
      <c r="F58" s="69" t="n">
        <f aca="false">IFERROR(B58/$B$68,"")</f>
        <v>0.188811188811189</v>
      </c>
      <c r="G58" s="75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9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6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126</v>
      </c>
      <c r="B59" s="64" t="n">
        <f aca="false">COUNTIFS(工单[报修日期],"&gt;="&amp;期初,工单[报修日期],"&lt;="&amp;期末,工单[维修类别],$A59)</f>
        <v>18</v>
      </c>
      <c r="C59" s="64" t="n">
        <f aca="false">COUNTIFS(工单[报修日期],"&gt;="&amp;期初,工单[报修日期],"&lt;="&amp;期末,工单[维修类别],$A59,工单[完成情况],"已完成")</f>
        <v>17</v>
      </c>
      <c r="D59" s="64" t="n">
        <f aca="false">B59-C59</f>
        <v>1</v>
      </c>
      <c r="E59" s="65" t="n">
        <f aca="false">IFERROR(C59/B59,"")</f>
        <v>0.944444444444444</v>
      </c>
      <c r="F59" s="65" t="n">
        <f aca="false">IFERROR(B59/$B$68,"")</f>
        <v>0.125874125874126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4" t="s">
        <v>85</v>
      </c>
      <c r="B60" s="68" t="n">
        <f aca="false">COUNTIFS(工单[报修日期],"&gt;="&amp;期初,工单[报修日期],"&lt;="&amp;期末,工单[维修类别],$A60)</f>
        <v>19</v>
      </c>
      <c r="C60" s="68" t="n">
        <f aca="false">COUNTIFS(工单[报修日期],"&gt;="&amp;期初,工单[报修日期],"&lt;="&amp;期末,工单[维修类别],$A60,工单[完成情况],"已完成")</f>
        <v>14</v>
      </c>
      <c r="D60" s="68" t="n">
        <f aca="false">B60-C60</f>
        <v>5</v>
      </c>
      <c r="E60" s="69" t="n">
        <f aca="false">IFERROR(C60/B60,"")</f>
        <v>0.736842105263158</v>
      </c>
      <c r="F60" s="69" t="n">
        <f aca="false">IFERROR(B60/$B$68,"")</f>
        <v>0.132867132867133</v>
      </c>
      <c r="G60" s="75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9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0.928571428571429</v>
      </c>
      <c r="I60" s="76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97</v>
      </c>
      <c r="B61" s="64" t="n">
        <f aca="false">COUNTIFS(工单[报修日期],"&gt;="&amp;期初,工单[报修日期],"&lt;="&amp;期末,工单[维修类别],$A61)</f>
        <v>8</v>
      </c>
      <c r="C61" s="64" t="n">
        <f aca="false">COUNTIFS(工单[报修日期],"&gt;="&amp;期初,工单[报修日期],"&lt;="&amp;期末,工单[维修类别],$A61,工单[完成情况],"已完成")</f>
        <v>2</v>
      </c>
      <c r="D61" s="64" t="n">
        <f aca="false">B61-C61</f>
        <v>6</v>
      </c>
      <c r="E61" s="65" t="n">
        <f aca="false">IFERROR(C61/B61,"")</f>
        <v>0.25</v>
      </c>
      <c r="F61" s="65" t="n">
        <f aca="false">IFERROR(B61/$B$68,"")</f>
        <v>0.0559440559440559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4" t="s">
        <v>106</v>
      </c>
      <c r="B62" s="68" t="n">
        <f aca="false">COUNTIFS(工单[报修日期],"&gt;="&amp;期初,工单[报修日期],"&lt;="&amp;期末,工单[维修类别],$A62)</f>
        <v>15</v>
      </c>
      <c r="C62" s="68" t="n">
        <f aca="false">COUNTIFS(工单[报修日期],"&gt;="&amp;期初,工单[报修日期],"&lt;="&amp;期末,工单[维修类别],$A62,工单[完成情况],"已完成")</f>
        <v>11</v>
      </c>
      <c r="D62" s="68" t="n">
        <f aca="false">B62-C62</f>
        <v>4</v>
      </c>
      <c r="E62" s="69" t="n">
        <f aca="false">IFERROR(C62/B62,"")</f>
        <v>0.733333333333333</v>
      </c>
      <c r="F62" s="69" t="n">
        <f aca="false">IFERROR(B62/$B$68,"")</f>
        <v>0.104895104895105</v>
      </c>
      <c r="G62" s="75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9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6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156</v>
      </c>
      <c r="B63" s="64" t="n">
        <f aca="false">COUNTIFS(工单[报修日期],"&gt;="&amp;期初,工单[报修日期],"&lt;="&amp;期末,工单[维修类别],$A63)</f>
        <v>4</v>
      </c>
      <c r="C63" s="64" t="n">
        <f aca="false">COUNTIFS(工单[报修日期],"&gt;="&amp;期初,工单[报修日期],"&lt;="&amp;期末,工单[维修类别],$A63,工单[完成情况],"已完成")</f>
        <v>4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0.027972027972028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4" t="s">
        <v>146</v>
      </c>
      <c r="B64" s="68" t="n">
        <f aca="false">COUNTIFS(工单[报修日期],"&gt;="&amp;期初,工单[报修日期],"&lt;="&amp;期末,工单[维修类别],$A64)</f>
        <v>4</v>
      </c>
      <c r="C64" s="68" t="n">
        <f aca="false">COUNTIFS(工单[报修日期],"&gt;="&amp;期初,工单[报修日期],"&lt;="&amp;期末,工单[维修类别],$A64,工单[完成情况],"已完成")</f>
        <v>4</v>
      </c>
      <c r="D64" s="68" t="n">
        <f aca="false">B64-C64</f>
        <v>0</v>
      </c>
      <c r="E64" s="69" t="n">
        <f aca="false">IFERROR(C64/B64,"")</f>
        <v>1</v>
      </c>
      <c r="F64" s="69" t="n">
        <f aca="false">IFERROR(B64/$B$68,"")</f>
        <v>0.027972027972028</v>
      </c>
      <c r="G64" s="75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9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6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142</v>
      </c>
      <c r="B65" s="64" t="n">
        <f aca="false">COUNTIFS(工单[报修日期],"&gt;="&amp;期初,工单[报修日期],"&lt;="&amp;期末,工单[维修类别],$A65)</f>
        <v>1</v>
      </c>
      <c r="C65" s="64" t="n">
        <f aca="false">COUNTIFS(工单[报修日期],"&gt;="&amp;期初,工单[报修日期],"&lt;="&amp;期末,工单[维修类别],$A65,工单[完成情况],"已完成")</f>
        <v>1</v>
      </c>
      <c r="D65" s="64" t="n">
        <f aca="false">B65-C65</f>
        <v>0</v>
      </c>
      <c r="E65" s="65" t="n">
        <f aca="false">IFERROR(C65/B65,"")</f>
        <v>1</v>
      </c>
      <c r="F65" s="65" t="n">
        <f aca="false">IFERROR(B65/$B$68,"")</f>
        <v>0.00699300699300699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4" t="s">
        <v>160</v>
      </c>
      <c r="B66" s="68" t="n">
        <f aca="false">COUNTIFS(工单[报修日期],"&gt;="&amp;期初,工单[报修日期],"&lt;="&amp;期末,工单[维修类别],$A66)</f>
        <v>4</v>
      </c>
      <c r="C66" s="68" t="n">
        <f aca="false">COUNTIFS(工单[报修日期],"&gt;="&amp;期初,工单[报修日期],"&lt;="&amp;期末,工单[维修类别],$A66,工单[完成情况],"已完成")</f>
        <v>4</v>
      </c>
      <c r="D66" s="68" t="n">
        <f aca="false">B66-C66</f>
        <v>0</v>
      </c>
      <c r="E66" s="69" t="n">
        <f aca="false">IFERROR(C66/B66,"")</f>
        <v>1</v>
      </c>
      <c r="F66" s="69" t="n">
        <f aca="false">IFERROR(B66/$B$68,"")</f>
        <v>0.027972027972028</v>
      </c>
      <c r="G66" s="75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9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6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282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283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284</v>
      </c>
      <c r="B68" s="78" t="n">
        <f aca="false">SUM(B57:B67)</f>
        <v>143</v>
      </c>
      <c r="C68" s="78" t="n">
        <f aca="false">SUM(C57:C67)</f>
        <v>124</v>
      </c>
      <c r="D68" s="78" t="n">
        <f aca="false">SUM(D57:D67)</f>
        <v>19</v>
      </c>
      <c r="E68" s="79" t="n">
        <f aca="false">IFERROR(C68/B68,"")</f>
        <v>0.867132867132867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0.990990990990991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285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66</v>
      </c>
      <c r="B71" s="46" t="s">
        <v>263</v>
      </c>
      <c r="C71" s="46" t="s">
        <v>82</v>
      </c>
      <c r="D71" s="46" t="s">
        <v>138</v>
      </c>
      <c r="E71" s="46" t="s">
        <v>89</v>
      </c>
      <c r="F71" s="46" t="s">
        <v>276</v>
      </c>
      <c r="G71" s="46" t="s">
        <v>264</v>
      </c>
      <c r="H71" s="46" t="s">
        <v>265</v>
      </c>
      <c r="I71" s="46" t="s">
        <v>251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8</v>
      </c>
      <c r="C72" s="64" t="n">
        <f aca="false">COUNTIFS(工单[报修日期],"&gt;="&amp;期初,工单[报修日期],"&lt;="&amp;期末,工单[楼栋],$A72,工单[类型],"入户")</f>
        <v>8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8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4" t="str">
        <f aca="false">设置!E10&amp;""</f>
        <v>2栋</v>
      </c>
      <c r="B73" s="68" t="n">
        <f aca="false">COUNTIFS(工单[报修日期],"&gt;="&amp;期初,工单[报修日期],"&lt;="&amp;期末,工单[楼栋],$A73)</f>
        <v>7</v>
      </c>
      <c r="C73" s="68" t="n">
        <f aca="false">COUNTIFS(工单[报修日期],"&gt;="&amp;期初,工单[报修日期],"&lt;="&amp;期末,工单[楼栋],$A73,工单[类型],"入户")</f>
        <v>6</v>
      </c>
      <c r="D73" s="68" t="n">
        <f aca="false">COUNTIFS(工单[报修日期],"&gt;="&amp;期初,工单[报修日期],"&lt;="&amp;期末,工单[楼栋],$A73,工单[类型],"公区")</f>
        <v>1</v>
      </c>
      <c r="E73" s="68" t="n">
        <f aca="false">COUNTIFS(工单[报修日期],"&gt;="&amp;期初,工单[报修日期],"&lt;="&amp;期末,工单[楼栋],$A73,工单[完成情况],"已完成")</f>
        <v>7</v>
      </c>
      <c r="F73" s="68" t="n">
        <f aca="false">B73-E73</f>
        <v>0</v>
      </c>
      <c r="G73" s="69" t="n">
        <f aca="false">IFERROR(E73/B73,"")</f>
        <v>1</v>
      </c>
      <c r="H73" s="69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8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7</v>
      </c>
      <c r="C74" s="64" t="n">
        <f aca="false">COUNTIFS(工单[报修日期],"&gt;="&amp;期初,工单[报修日期],"&lt;="&amp;期末,工单[楼栋],$A74,工单[类型],"入户")</f>
        <v>5</v>
      </c>
      <c r="D74" s="64" t="n">
        <f aca="false">COUNTIFS(工单[报修日期],"&gt;="&amp;期初,工单[报修日期],"&lt;="&amp;期末,工单[楼栋],$A74,工单[类型],"公区")</f>
        <v>2</v>
      </c>
      <c r="E74" s="64" t="n">
        <f aca="false">COUNTIFS(工单[报修日期],"&gt;="&amp;期初,工单[报修日期],"&lt;="&amp;期末,工单[楼栋],$A74,工单[完成情况],"已完成")</f>
        <v>6</v>
      </c>
      <c r="F74" s="64" t="n">
        <f aca="false">B74-E74</f>
        <v>1</v>
      </c>
      <c r="G74" s="65" t="n">
        <f aca="false">IFERROR(E74/B74,"")</f>
        <v>0.857142857142857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4" t="str">
        <f aca="false">设置!E12&amp;""</f>
        <v>4栋</v>
      </c>
      <c r="B75" s="68" t="n">
        <f aca="false">COUNTIFS(工单[报修日期],"&gt;="&amp;期初,工单[报修日期],"&lt;="&amp;期末,工单[楼栋],$A75)</f>
        <v>6</v>
      </c>
      <c r="C75" s="68" t="n">
        <f aca="false">COUNTIFS(工单[报修日期],"&gt;="&amp;期初,工单[报修日期],"&lt;="&amp;期末,工单[楼栋],$A75,工单[类型],"入户")</f>
        <v>6</v>
      </c>
      <c r="D75" s="68" t="n">
        <f aca="false">COUNTIFS(工单[报修日期],"&gt;="&amp;期初,工单[报修日期],"&lt;="&amp;期末,工单[楼栋],$A75,工单[类型],"公区")</f>
        <v>0</v>
      </c>
      <c r="E75" s="68" t="n">
        <f aca="false">COUNTIFS(工单[报修日期],"&gt;="&amp;期初,工单[报修日期],"&lt;="&amp;期末,工单[楼栋],$A75,工单[完成情况],"已完成")</f>
        <v>6</v>
      </c>
      <c r="F75" s="68" t="n">
        <f aca="false">B75-E75</f>
        <v>0</v>
      </c>
      <c r="G75" s="69" t="n">
        <f aca="false">IFERROR(E75/B75,"")</f>
        <v>1</v>
      </c>
      <c r="H75" s="69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8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17</v>
      </c>
      <c r="C76" s="64" t="n">
        <f aca="false">COUNTIFS(工单[报修日期],"&gt;="&amp;期初,工单[报修日期],"&lt;="&amp;期末,工单[楼栋],$A76,工单[类型],"入户")</f>
        <v>15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14</v>
      </c>
      <c r="F76" s="64" t="n">
        <f aca="false">B76-E76</f>
        <v>3</v>
      </c>
      <c r="G76" s="65" t="n">
        <f aca="false">IFERROR(E76/B76,"")</f>
        <v>0.823529411764706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1</v>
      </c>
    </row>
    <row r="77" customFormat="false" ht="18.75" hidden="false" customHeight="true" outlineLevel="0" collapsed="false">
      <c r="A77" s="74" t="str">
        <f aca="false">设置!E14&amp;""</f>
        <v>6栋</v>
      </c>
      <c r="B77" s="68" t="n">
        <f aca="false">COUNTIFS(工单[报修日期],"&gt;="&amp;期初,工单[报修日期],"&lt;="&amp;期末,工单[楼栋],$A77)</f>
        <v>17</v>
      </c>
      <c r="C77" s="68" t="n">
        <f aca="false">COUNTIFS(工单[报修日期],"&gt;="&amp;期初,工单[报修日期],"&lt;="&amp;期末,工单[楼栋],$A77,工单[类型],"入户")</f>
        <v>17</v>
      </c>
      <c r="D77" s="68" t="n">
        <f aca="false">COUNTIFS(工单[报修日期],"&gt;="&amp;期初,工单[报修日期],"&lt;="&amp;期末,工单[楼栋],$A77,工单[类型],"公区")</f>
        <v>0</v>
      </c>
      <c r="E77" s="68" t="n">
        <f aca="false">COUNTIFS(工单[报修日期],"&gt;="&amp;期初,工单[报修日期],"&lt;="&amp;期末,工单[楼栋],$A77,工单[完成情况],"已完成")</f>
        <v>13</v>
      </c>
      <c r="F77" s="68" t="n">
        <f aca="false">B77-E77</f>
        <v>4</v>
      </c>
      <c r="G77" s="69" t="n">
        <f aca="false">IFERROR(E77/B77,"")</f>
        <v>0.764705882352941</v>
      </c>
      <c r="H77" s="69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0.933333333333333</v>
      </c>
      <c r="I77" s="68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14</v>
      </c>
      <c r="C78" s="64" t="n">
        <f aca="false">COUNTIFS(工单[报修日期],"&gt;="&amp;期初,工单[报修日期],"&lt;="&amp;期末,工单[楼栋],$A78,工单[类型],"入户")</f>
        <v>13</v>
      </c>
      <c r="D78" s="64" t="n">
        <f aca="false">COUNTIFS(工单[报修日期],"&gt;="&amp;期初,工单[报修日期],"&lt;="&amp;期末,工单[楼栋],$A78,工单[类型],"公区")</f>
        <v>1</v>
      </c>
      <c r="E78" s="64" t="n">
        <f aca="false">COUNTIFS(工单[报修日期],"&gt;="&amp;期初,工单[报修日期],"&lt;="&amp;期末,工单[楼栋],$A78,工单[完成情况],"已完成")</f>
        <v>11</v>
      </c>
      <c r="F78" s="64" t="n">
        <f aca="false">B78-E78</f>
        <v>3</v>
      </c>
      <c r="G78" s="65" t="n">
        <f aca="false">IFERROR(E78/B78,"")</f>
        <v>0.785714285714286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4" t="str">
        <f aca="false">设置!E16&amp;""</f>
        <v>8栋</v>
      </c>
      <c r="B79" s="68" t="n">
        <f aca="false">COUNTIFS(工单[报修日期],"&gt;="&amp;期初,工单[报修日期],"&lt;="&amp;期末,工单[楼栋],$A79)</f>
        <v>16</v>
      </c>
      <c r="C79" s="68" t="n">
        <f aca="false">COUNTIFS(工单[报修日期],"&gt;="&amp;期初,工单[报修日期],"&lt;="&amp;期末,工单[楼栋],$A79,工单[类型],"入户")</f>
        <v>15</v>
      </c>
      <c r="D79" s="68" t="n">
        <f aca="false">COUNTIFS(工单[报修日期],"&gt;="&amp;期初,工单[报修日期],"&lt;="&amp;期末,工单[楼栋],$A79,工单[类型],"公区")</f>
        <v>1</v>
      </c>
      <c r="E79" s="68" t="n">
        <f aca="false">COUNTIFS(工单[报修日期],"&gt;="&amp;期初,工单[报修日期],"&lt;="&amp;期末,工单[楼栋],$A79,工单[完成情况],"已完成")</f>
        <v>14</v>
      </c>
      <c r="F79" s="68" t="n">
        <f aca="false">B79-E79</f>
        <v>2</v>
      </c>
      <c r="G79" s="69" t="n">
        <f aca="false">IFERROR(E79/B79,"")</f>
        <v>0.875</v>
      </c>
      <c r="H79" s="69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8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14</v>
      </c>
      <c r="C80" s="64" t="n">
        <f aca="false">COUNTIFS(工单[报修日期],"&gt;="&amp;期初,工单[报修日期],"&lt;="&amp;期末,工单[楼栋],$A80,工单[类型],"入户")</f>
        <v>12</v>
      </c>
      <c r="D80" s="64" t="n">
        <f aca="false">COUNTIFS(工单[报修日期],"&gt;="&amp;期初,工单[报修日期],"&lt;="&amp;期末,工单[楼栋],$A80,工单[类型],"公区")</f>
        <v>2</v>
      </c>
      <c r="E80" s="64" t="n">
        <f aca="false">COUNTIFS(工单[报修日期],"&gt;="&amp;期初,工单[报修日期],"&lt;="&amp;期末,工单[楼栋],$A80,工单[完成情况],"已完成")</f>
        <v>13</v>
      </c>
      <c r="F80" s="64" t="n">
        <f aca="false">B80-E80</f>
        <v>1</v>
      </c>
      <c r="G80" s="65" t="n">
        <f aca="false">IFERROR(E80/B80,"")</f>
        <v>0.928571428571429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4" t="str">
        <f aca="false">设置!E18&amp;""</f>
        <v>10栋</v>
      </c>
      <c r="B81" s="68" t="n">
        <f aca="false">COUNTIFS(工单[报修日期],"&gt;="&amp;期初,工单[报修日期],"&lt;="&amp;期末,工单[楼栋],$A81)</f>
        <v>16</v>
      </c>
      <c r="C81" s="68" t="n">
        <f aca="false">COUNTIFS(工单[报修日期],"&gt;="&amp;期初,工单[报修日期],"&lt;="&amp;期末,工单[楼栋],$A81,工单[类型],"入户")</f>
        <v>13</v>
      </c>
      <c r="D81" s="68" t="n">
        <f aca="false">COUNTIFS(工单[报修日期],"&gt;="&amp;期初,工单[报修日期],"&lt;="&amp;期末,工单[楼栋],$A81,工单[类型],"公区")</f>
        <v>3</v>
      </c>
      <c r="E81" s="68" t="n">
        <f aca="false">COUNTIFS(工单[报修日期],"&gt;="&amp;期初,工单[报修日期],"&lt;="&amp;期末,工单[楼栋],$A81,工单[完成情况],"已完成")</f>
        <v>14</v>
      </c>
      <c r="F81" s="68" t="n">
        <f aca="false">B81-E81</f>
        <v>2</v>
      </c>
      <c r="G81" s="69" t="n">
        <f aca="false">IFERROR(E81/B81,"")</f>
        <v>0.875</v>
      </c>
      <c r="H81" s="69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8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12</v>
      </c>
      <c r="C82" s="64" t="n">
        <f aca="false">COUNTIFS(工单[报修日期],"&gt;="&amp;期初,工单[报修日期],"&lt;="&amp;期末,工单[楼栋],$A82,工单[类型],"入户")</f>
        <v>10</v>
      </c>
      <c r="D82" s="64" t="n">
        <f aca="false">COUNTIFS(工单[报修日期],"&gt;="&amp;期初,工单[报修日期],"&lt;="&amp;期末,工单[楼栋],$A82,工单[类型],"公区")</f>
        <v>2</v>
      </c>
      <c r="E82" s="64" t="n">
        <f aca="false">COUNTIFS(工单[报修日期],"&gt;="&amp;期初,工单[报修日期],"&lt;="&amp;期末,工单[楼栋],$A82,工单[完成情况],"已完成")</f>
        <v>11</v>
      </c>
      <c r="F82" s="64" t="n">
        <f aca="false">B82-E82</f>
        <v>1</v>
      </c>
      <c r="G82" s="65" t="n">
        <f aca="false">IFERROR(E82/B82,"")</f>
        <v>0.916666666666667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4" t="str">
        <f aca="false">设置!E20&amp;""</f>
        <v>商铺</v>
      </c>
      <c r="B83" s="68" t="n">
        <f aca="false">COUNTIFS(工单[报修日期],"&gt;="&amp;期初,工单[报修日期],"&lt;="&amp;期末,工单[楼栋],$A83)</f>
        <v>1</v>
      </c>
      <c r="C83" s="68" t="n">
        <f aca="false">COUNTIFS(工单[报修日期],"&gt;="&amp;期初,工单[报修日期],"&lt;="&amp;期末,工单[楼栋],$A83,工单[类型],"入户")</f>
        <v>1</v>
      </c>
      <c r="D83" s="68" t="n">
        <f aca="false">COUNTIFS(工单[报修日期],"&gt;="&amp;期初,工单[报修日期],"&lt;="&amp;期末,工单[楼栋],$A83,工单[类型],"公区")</f>
        <v>0</v>
      </c>
      <c r="E83" s="68" t="n">
        <f aca="false">COUNTIFS(工单[报修日期],"&gt;="&amp;期初,工单[报修日期],"&lt;="&amp;期末,工单[楼栋],$A83,工单[完成情况],"已完成")</f>
        <v>1</v>
      </c>
      <c r="F83" s="68" t="n">
        <f aca="false">B83-E83</f>
        <v>0</v>
      </c>
      <c r="G83" s="69" t="n">
        <f aca="false">IFERROR(E83/B83,"")</f>
        <v>1</v>
      </c>
      <c r="H83" s="69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8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8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8</v>
      </c>
      <c r="E84" s="64" t="n">
        <f aca="false">COUNTIFS(工单[报修日期],"&gt;="&amp;期初,工单[报修日期],"&lt;="&amp;期末,工单[楼栋],$A84,工单[完成情况],"已完成")</f>
        <v>6</v>
      </c>
      <c r="F84" s="64" t="n">
        <f aca="false">B84-E84</f>
        <v>2</v>
      </c>
      <c r="G84" s="65" t="n">
        <f aca="false">IFERROR(E84/B84,"")</f>
        <v>0.75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1</v>
      </c>
    </row>
    <row r="85" customFormat="false" ht="15" hidden="false" customHeight="false" outlineLevel="0" collapsed="false">
      <c r="A85" s="77" t="s">
        <v>284</v>
      </c>
      <c r="B85" s="78" t="n">
        <f aca="false">SUM(B72:B84)</f>
        <v>143</v>
      </c>
      <c r="C85" s="78" t="n">
        <f aca="false">SUM(C72:C84)</f>
        <v>121</v>
      </c>
      <c r="D85" s="78" t="n">
        <f aca="false">SUM(D72:D84)</f>
        <v>22</v>
      </c>
      <c r="E85" s="78" t="n">
        <f aca="false">SUM(E72:E84)</f>
        <v>124</v>
      </c>
      <c r="F85" s="78" t="n">
        <f aca="false">SUM(F72:F84)</f>
        <v>19</v>
      </c>
      <c r="G85" s="79" t="n">
        <f aca="false">IFERROR(E85/B85,"")</f>
        <v>0.867132867132867</v>
      </c>
      <c r="H85" s="79" t="n">
        <f aca="false">E43</f>
        <v>0.990990990990991</v>
      </c>
      <c r="I85" s="78" t="n">
        <f aca="false">SUM(I72:I84)</f>
        <v>5</v>
      </c>
    </row>
    <row r="87" customFormat="false" ht="15" hidden="false" customHeight="false" outlineLevel="0" collapsed="false">
      <c r="A87" s="45" t="s">
        <v>286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54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4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2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7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10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8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9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6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6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7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3</v>
      </c>
    </row>
    <row r="90" customFormat="false" ht="18.75" hidden="false" customHeight="true" outlineLevel="0" collapsed="false">
      <c r="A90" s="86" t="str">
        <f aca="false">设置!A10&amp;""</f>
        <v>李师傅</v>
      </c>
      <c r="B90" s="87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7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1</v>
      </c>
      <c r="D90" s="87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7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7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5</v>
      </c>
      <c r="G90" s="87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3</v>
      </c>
      <c r="H90" s="87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5</v>
      </c>
      <c r="I90" s="87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6</v>
      </c>
      <c r="J90" s="87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6</v>
      </c>
      <c r="K90" s="87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8</v>
      </c>
      <c r="L90" s="87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3</v>
      </c>
      <c r="M90" s="87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7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1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1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2</v>
      </c>
    </row>
    <row r="92" customFormat="false" ht="18.75" hidden="false" customHeight="true" outlineLevel="0" collapsed="false">
      <c r="A92" s="86" t="str">
        <f aca="false">设置!A12&amp;""</f>
        <v>陈师傅</v>
      </c>
      <c r="B92" s="87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7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1</v>
      </c>
      <c r="D92" s="87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3</v>
      </c>
      <c r="E92" s="87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7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2</v>
      </c>
      <c r="G92" s="87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7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1</v>
      </c>
      <c r="I92" s="87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1</v>
      </c>
      <c r="J92" s="87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7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2</v>
      </c>
      <c r="L92" s="87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3</v>
      </c>
      <c r="M92" s="87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7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2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1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1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4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1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2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2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287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66</v>
      </c>
      <c r="B3" s="32" t="s">
        <v>91</v>
      </c>
      <c r="C3" s="88" t="s">
        <v>288</v>
      </c>
      <c r="D3" s="32"/>
      <c r="E3" s="16" t="s">
        <v>289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290</v>
      </c>
      <c r="B5" s="89" t="s">
        <v>89</v>
      </c>
      <c r="C5" s="89" t="s">
        <v>276</v>
      </c>
      <c r="D5" s="89" t="s">
        <v>90</v>
      </c>
      <c r="E5" s="89" t="s">
        <v>101</v>
      </c>
      <c r="F5" s="89" t="s">
        <v>103</v>
      </c>
      <c r="G5" s="89" t="s">
        <v>277</v>
      </c>
      <c r="H5" s="89" t="s">
        <v>265</v>
      </c>
      <c r="I5" s="89" t="s">
        <v>261</v>
      </c>
      <c r="J5" s="89" t="s">
        <v>291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45784</v>
      </c>
      <c r="J6" s="92" t="n">
        <f aca="false">IF(A6=0,"",SUMPRODUCT(LARGE((工单[楼栋]=$B$3)*(((工单[房号/位置]&amp;"")=($D$3&amp;""))+($D$3="")&gt;0)*工单[报修日期],A6)))</f>
        <v>45778</v>
      </c>
    </row>
    <row r="8" customFormat="false" ht="24" hidden="false" customHeight="true" outlineLevel="0" collapsed="false">
      <c r="A8" s="46" t="s">
        <v>292</v>
      </c>
      <c r="B8" s="46" t="s">
        <v>64</v>
      </c>
      <c r="C8" s="46" t="s">
        <v>65</v>
      </c>
      <c r="D8" s="46" t="s">
        <v>67</v>
      </c>
      <c r="E8" s="46" t="s">
        <v>68</v>
      </c>
      <c r="F8" s="46"/>
      <c r="G8" s="46" t="s">
        <v>69</v>
      </c>
      <c r="H8" s="46" t="s">
        <v>257</v>
      </c>
      <c r="I8" s="46" t="s">
        <v>74</v>
      </c>
      <c r="J8" s="46" t="s">
        <v>76</v>
      </c>
      <c r="K8" s="46" t="s">
        <v>80</v>
      </c>
      <c r="L8" s="46" t="s">
        <v>78</v>
      </c>
      <c r="M8" s="46" t="s">
        <v>63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45784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厨房水槽下面漏水，柜子泡湿了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6-1101-0507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54" t="n">
        <f aca="false">IF($O10=0,"",2)</f>
        <v>2</v>
      </c>
      <c r="B10" s="56" t="n">
        <f aca="false">IF($O10=0,"",INDEX(工单[报修日期],$O10-ROW(工单[#Headers])))</f>
        <v>45784</v>
      </c>
      <c r="C10" s="54" t="str">
        <f aca="false">IF($O10=0,"",INDEX(工单[类型],$O10-ROW(工单[#Headers]))&amp;"")</f>
        <v>入户</v>
      </c>
      <c r="D10" s="54" t="str">
        <f aca="false">IF($O10=0,"",INDEX(工单[房号/位置],$O10-ROW(工单[#Headers]))&amp;"")</f>
        <v>504</v>
      </c>
      <c r="E10" s="55" t="str">
        <f aca="false">IF($O10=0,"",INDEX(工单[报修问题描述],$O10-ROW(工单[#Headers]))&amp;"")</f>
        <v>燃气灶点火打不着</v>
      </c>
      <c r="F10" s="55"/>
      <c r="G10" s="54" t="str">
        <f aca="false">IF($O10=0,"",INDEX(工单[维修类别],$O10-ROW(工单[#Headers]))&amp;"")</f>
        <v>燃气厨电</v>
      </c>
      <c r="H10" s="54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54" t="str">
        <f aca="false">IF($O10=0,"",INDEX(工单[完成情况],$O10-ROW(工单[#Headers]))&amp;"")</f>
        <v>已完成</v>
      </c>
      <c r="J10" s="57" t="str">
        <f aca="false">IF($O10=0,"",INDEX(工单[处理天数],$O10-ROW(工单[#Headers])))</f>
        <v/>
      </c>
      <c r="K10" s="54" t="str">
        <f aca="false">IF($O10=0,"",INDEX(工单[维修评价],$O10-ROW(工单[#Headers]))&amp;"")</f>
        <v>非常满意</v>
      </c>
      <c r="L10" s="55" t="str">
        <f aca="false">IF($O10=0,"",INDEX(工单[维修备注],$O10-ROW(工单[#Headers]))&amp;"")</f>
        <v/>
      </c>
      <c r="M10" s="54" t="str">
        <f aca="false">IF($O10=0,"",INDEX(工单[单据编号],$O10-ROW(工单[#Headers]))&amp;"")</f>
        <v>6-504-0507-02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45782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6-403-0505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54" t="n">
        <f aca="false">IF($O12=0,"",4)</f>
        <v>4</v>
      </c>
      <c r="B12" s="56" t="n">
        <f aca="false">IF($O12=0,"",INDEX(工单[报修日期],$O12-ROW(工单[#Headers])))</f>
        <v>45781</v>
      </c>
      <c r="C12" s="54" t="str">
        <f aca="false">IF($O12=0,"",INDEX(工单[类型],$O12-ROW(工单[#Headers]))&amp;"")</f>
        <v>入户</v>
      </c>
      <c r="D12" s="54" t="str">
        <f aca="false">IF($O12=0,"",INDEX(工单[房号/位置],$O12-ROW(工单[#Headers]))&amp;"")</f>
        <v>402</v>
      </c>
      <c r="E12" s="55" t="str">
        <f aca="false">IF($O12=0,"",INDEX(工单[报修问题描述],$O12-ROW(工单[#Headers]))&amp;"")</f>
        <v>卫生间下水道返臭</v>
      </c>
      <c r="F12" s="55"/>
      <c r="G12" s="54" t="str">
        <f aca="false">IF($O12=0,"",INDEX(工单[维修类别],$O12-ROW(工单[#Headers]))&amp;"")</f>
        <v>给排水</v>
      </c>
      <c r="H12" s="54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54" t="str">
        <f aca="false">IF($O12=0,"",INDEX(工单[完成情况],$O12-ROW(工单[#Headers]))&amp;"")</f>
        <v>已完成</v>
      </c>
      <c r="J12" s="57" t="str">
        <f aca="false">IF($O12=0,"",INDEX(工单[处理天数],$O12-ROW(工单[#Headers])))</f>
        <v/>
      </c>
      <c r="K12" s="54" t="str">
        <f aca="false">IF($O12=0,"",INDEX(工单[维修评价],$O12-ROW(工单[#Headers]))&amp;"")</f>
        <v>非常满意</v>
      </c>
      <c r="L12" s="55" t="str">
        <f aca="false">IF($O12=0,"",INDEX(工单[维修备注],$O12-ROW(工单[#Headers]))&amp;"")</f>
        <v/>
      </c>
      <c r="M12" s="54" t="str">
        <f aca="false">IF($O12=0,"",INDEX(工单[单据编号],$O12-ROW(工单[#Headers]))&amp;"")</f>
        <v>6-402-0504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45780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连续下雨后阳台墙面渗水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4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6-2802-0503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54" t="n">
        <f aca="false">IF($O14=0,"",6)</f>
        <v>6</v>
      </c>
      <c r="B14" s="56" t="n">
        <f aca="false">IF($O14=0,"",INDEX(工单[报修日期],$O14-ROW(工单[#Headers])))</f>
        <v>45780</v>
      </c>
      <c r="C14" s="54" t="str">
        <f aca="false">IF($O14=0,"",INDEX(工单[类型],$O14-ROW(工单[#Headers]))&amp;"")</f>
        <v>入户</v>
      </c>
      <c r="D14" s="54" t="str">
        <f aca="false">IF($O14=0,"",INDEX(工单[房号/位置],$O14-ROW(工单[#Headers]))&amp;"")</f>
        <v>1503</v>
      </c>
      <c r="E14" s="55" t="str">
        <f aca="false">IF($O14=0,"",INDEX(工单[报修问题描述],$O14-ROW(工单[#Headers]))&amp;"")</f>
        <v>玄关踢脚线脱落</v>
      </c>
      <c r="F14" s="55"/>
      <c r="G14" s="54" t="str">
        <f aca="false">IF($O14=0,"",INDEX(工单[维修类别],$O14-ROW(工单[#Headers]))&amp;"")</f>
        <v>墙地饰面</v>
      </c>
      <c r="H14" s="54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54" t="str">
        <f aca="false">IF($O14=0,"",INDEX(工单[完成情况],$O14-ROW(工单[#Headers]))&amp;"")</f>
        <v>已完成</v>
      </c>
      <c r="J14" s="57" t="str">
        <f aca="false">IF($O14=0,"",INDEX(工单[处理天数],$O14-ROW(工单[#Headers])))</f>
        <v/>
      </c>
      <c r="K14" s="54" t="str">
        <f aca="false">IF($O14=0,"",INDEX(工单[维修评价],$O14-ROW(工单[#Headers]))&amp;"")</f>
        <v>非常满意</v>
      </c>
      <c r="L14" s="55" t="str">
        <f aca="false">IF($O14=0,"",INDEX(工单[维修备注],$O14-ROW(工单[#Headers]))&amp;"")</f>
        <v/>
      </c>
      <c r="M14" s="54" t="str">
        <f aca="false">IF($O14=0,"",INDEX(工单[单据编号],$O14-ROW(工单[#Headers]))&amp;"")</f>
        <v>6-1503-0503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45780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厨房门口门槛石松了，踩上去会动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6-1102-0503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54" t="n">
        <f aca="false">IF($O16=0,"",8)</f>
        <v>8</v>
      </c>
      <c r="B16" s="56" t="n">
        <f aca="false">IF($O16=0,"",INDEX(工单[报修日期],$O16-ROW(工单[#Headers])))</f>
        <v>45780</v>
      </c>
      <c r="C16" s="54" t="str">
        <f aca="false">IF($O16=0,"",INDEX(工单[类型],$O16-ROW(工单[#Headers]))&amp;"")</f>
        <v>入户</v>
      </c>
      <c r="D16" s="54" t="str">
        <f aca="false">IF($O16=0,"",INDEX(工单[房号/位置],$O16-ROW(工单[#Headers]))&amp;"")</f>
        <v>504</v>
      </c>
      <c r="E16" s="55" t="str">
        <f aca="false">IF($O16=0,"",INDEX(工单[报修问题描述],$O16-ROW(工单[#Headers]))&amp;"")</f>
        <v>次卧门把手松动</v>
      </c>
      <c r="F16" s="55"/>
      <c r="G16" s="54" t="str">
        <f aca="false">IF($O16=0,"",INDEX(工单[维修类别],$O16-ROW(工单[#Headers]))&amp;"")</f>
        <v>门窗五金</v>
      </c>
      <c r="H16" s="54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54" t="str">
        <f aca="false">IF($O16=0,"",INDEX(工单[完成情况],$O16-ROW(工单[#Headers]))&amp;"")</f>
        <v>已完成</v>
      </c>
      <c r="J16" s="57" t="str">
        <f aca="false">IF($O16=0,"",INDEX(工单[处理天数],$O16-ROW(工单[#Headers])))</f>
        <v/>
      </c>
      <c r="K16" s="54" t="str">
        <f aca="false">IF($O16=0,"",INDEX(工单[维修评价],$O16-ROW(工单[#Headers]))&amp;"")</f>
        <v>非常满意</v>
      </c>
      <c r="L16" s="55" t="str">
        <f aca="false">IF($O16=0,"",INDEX(工单[维修备注],$O16-ROW(工单[#Headers]))&amp;"")</f>
        <v/>
      </c>
      <c r="M16" s="54" t="str">
        <f aca="false">IF($O16=0,"",INDEX(工单[单据编号],$O16-ROW(工单[#Headers]))&amp;"")</f>
        <v>6-504-0503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45780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6-2402-0503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54" t="n">
        <f aca="false">IF($O18=0,"",10)</f>
        <v>10</v>
      </c>
      <c r="B18" s="56" t="n">
        <f aca="false">IF($O18=0,"",INDEX(工单[报修日期],$O18-ROW(工单[#Headers])))</f>
        <v>45780</v>
      </c>
      <c r="C18" s="54" t="str">
        <f aca="false">IF($O18=0,"",INDEX(工单[类型],$O18-ROW(工单[#Headers]))&amp;"")</f>
        <v>入户</v>
      </c>
      <c r="D18" s="54" t="str">
        <f aca="false">IF($O18=0,"",INDEX(工单[房号/位置],$O18-ROW(工单[#Headers]))&amp;"")</f>
        <v>1904</v>
      </c>
      <c r="E18" s="55" t="str">
        <f aca="false">IF($O18=0,"",INDEX(工单[报修问题描述],$O18-ROW(工单[#Headers]))&amp;"")</f>
        <v>卫生间门关不上</v>
      </c>
      <c r="F18" s="55"/>
      <c r="G18" s="54" t="str">
        <f aca="false">IF($O18=0,"",INDEX(工单[维修类别],$O18-ROW(工单[#Headers]))&amp;"")</f>
        <v>门窗五金</v>
      </c>
      <c r="H18" s="54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54" t="str">
        <f aca="false">IF($O18=0,"",INDEX(工单[完成情况],$O18-ROW(工单[#Headers]))&amp;"")</f>
        <v>已完成</v>
      </c>
      <c r="J18" s="57" t="str">
        <f aca="false">IF($O18=0,"",INDEX(工单[处理天数],$O18-ROW(工单[#Headers])))</f>
        <v/>
      </c>
      <c r="K18" s="54" t="str">
        <f aca="false">IF($O18=0,"",INDEX(工单[维修评价],$O18-ROW(工单[#Headers]))&amp;"")</f>
        <v>非常满意</v>
      </c>
      <c r="L18" s="55" t="str">
        <f aca="false">IF($O18=0,"",INDEX(工单[维修备注],$O18-ROW(工单[#Headers]))&amp;"")</f>
        <v/>
      </c>
      <c r="M18" s="54" t="str">
        <f aca="false">IF($O18=0,"",INDEX(工单[单据编号],$O18-ROW(工单[#Headers]))&amp;"")</f>
        <v>6-1904-0503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45779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空调外机噪音大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5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非物业维修范围，业主已联系空调售后</v>
      </c>
      <c r="M19" s="48" t="str">
        <f aca="false">IF($O19=0,"",INDEX(工单[单据编号],$O19-ROW(工单[#Headers]))&amp;"")</f>
        <v>6-3304-0502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54" t="n">
        <f aca="false">IF($O20=0,"",12)</f>
        <v>12</v>
      </c>
      <c r="B20" s="56" t="n">
        <f aca="false">IF($O20=0,"",INDEX(工单[报修日期],$O20-ROW(工单[#Headers])))</f>
        <v>45779</v>
      </c>
      <c r="C20" s="54" t="str">
        <f aca="false">IF($O20=0,"",INDEX(工单[类型],$O20-ROW(工单[#Headers]))&amp;"")</f>
        <v>入户</v>
      </c>
      <c r="D20" s="54" t="str">
        <f aca="false">IF($O20=0,"",INDEX(工单[房号/位置],$O20-ROW(工单[#Headers]))&amp;"")</f>
        <v>201</v>
      </c>
      <c r="E20" s="55" t="str">
        <f aca="false">IF($O20=0,"",INDEX(工单[报修问题描述],$O20-ROW(工单[#Headers]))&amp;"")</f>
        <v>房门锁舌弹不回来</v>
      </c>
      <c r="F20" s="55"/>
      <c r="G20" s="54" t="str">
        <f aca="false">IF($O20=0,"",INDEX(工单[维修类别],$O20-ROW(工单[#Headers]))&amp;"")</f>
        <v>门窗五金</v>
      </c>
      <c r="H20" s="54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54" t="str">
        <f aca="false">IF($O20=0,"",INDEX(工单[完成情况],$O20-ROW(工单[#Headers]))&amp;"")</f>
        <v>已完成</v>
      </c>
      <c r="J20" s="57" t="str">
        <f aca="false">IF($O20=0,"",INDEX(工单[处理天数],$O20-ROW(工单[#Headers])))</f>
        <v/>
      </c>
      <c r="K20" s="54" t="str">
        <f aca="false">IF($O20=0,"",INDEX(工单[维修评价],$O20-ROW(工单[#Headers]))&amp;"")</f>
        <v>非常满意</v>
      </c>
      <c r="L20" s="55" t="str">
        <f aca="false">IF($O20=0,"",INDEX(工单[维修备注],$O20-ROW(工单[#Headers]))&amp;"")</f>
        <v/>
      </c>
      <c r="M20" s="54" t="str">
        <f aca="false">IF($O20=0,"",INDEX(工单[单据编号],$O20-ROW(工单[#Headers]))&amp;"")</f>
        <v>6-201-0502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45778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次卧顶灯开关按了没反应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6-2701-0501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54" t="n">
        <f aca="false">IF($O22=0,"",14)</f>
        <v>14</v>
      </c>
      <c r="B22" s="56" t="n">
        <f aca="false">IF($O22=0,"",INDEX(工单[报修日期],$O22-ROW(工单[#Headers])))</f>
        <v>45778</v>
      </c>
      <c r="C22" s="54" t="str">
        <f aca="false">IF($O22=0,"",INDEX(工单[类型],$O22-ROW(工单[#Headers]))&amp;"")</f>
        <v>入户</v>
      </c>
      <c r="D22" s="54" t="str">
        <f aca="false">IF($O22=0,"",INDEX(工单[房号/位置],$O22-ROW(工单[#Headers]))&amp;"")</f>
        <v>701</v>
      </c>
      <c r="E22" s="55" t="str">
        <f aca="false">IF($O22=0,"",INDEX(工单[报修问题描述],$O22-ROW(工单[#Headers]))&amp;"")</f>
        <v>次卧墙面受潮鼓包起皮</v>
      </c>
      <c r="F22" s="55"/>
      <c r="G22" s="54" t="str">
        <f aca="false">IF($O22=0,"",INDEX(工单[维修类别],$O22-ROW(工单[#Headers]))&amp;"")</f>
        <v>墙地饰面</v>
      </c>
      <c r="H22" s="54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54" t="str">
        <f aca="false">IF($O22=0,"",INDEX(工单[完成情况],$O22-ROW(工单[#Headers]))&amp;"")</f>
        <v>跟进中</v>
      </c>
      <c r="J22" s="57" t="n">
        <f aca="false">IF($O22=0,"",INDEX(工单[处理天数],$O22-ROW(工单[#Headers])))</f>
        <v>6</v>
      </c>
      <c r="K22" s="54" t="str">
        <f aca="false">IF($O22=0,"",INDEX(工单[维修评价],$O22-ROW(工单[#Headers]))&amp;"")</f>
        <v>非常满意</v>
      </c>
      <c r="L22" s="55" t="str">
        <f aca="false">IF($O22=0,"",INDEX(工单[维修备注],$O22-ROW(工单[#Headers]))&amp;"")</f>
        <v>已铲除鼓包批第一遍腻子，待干透后约第二次上门</v>
      </c>
      <c r="M22" s="54" t="str">
        <f aca="false">IF($O22=0,"",INDEX(工单[单据编号],$O22-ROW(工单[#Headers]))&amp;"")</f>
        <v>6-701-0501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45778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入户门把手松动下垂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已紧固复位</v>
      </c>
      <c r="M23" s="48" t="str">
        <f aca="false">IF($O23=0,"",INDEX(工单[单据编号],$O23-ROW(工单[#Headers]))&amp;"")</f>
        <v>6-2501-0501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54" t="n">
        <f aca="false">IF($O24=0,"",16)</f>
        <v>16</v>
      </c>
      <c r="B24" s="56" t="n">
        <f aca="false">IF($O24=0,"",INDEX(工单[报修日期],$O24-ROW(工单[#Headers])))</f>
        <v>45778</v>
      </c>
      <c r="C24" s="54" t="str">
        <f aca="false">IF($O24=0,"",INDEX(工单[类型],$O24-ROW(工单[#Headers]))&amp;"")</f>
        <v>入户</v>
      </c>
      <c r="D24" s="54" t="str">
        <f aca="false">IF($O24=0,"",INDEX(工单[房号/位置],$O24-ROW(工单[#Headers]))&amp;"")</f>
        <v>2004</v>
      </c>
      <c r="E24" s="55" t="str">
        <f aca="false">IF($O24=0,"",INDEX(工单[报修问题描述],$O24-ROW(工单[#Headers]))&amp;"")</f>
        <v>主卧空调出风口结露滴水</v>
      </c>
      <c r="F24" s="55"/>
      <c r="G24" s="54" t="str">
        <f aca="false">IF($O24=0,"",INDEX(工单[维修类别],$O24-ROW(工单[#Headers]))&amp;"")</f>
        <v>空调暖通</v>
      </c>
      <c r="H24" s="54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54" t="str">
        <f aca="false">IF($O24=0,"",INDEX(工单[完成情况],$O24-ROW(工单[#Headers]))&amp;"")</f>
        <v>已完成</v>
      </c>
      <c r="J24" s="57" t="str">
        <f aca="false">IF($O24=0,"",INDEX(工单[处理天数],$O24-ROW(工单[#Headers])))</f>
        <v/>
      </c>
      <c r="K24" s="54" t="str">
        <f aca="false">IF($O24=0,"",INDEX(工单[维修评价],$O24-ROW(工单[#Headers]))&amp;"")</f>
        <v>一般</v>
      </c>
      <c r="L24" s="55" t="str">
        <f aca="false">IF($O24=0,"",INDEX(工单[维修备注],$O24-ROW(工单[#Headers]))&amp;"")</f>
        <v>已调整出风角度并清洗滤网</v>
      </c>
      <c r="M24" s="54" t="str">
        <f aca="false">IF($O24=0,"",INDEX(工单[单据编号],$O24-ROW(工单[#Headers]))&amp;"")</f>
        <v>6-2004-0501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45778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空调开机后室内机滴水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6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需重新包扎保温棉，待料处理</v>
      </c>
      <c r="M25" s="48" t="str">
        <f aca="false">IF($O25=0,"",INDEX(工单[单据编号],$O25-ROW(工单[#Headers]))&amp;"")</f>
        <v>6-2504-0501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54" t="str">
        <f aca="false">IF($O26=0,"",18)</f>
        <v/>
      </c>
      <c r="B26" s="56" t="str">
        <f aca="false">IF($O26=0,"",INDEX(工单[报修日期],$O26-ROW(工单[#Headers])))</f>
        <v/>
      </c>
      <c r="C26" s="54" t="str">
        <f aca="false">IF($O26=0,"",INDEX(工单[类型],$O26-ROW(工单[#Headers]))&amp;"")</f>
        <v/>
      </c>
      <c r="D26" s="54" t="str">
        <f aca="false">IF($O26=0,"",INDEX(工单[房号/位置],$O26-ROW(工单[#Headers]))&amp;"")</f>
        <v/>
      </c>
      <c r="E26" s="55" t="str">
        <f aca="false">IF($O26=0,"",INDEX(工单[报修问题描述],$O26-ROW(工单[#Headers]))&amp;"")</f>
        <v/>
      </c>
      <c r="F26" s="55"/>
      <c r="G26" s="54" t="str">
        <f aca="false">IF($O26=0,"",INDEX(工单[维修类别],$O26-ROW(工单[#Headers]))&amp;"")</f>
        <v/>
      </c>
      <c r="H26" s="54" t="str">
        <f aca="false">IF($O26=0,"",INDEX(工单[跟进人1],$O26-ROW(工单[#Headers]))&amp;IF(INDEX(工单[跟进人2],$O26-ROW(工单[#Headers]))="","","、"&amp;INDEX(工单[跟进人2],$O26-ROW(工单[#Headers]))))</f>
        <v/>
      </c>
      <c r="I26" s="54" t="str">
        <f aca="false">IF($O26=0,"",INDEX(工单[完成情况],$O26-ROW(工单[#Headers]))&amp;"")</f>
        <v/>
      </c>
      <c r="J26" s="57" t="str">
        <f aca="false">IF($O26=0,"",INDEX(工单[处理天数],$O26-ROW(工单[#Headers])))</f>
        <v/>
      </c>
      <c r="K26" s="54" t="str">
        <f aca="false">IF($O26=0,"",INDEX(工单[维修评价],$O26-ROW(工单[#Headers]))&amp;"")</f>
        <v/>
      </c>
      <c r="L26" s="55" t="str">
        <f aca="false">IF($O26=0,"",INDEX(工单[维修备注],$O26-ROW(工单[#Headers]))&amp;"")</f>
        <v/>
      </c>
      <c r="M26" s="54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54" t="str">
        <f aca="false">IF($O28=0,"",20)</f>
        <v/>
      </c>
      <c r="B28" s="56" t="str">
        <f aca="false">IF($O28=0,"",INDEX(工单[报修日期],$O28-ROW(工单[#Headers])))</f>
        <v/>
      </c>
      <c r="C28" s="54" t="str">
        <f aca="false">IF($O28=0,"",INDEX(工单[类型],$O28-ROW(工单[#Headers]))&amp;"")</f>
        <v/>
      </c>
      <c r="D28" s="54" t="str">
        <f aca="false">IF($O28=0,"",INDEX(工单[房号/位置],$O28-ROW(工单[#Headers]))&amp;"")</f>
        <v/>
      </c>
      <c r="E28" s="55" t="str">
        <f aca="false">IF($O28=0,"",INDEX(工单[报修问题描述],$O28-ROW(工单[#Headers]))&amp;"")</f>
        <v/>
      </c>
      <c r="F28" s="55"/>
      <c r="G28" s="54" t="str">
        <f aca="false">IF($O28=0,"",INDEX(工单[维修类别],$O28-ROW(工单[#Headers]))&amp;"")</f>
        <v/>
      </c>
      <c r="H28" s="54" t="str">
        <f aca="false">IF($O28=0,"",INDEX(工单[跟进人1],$O28-ROW(工单[#Headers]))&amp;IF(INDEX(工单[跟进人2],$O28-ROW(工单[#Headers]))="","","、"&amp;INDEX(工单[跟进人2],$O28-ROW(工单[#Headers]))))</f>
        <v/>
      </c>
      <c r="I28" s="54" t="str">
        <f aca="false">IF($O28=0,"",INDEX(工单[完成情况],$O28-ROW(工单[#Headers]))&amp;"")</f>
        <v/>
      </c>
      <c r="J28" s="57" t="str">
        <f aca="false">IF($O28=0,"",INDEX(工单[处理天数],$O28-ROW(工单[#Headers])))</f>
        <v/>
      </c>
      <c r="K28" s="54" t="str">
        <f aca="false">IF($O28=0,"",INDEX(工单[维修评价],$O28-ROW(工单[#Headers]))&amp;"")</f>
        <v/>
      </c>
      <c r="L28" s="55" t="str">
        <f aca="false">IF($O28=0,"",INDEX(工单[维修备注],$O28-ROW(工单[#Headers]))&amp;"")</f>
        <v/>
      </c>
      <c r="M28" s="54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8C5D"/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3"/>
  </cols>
  <sheetData>
    <row r="1" customFormat="false" ht="39.75" hidden="false" customHeight="true" outlineLevel="0" collapsed="false">
      <c r="A1" s="93" t="s">
        <v>293</v>
      </c>
      <c r="B1" s="93"/>
      <c r="C1" s="93"/>
      <c r="D1" s="93"/>
      <c r="E1" s="93"/>
      <c r="F1" s="93"/>
    </row>
    <row r="2" customFormat="false" ht="16.4" hidden="false" customHeight="false" outlineLevel="0" collapsed="false">
      <c r="A2" s="94" t="s">
        <v>294</v>
      </c>
      <c r="B2" s="94"/>
      <c r="C2" s="94"/>
      <c r="D2" s="94"/>
      <c r="E2" s="94"/>
      <c r="F2" s="94"/>
    </row>
    <row r="3" customFormat="false" ht="30" hidden="false" customHeight="true" outlineLevel="0" collapsed="false">
      <c r="A3" s="16" t="s">
        <v>295</v>
      </c>
      <c r="B3" s="16"/>
      <c r="C3" s="16"/>
      <c r="D3" s="16"/>
      <c r="E3" s="16"/>
      <c r="F3" s="16"/>
    </row>
    <row r="4" customFormat="false" ht="7.5" hidden="false" customHeight="true" outlineLevel="0" collapsed="false"/>
    <row r="5" customFormat="false" ht="30" hidden="false" customHeight="true" outlineLevel="0" collapsed="false">
      <c r="A5" s="95" t="s">
        <v>296</v>
      </c>
      <c r="B5" s="96" t="s">
        <v>297</v>
      </c>
      <c r="C5" s="96"/>
      <c r="D5" s="95" t="s">
        <v>298</v>
      </c>
      <c r="E5" s="96"/>
      <c r="F5" s="96"/>
    </row>
    <row r="6" customFormat="false" ht="30" hidden="false" customHeight="true" outlineLevel="0" collapsed="false">
      <c r="A6" s="95" t="s">
        <v>299</v>
      </c>
      <c r="B6" s="96"/>
      <c r="C6" s="96"/>
      <c r="D6" s="95" t="s">
        <v>300</v>
      </c>
      <c r="E6" s="96" t="s">
        <v>301</v>
      </c>
      <c r="F6" s="96"/>
    </row>
    <row r="7" customFormat="false" ht="30" hidden="false" customHeight="true" outlineLevel="0" collapsed="false">
      <c r="A7" s="95" t="s">
        <v>302</v>
      </c>
      <c r="B7" s="96"/>
      <c r="C7" s="96"/>
      <c r="D7" s="95" t="s">
        <v>303</v>
      </c>
      <c r="E7" s="96"/>
      <c r="F7" s="96"/>
    </row>
    <row r="8" customFormat="false" ht="9.75" hidden="false" customHeight="true" outlineLevel="0" collapsed="false"/>
    <row r="9" customFormat="false" ht="24.75" hidden="false" customHeight="true" outlineLevel="0" collapsed="false">
      <c r="A9" s="97" t="s">
        <v>304</v>
      </c>
      <c r="B9" s="97"/>
      <c r="C9" s="97"/>
      <c r="D9" s="97"/>
      <c r="E9" s="97"/>
      <c r="F9" s="97"/>
    </row>
    <row r="10" customFormat="false" ht="24" hidden="false" customHeight="true" outlineLevel="0" collapsed="false">
      <c r="A10" s="98" t="s">
        <v>305</v>
      </c>
      <c r="B10" s="98"/>
      <c r="C10" s="98"/>
      <c r="D10" s="98"/>
      <c r="E10" s="98"/>
      <c r="F10" s="98"/>
    </row>
    <row r="11" customFormat="false" ht="51.75" hidden="false" customHeight="true" outlineLevel="0" collapsed="false">
      <c r="A11" s="99"/>
      <c r="B11" s="99"/>
      <c r="C11" s="99"/>
      <c r="D11" s="99"/>
      <c r="E11" s="99"/>
      <c r="F11" s="99"/>
    </row>
    <row r="12" customFormat="false" ht="39.75" hidden="false" customHeight="true" outlineLevel="0" collapsed="false">
      <c r="A12" s="100" t="s">
        <v>306</v>
      </c>
      <c r="B12" s="100"/>
      <c r="C12" s="100"/>
      <c r="D12" s="100"/>
      <c r="E12" s="100"/>
      <c r="F12" s="100"/>
    </row>
    <row r="13" customFormat="false" ht="24" hidden="false" customHeight="true" outlineLevel="0" collapsed="false">
      <c r="A13" s="98" t="s">
        <v>307</v>
      </c>
      <c r="B13" s="98"/>
      <c r="C13" s="98"/>
      <c r="D13" s="98"/>
      <c r="E13" s="98"/>
      <c r="F13" s="98"/>
    </row>
    <row r="14" customFormat="false" ht="51.75" hidden="false" customHeight="true" outlineLevel="0" collapsed="false">
      <c r="A14" s="99"/>
      <c r="B14" s="99"/>
      <c r="C14" s="99"/>
      <c r="D14" s="99"/>
      <c r="E14" s="99"/>
      <c r="F14" s="99"/>
    </row>
    <row r="15" customFormat="false" ht="25.5" hidden="false" customHeight="true" outlineLevel="0" collapsed="false">
      <c r="A15" s="101" t="s">
        <v>308</v>
      </c>
      <c r="B15" s="101"/>
      <c r="C15" s="101"/>
      <c r="D15" s="101"/>
      <c r="E15" s="101"/>
      <c r="F15" s="101"/>
    </row>
    <row r="16" customFormat="false" ht="25.5" hidden="false" customHeight="true" outlineLevel="0" collapsed="false">
      <c r="A16" s="101" t="s">
        <v>309</v>
      </c>
      <c r="B16" s="101"/>
      <c r="C16" s="101"/>
      <c r="D16" s="101"/>
      <c r="E16" s="101"/>
      <c r="F16" s="101"/>
    </row>
    <row r="17" customFormat="false" ht="39.75" hidden="false" customHeight="true" outlineLevel="0" collapsed="false">
      <c r="A17" s="100" t="s">
        <v>310</v>
      </c>
      <c r="B17" s="100"/>
      <c r="C17" s="100"/>
      <c r="D17" s="100"/>
      <c r="E17" s="100"/>
      <c r="F17" s="100"/>
    </row>
    <row r="18" customFormat="false" ht="24.75" hidden="false" customHeight="true" outlineLevel="0" collapsed="false">
      <c r="A18" s="97" t="s">
        <v>311</v>
      </c>
      <c r="B18" s="97"/>
      <c r="C18" s="97"/>
      <c r="D18" s="97"/>
      <c r="E18" s="97"/>
      <c r="F18" s="97"/>
    </row>
    <row r="19" customFormat="false" ht="24" hidden="false" customHeight="true" outlineLevel="0" collapsed="false">
      <c r="A19" s="98" t="s">
        <v>312</v>
      </c>
      <c r="B19" s="98"/>
      <c r="C19" s="98"/>
      <c r="D19" s="98"/>
      <c r="E19" s="98"/>
      <c r="F19" s="98"/>
    </row>
    <row r="20" customFormat="false" ht="25.5" hidden="false" customHeight="true" outlineLevel="0" collapsed="false">
      <c r="A20" s="101" t="s">
        <v>313</v>
      </c>
      <c r="B20" s="101"/>
      <c r="C20" s="101"/>
      <c r="D20" s="101"/>
      <c r="E20" s="101"/>
      <c r="F20" s="101"/>
    </row>
    <row r="21" customFormat="false" ht="24" hidden="false" customHeight="true" outlineLevel="0" collapsed="false">
      <c r="A21" s="98" t="s">
        <v>314</v>
      </c>
      <c r="B21" s="98"/>
      <c r="C21" s="98"/>
      <c r="D21" s="98"/>
      <c r="E21" s="98"/>
      <c r="F21" s="98"/>
    </row>
    <row r="22" customFormat="false" ht="33.75" hidden="false" customHeight="true" outlineLevel="0" collapsed="false">
      <c r="A22" s="99"/>
      <c r="B22" s="99"/>
      <c r="C22" s="99"/>
      <c r="D22" s="99"/>
      <c r="E22" s="99"/>
      <c r="F22" s="99"/>
    </row>
    <row r="23" customFormat="false" ht="33.75" hidden="false" customHeight="true" outlineLevel="0" collapsed="false">
      <c r="A23" s="99"/>
      <c r="B23" s="99"/>
      <c r="C23" s="99"/>
      <c r="D23" s="99"/>
      <c r="E23" s="99"/>
      <c r="F23" s="99"/>
    </row>
    <row r="24" customFormat="false" ht="24.75" hidden="false" customHeight="true" outlineLevel="0" collapsed="false">
      <c r="A24" s="97" t="s">
        <v>315</v>
      </c>
      <c r="B24" s="97"/>
      <c r="C24" s="97"/>
      <c r="D24" s="97"/>
      <c r="E24" s="97"/>
      <c r="F24" s="97"/>
    </row>
    <row r="25" customFormat="false" ht="31.5" hidden="false" customHeight="true" outlineLevel="0" collapsed="false">
      <c r="A25" s="101" t="s">
        <v>316</v>
      </c>
      <c r="B25" s="101"/>
      <c r="C25" s="101"/>
      <c r="D25" s="101" t="s">
        <v>317</v>
      </c>
      <c r="E25" s="101"/>
      <c r="F25" s="101"/>
    </row>
    <row r="26" customFormat="false" ht="31.5" hidden="false" customHeight="true" outlineLevel="0" collapsed="false">
      <c r="A26" s="101" t="s">
        <v>318</v>
      </c>
      <c r="B26" s="101"/>
      <c r="C26" s="101"/>
      <c r="D26" s="101" t="s">
        <v>319</v>
      </c>
      <c r="E26" s="101"/>
      <c r="F26" s="101"/>
    </row>
    <row r="27" customFormat="false" ht="24.75" hidden="false" customHeight="true" outlineLevel="0" collapsed="false">
      <c r="A27" s="97" t="s">
        <v>320</v>
      </c>
      <c r="B27" s="97"/>
      <c r="C27" s="97"/>
      <c r="D27" s="97"/>
      <c r="E27" s="97"/>
      <c r="F27" s="97"/>
    </row>
    <row r="28" customFormat="false" ht="27.75" hidden="false" customHeight="true" outlineLevel="0" collapsed="false">
      <c r="A28" s="101" t="s">
        <v>321</v>
      </c>
      <c r="B28" s="101"/>
      <c r="C28" s="101"/>
      <c r="D28" s="101"/>
      <c r="E28" s="101"/>
      <c r="F28" s="101"/>
    </row>
    <row r="29" customFormat="false" ht="27.75" hidden="false" customHeight="true" outlineLevel="0" collapsed="false">
      <c r="A29" s="101" t="s">
        <v>322</v>
      </c>
      <c r="B29" s="101"/>
      <c r="C29" s="101"/>
      <c r="D29" s="101"/>
      <c r="E29" s="101"/>
      <c r="F29" s="101"/>
    </row>
    <row r="30" customFormat="false" ht="25.5" hidden="false" customHeight="true" outlineLevel="0" collapsed="false">
      <c r="A30" s="16" t="s">
        <v>323</v>
      </c>
      <c r="B30" s="16"/>
      <c r="C30" s="16"/>
      <c r="D30" s="16"/>
      <c r="E30" s="16"/>
      <c r="F30" s="16"/>
    </row>
  </sheetData>
  <mergeCells count="33">
    <mergeCell ref="A1:F1"/>
    <mergeCell ref="A2:F2"/>
    <mergeCell ref="A3:F3"/>
    <mergeCell ref="B5:C5"/>
    <mergeCell ref="E5:F5"/>
    <mergeCell ref="B6:C6"/>
    <mergeCell ref="E6:F6"/>
    <mergeCell ref="B7:C7"/>
    <mergeCell ref="E7:F7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C25"/>
    <mergeCell ref="D25:F25"/>
    <mergeCell ref="A26:C26"/>
    <mergeCell ref="D26:F26"/>
    <mergeCell ref="A27:F27"/>
    <mergeCell ref="A28:F28"/>
    <mergeCell ref="A29:F29"/>
    <mergeCell ref="A30:F30"/>
  </mergeCells>
  <printOptions headings="false" gridLines="false" gridLinesSet="true" horizontalCentered="true" verticalCentered="false"/>
  <pageMargins left="0.75" right="0.75" top="0.6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22</v>
      </c>
    </row>
    <row r="2" customFormat="false" ht="15" hidden="false" customHeight="false" outlineLevel="0" collapsed="false">
      <c r="A2" s="103" t="s">
        <v>324</v>
      </c>
    </row>
    <row r="4" customFormat="false" ht="15" hidden="false" customHeight="false" outlineLevel="0" collapsed="false">
      <c r="A4" s="104" t="s">
        <v>325</v>
      </c>
      <c r="B4" s="105" t="n">
        <v>45784</v>
      </c>
      <c r="C4" s="103" t="s">
        <v>603</v>
      </c>
    </row>
    <row r="5" customFormat="false" ht="15" hidden="false" customHeight="false" outlineLevel="0" collapsed="false">
      <c r="A5" s="104" t="s">
        <v>326</v>
      </c>
      <c r="B5" s="106" t="n">
        <v>3</v>
      </c>
      <c r="C5" s="103" t="s">
        <v>327</v>
      </c>
    </row>
    <row r="6" customFormat="false" ht="15" hidden="false" customHeight="false" outlineLevel="0" collapsed="false">
      <c r="A6" s="107" t="s">
        <v>328</v>
      </c>
      <c r="B6" s="108" t="n">
        <f aca="true">IF(B4="",TODAY(),B4)</f>
        <v>45784</v>
      </c>
    </row>
    <row r="8" customFormat="false" ht="15" hidden="false" customHeight="false" outlineLevel="0" collapsed="false">
      <c r="A8" s="82" t="s">
        <v>329</v>
      </c>
      <c r="B8" s="109" t="s">
        <v>330</v>
      </c>
      <c r="C8" s="110" t="s">
        <v>331</v>
      </c>
      <c r="E8" s="82" t="s">
        <v>66</v>
      </c>
      <c r="F8" s="82" t="s">
        <v>69</v>
      </c>
      <c r="G8" s="109" t="s">
        <v>246</v>
      </c>
    </row>
    <row r="9" customFormat="false" ht="15" hidden="false" customHeight="false" outlineLevel="0" collapsed="false">
      <c r="A9" s="111" t="s">
        <v>86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118</v>
      </c>
      <c r="F9" s="111" t="s">
        <v>100</v>
      </c>
      <c r="G9" s="112" t="s">
        <v>332</v>
      </c>
    </row>
    <row r="10" customFormat="false" ht="15" hidden="false" customHeight="false" outlineLevel="0" collapsed="false">
      <c r="A10" s="111" t="s">
        <v>87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130</v>
      </c>
      <c r="F10" s="111" t="s">
        <v>121</v>
      </c>
      <c r="G10" s="112" t="s">
        <v>333</v>
      </c>
    </row>
    <row r="11" customFormat="false" ht="15" hidden="false" customHeight="false" outlineLevel="0" collapsed="false">
      <c r="A11" s="111" t="s">
        <v>144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128</v>
      </c>
      <c r="F11" s="111" t="s">
        <v>126</v>
      </c>
      <c r="G11" s="112" t="s">
        <v>247</v>
      </c>
    </row>
    <row r="12" customFormat="false" ht="15" hidden="false" customHeight="false" outlineLevel="0" collapsed="false">
      <c r="A12" s="111" t="s">
        <v>143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132</v>
      </c>
      <c r="F12" s="111" t="s">
        <v>85</v>
      </c>
      <c r="G12" s="112" t="s">
        <v>334</v>
      </c>
    </row>
    <row r="13" customFormat="false" ht="15" hidden="false" customHeight="false" outlineLevel="0" collapsed="false">
      <c r="A13" s="111" t="s">
        <v>93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95</v>
      </c>
      <c r="F13" s="111" t="s">
        <v>97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91</v>
      </c>
      <c r="F14" s="111" t="s">
        <v>106</v>
      </c>
    </row>
    <row r="15" customFormat="false" ht="15" hidden="false" customHeight="false" outlineLevel="0" collapsed="false">
      <c r="E15" s="111" t="s">
        <v>98</v>
      </c>
      <c r="F15" s="111" t="s">
        <v>156</v>
      </c>
    </row>
    <row r="16" customFormat="false" ht="15" hidden="false" customHeight="false" outlineLevel="0" collapsed="false">
      <c r="A16" s="103" t="s">
        <v>335</v>
      </c>
      <c r="E16" s="111" t="s">
        <v>83</v>
      </c>
      <c r="F16" s="111" t="s">
        <v>146</v>
      </c>
    </row>
    <row r="17" customFormat="false" ht="15" hidden="false" customHeight="false" outlineLevel="0" collapsed="false">
      <c r="E17" s="111" t="s">
        <v>116</v>
      </c>
      <c r="F17" s="111" t="s">
        <v>142</v>
      </c>
    </row>
    <row r="18" customFormat="false" ht="15" hidden="false" customHeight="false" outlineLevel="0" collapsed="false">
      <c r="E18" s="111" t="s">
        <v>114</v>
      </c>
      <c r="F18" s="111" t="s">
        <v>160</v>
      </c>
    </row>
    <row r="19" customFormat="false" ht="15" hidden="false" customHeight="false" outlineLevel="0" collapsed="false">
      <c r="E19" s="111" t="s">
        <v>123</v>
      </c>
    </row>
    <row r="20" customFormat="false" ht="15" hidden="false" customHeight="false" outlineLevel="0" collapsed="false">
      <c r="E20" s="111" t="s">
        <v>197</v>
      </c>
    </row>
    <row r="21" customFormat="false" ht="15" hidden="false" customHeight="false" outlineLevel="0" collapsed="false">
      <c r="E21" s="111" t="s">
        <v>140</v>
      </c>
    </row>
    <row r="24" customFormat="false" ht="18" hidden="false" customHeight="true" outlineLevel="0" collapsed="false">
      <c r="A24" s="113" t="s">
        <v>336</v>
      </c>
      <c r="E24" s="113" t="s">
        <v>337</v>
      </c>
    </row>
    <row r="25" customFormat="false" ht="30" hidden="false" customHeight="true" outlineLevel="0" collapsed="false">
      <c r="A25" s="109" t="s">
        <v>338</v>
      </c>
      <c r="B25" s="109" t="s">
        <v>339</v>
      </c>
      <c r="C25" s="109" t="s">
        <v>340</v>
      </c>
      <c r="E25" s="114" t="s">
        <v>54</v>
      </c>
      <c r="F25" s="114" t="s">
        <v>275</v>
      </c>
      <c r="G25" s="114" t="s">
        <v>89</v>
      </c>
      <c r="H25" s="114" t="s">
        <v>276</v>
      </c>
      <c r="I25" s="114" t="s">
        <v>90</v>
      </c>
      <c r="J25" s="114" t="s">
        <v>101</v>
      </c>
      <c r="K25" s="114" t="s">
        <v>103</v>
      </c>
      <c r="L25" s="114" t="s">
        <v>277</v>
      </c>
      <c r="M25" s="114" t="s">
        <v>341</v>
      </c>
      <c r="N25" s="114" t="s">
        <v>278</v>
      </c>
      <c r="O25" s="114" t="s">
        <v>342</v>
      </c>
      <c r="P25" s="114" t="s">
        <v>274</v>
      </c>
    </row>
    <row r="26" customFormat="false" ht="18" hidden="false" customHeight="true" outlineLevel="0" collapsed="false">
      <c r="A26" s="112" t="s">
        <v>332</v>
      </c>
      <c r="B26" s="115" t="n">
        <f aca="false">基准日</f>
        <v>45784</v>
      </c>
      <c r="C26" s="115" t="n">
        <f aca="false">基准日</f>
        <v>45784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67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64</v>
      </c>
      <c r="H26" s="112" t="n">
        <f aca="false">F26-G26</f>
        <v>3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52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2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1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55</v>
      </c>
      <c r="N26" s="112" t="n">
        <f aca="false">IF(M26=0,"",ROUND((I26*100+J26*80+K26*60)/M26,1))</f>
        <v>98.5</v>
      </c>
      <c r="O26" s="112" t="n">
        <f aca="false">IF(E26="",-1,G26*1000+F26+(5-0)/10)</f>
        <v>64067.5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333</v>
      </c>
      <c r="B27" s="115" t="n">
        <f aca="false">基准日-WEEKDAY(基准日,2)+1</f>
        <v>45782</v>
      </c>
      <c r="C27" s="115" t="n">
        <f aca="false">B27+6</f>
        <v>45788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40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33</v>
      </c>
      <c r="H27" s="112" t="n">
        <f aca="false">F27-G27</f>
        <v>7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32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4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36</v>
      </c>
      <c r="N27" s="112" t="n">
        <f aca="false">IF(M27=0,"",ROUND((I27*100+J27*80+K27*60)/M27,1))</f>
        <v>97.8</v>
      </c>
      <c r="O27" s="112" t="n">
        <f aca="false">IF(E27="",-1,G27*1000+F27+(5-1)/10)</f>
        <v>33040.4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247</v>
      </c>
      <c r="B28" s="115" t="n">
        <f aca="false">DATE(YEAR(基准日),MONTH(基准日),1)</f>
        <v>45778</v>
      </c>
      <c r="C28" s="115" t="n">
        <f aca="false">DATE(YEAR(基准日),MONTH(基准日)+1,0)</f>
        <v>45808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8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7</v>
      </c>
      <c r="H28" s="112" t="n">
        <f aca="false">F28-G28</f>
        <v>1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7008.3</v>
      </c>
      <c r="P28" s="112" t="n">
        <f aca="false">RANK(O28,$O$26:$O$30)</f>
        <v>5</v>
      </c>
    </row>
    <row r="29" customFormat="false" ht="18" hidden="false" customHeight="true" outlineLevel="0" collapsed="false">
      <c r="A29" s="112" t="s">
        <v>334</v>
      </c>
      <c r="B29" s="115" t="n">
        <f aca="false">DATE(2000,1,1)</f>
        <v>36526</v>
      </c>
      <c r="C29" s="115" t="n">
        <f aca="false">基准日</f>
        <v>45784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16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12</v>
      </c>
      <c r="H29" s="112" t="n">
        <f aca="false">F29-G29</f>
        <v>4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4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1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5</v>
      </c>
      <c r="N29" s="112" t="n">
        <f aca="false">IF(M29=0,"",ROUND((I29*100+J29*80+K29*60)/M29,1))</f>
        <v>96</v>
      </c>
      <c r="O29" s="112" t="n">
        <f aca="false">IF(E29="",-1,G29*1000+F29+(5-3)/10)</f>
        <v>12016.2</v>
      </c>
      <c r="P29" s="112" t="n">
        <f aca="false">RANK(O29,$O$26:$O$30)</f>
        <v>3</v>
      </c>
    </row>
    <row r="30" customFormat="false" ht="18" hidden="false" customHeight="true" outlineLevel="0" collapsed="false">
      <c r="A30" s="112" t="s">
        <v>343</v>
      </c>
      <c r="B30" s="115" t="n">
        <f aca="false">INDEX(B26:B29,MATCH(仪表盘!$E$2,A26:A29,0))</f>
        <v>45778</v>
      </c>
      <c r="C30" s="115" t="n">
        <f aca="false">INDEX(C26:C29,MATCH(仪表盘!$E$2,A26:A29,0))</f>
        <v>45808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13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10</v>
      </c>
      <c r="H30" s="112" t="n">
        <f aca="false">F30-G30</f>
        <v>3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8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1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9</v>
      </c>
      <c r="N30" s="112" t="n">
        <f aca="false">IF(M30=0,"",ROUND((I30*100+J30*80+K30*60)/M30,1))</f>
        <v>97.8</v>
      </c>
      <c r="O30" s="112" t="n">
        <f aca="false">IF(E30="",-1,G30*1000+F30+(5-4)/10)</f>
        <v>10013.1</v>
      </c>
      <c r="P30" s="112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